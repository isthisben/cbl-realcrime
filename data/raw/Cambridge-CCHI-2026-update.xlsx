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eleanor/Documents/CCEBP work/"/>
    </mc:Choice>
  </mc:AlternateContent>
  <xr:revisionPtr revIDLastSave="0" documentId="13_ncr:1_{C0C009EF-9023-7B47-B14F-259B4A9ED552}" xr6:coauthVersionLast="47" xr6:coauthVersionMax="47" xr10:uidLastSave="{00000000-0000-0000-0000-000000000000}"/>
  <bookViews>
    <workbookView xWindow="3660" yWindow="760" windowWidth="22140" windowHeight="17800" activeTab="1" xr2:uid="{D090B13A-A902-4541-950D-56B85FF0E7DD}"/>
  </bookViews>
  <sheets>
    <sheet name="Cover page" sheetId="2" r:id="rId1"/>
    <sheet name="CCHI 2026 values sheet" sheetId="1" r:id="rId2"/>
    <sheet name="Expired offences" sheetId="3" r:id="rId3"/>
    <sheet name="Offences need clarity" sheetId="4" r:id="rId4"/>
  </sheets>
  <definedNames>
    <definedName name="_xlnm._FilterDatabase" localSheetId="1" hidden="1">'CCHI 2026 values sheet'!$A$1:$DH$1267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67" i="1" l="1"/>
  <c r="D1266" i="1"/>
  <c r="D1265" i="1"/>
  <c r="D1264" i="1"/>
  <c r="D17" i="1"/>
  <c r="D16" i="1"/>
  <c r="D15" i="1"/>
  <c r="D14" i="1"/>
  <c r="D152" i="1"/>
  <c r="D151" i="1"/>
  <c r="D153" i="1"/>
  <c r="D205" i="1"/>
  <c r="D204" i="1"/>
  <c r="D10" i="1"/>
  <c r="D9" i="1"/>
  <c r="D8" i="1"/>
  <c r="D7" i="1"/>
  <c r="D107" i="1"/>
  <c r="D106" i="1"/>
  <c r="D82" i="1"/>
  <c r="D81" i="1"/>
  <c r="D80" i="1"/>
  <c r="D149" i="1"/>
  <c r="D99" i="1"/>
  <c r="D100" i="1"/>
  <c r="D101" i="1"/>
  <c r="D198" i="1"/>
  <c r="D199" i="1"/>
  <c r="D200" i="1"/>
  <c r="D201" i="1"/>
  <c r="D202" i="1"/>
  <c r="D97" i="1"/>
  <c r="D96" i="1"/>
  <c r="D109" i="1"/>
  <c r="D196" i="1"/>
  <c r="D154" i="1"/>
  <c r="D150" i="1"/>
  <c r="D372" i="1"/>
  <c r="D146" i="1"/>
  <c r="D29" i="1"/>
  <c r="D13" i="1"/>
  <c r="D95" i="1"/>
  <c r="D55" i="1"/>
  <c r="D365" i="1"/>
  <c r="D398" i="1"/>
  <c r="D302" i="1"/>
  <c r="D3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tc={FEDABB7D-C23C-0747-8A62-DA13F5362204}</author>
    <author>tc={13C59A7F-B6CE-6E4B-9C94-15C5B0AC6DE7}</author>
    <author>tc={5BE1300C-CCAA-D946-8FD4-A89D901FF97B}</author>
    <author>tc={1272E015-2818-BE40-9424-59DEEA4B9E99}</author>
    <author>tc={4A76CDD2-3686-444E-B577-D521342AE3B6}</author>
    <author>tc={9DE429C5-C687-3140-A41C-3AE60C14CCF9}</author>
  </authors>
  <commentList>
    <comment ref="F195" authorId="0" shapeId="0" xr:uid="{FEDABB7D-C23C-0747-8A62-DA13F5362204}">
      <text>
        <t xml:space="preserve">[Threaded comment]
Your version of Excel allows you to read this threaded comment; however, any edits to it will get removed if the file is opened in a newer version of Excel. Learn more: https://go.microsoft.com/fwlink/?linkid=870924
Comment:
    There is guidance given for this offence: 
https://sentencingcouncil.org.uk/guidelines/strangulation-or-suffocation-racially-or-religiously-aggravated-strangulation-or-suffocation/
A “standard” one would start at: 
1 yrs custody or 365 points. 
_x000B_The guide suggests that racially or religiously aggravated should be considered an aggravating factor, so should receive a higher sentence. 
I would suggest using culpability B which would be: 
1 yr 6 months custody or 547.5 points for the R and R offence. </t>
      </text>
    </comment>
    <comment ref="F342" authorId="1" shapeId="0" xr:uid="{13C59A7F-B6CE-6E4B-9C94-15C5B0AC6DE7}">
      <text>
        <t xml:space="preserve">[Threaded comment]
Your version of Excel allows you to read this threaded comment; however, any edits to it will get removed if the file is opened in a newer version of Excel. Learn more: https://go.microsoft.com/fwlink/?linkid=870924
Comment:
    Currently there is no guideline for this offence, and not really any similar offences to compare it to. There is one case that has been through the courts so far that I could find, which received a combined prison and hospital order of ~ 9 years. So it appears to be an offence that is treated quite seriously. 
The legislation suggests: _x000B__x000B_
At magistrates court imprisonment or fine (or both) not exceeding the general limit 
Or 
At crown court imprisonment not exceeding five years or a fine (or both) 
Maximum at magistrates court is 12 months imprisonment. They have increased this fairly recently from 6 months (~ November 2024). 
I would suggest using 6 months as a starting point sentence for now, until an official guide is given. 
This would score the offence as 182 points. 
</t>
      </text>
    </comment>
    <comment ref="F638" authorId="2" shapeId="0" xr:uid="{5BE1300C-CCAA-D946-8FD4-A89D901FF97B}">
      <text>
        <t xml:space="preserve">[Threaded comment]
Your version of Excel allows you to read this threaded comment; however, any edits to it will get removed if the file is opened in a newer version of Excel. Learn more: https://go.microsoft.com/fwlink/?linkid=870924
Comment:
    So there could be two ways to view this one, either we could use the guidelines for exposure, which at the starting point would be a medium level community order (10 points). 
Or we could view it as closer to an offence under the communications act, it would probably be viewed as higher harm than just sending messages, so would sit at the category 2 level which is a medium level community order again scoring 10 points. 
From looking at both of these most similar offences I would suggest 10 points. 
</t>
      </text>
    </comment>
    <comment ref="F639" authorId="3" shapeId="0" xr:uid="{1272E015-2818-BE40-9424-59DEEA4B9E99}">
      <text>
        <t xml:space="preserve">[Threaded comment]
Your version of Excel allows you to read this threaded comment; however, any edits to it will get removed if the file is opened in a newer version of Excel. Learn more: https://go.microsoft.com/fwlink/?linkid=870924
Comment:
    So there could be two ways to view this one, either we could use the guidelines for exposure, which at the starting point would be a medium level community order (10 points). 
Or we could view it as closer to an offence under the communications act, it would probably be viewed as higher harm than just sending messages, so would sit at the category 2 level which is a medium level community order again scoring 10 points. 
From looking at both of these most similar offences I would suggest 10 points. 
</t>
      </text>
    </comment>
    <comment ref="F642" authorId="4" shapeId="0" xr:uid="{4A76CDD2-3686-444E-B577-D521342AE3B6}">
      <text>
        <t xml:space="preserve">[Threaded comment]
Your version of Excel allows you to read this threaded comment; however, any edits to it will get removed if the file is opened in a newer version of Excel. Learn more: https://go.microsoft.com/fwlink/?linkid=870924
Comment:
    This one has a maximum penalty of 5 years imprisonment an unlimited fine or both. 
The closest offences currently are the former communication act offences, e.g malicious communications. 
This would suggest a starting point of a medium level community order to 9 weeks in custody. 
I would suggest 10 points as a starting point for now, until official guidelines are given. </t>
      </text>
    </comment>
    <comment ref="F643" authorId="5" shapeId="0" xr:uid="{9DE429C5-C687-3140-A41C-3AE60C14CCF9}">
      <text>
        <t xml:space="preserve">[Threaded comment]
Your version of Excel allows you to read this threaded comment; however, any edits to it will get removed if the file is opened in a newer version of Excel. Learn more: https://go.microsoft.com/fwlink/?linkid=870924
Comment:
    The closest offences currently are the former communication act offences, e.g malicious communications. 
This would suggest a starting point of a medium level community order to 9 weeks in custody. 
I would suggest 10 points as a starting point for now, until official guidelines are given. </t>
      </text>
    </comment>
  </commentList>
</comments>
</file>

<file path=xl/sharedStrings.xml><?xml version="1.0" encoding="utf-8"?>
<sst xmlns="http://schemas.openxmlformats.org/spreadsheetml/2006/main" count="21977" uniqueCount="6895">
  <si>
    <t>ATHENA URN</t>
  </si>
  <si>
    <t>FULL_OFFENCE_TITLE</t>
  </si>
  <si>
    <t>SHORT_TITLE</t>
  </si>
  <si>
    <t>CCHI Score</t>
  </si>
  <si>
    <t xml:space="preserve">Sentencing data from actual offence available: </t>
  </si>
  <si>
    <t xml:space="preserve">If no sentencing data available what similar offence was used: </t>
  </si>
  <si>
    <t>Starting Point</t>
  </si>
  <si>
    <t>Maximum Sentence</t>
  </si>
  <si>
    <t xml:space="preserve">Score from: </t>
  </si>
  <si>
    <t>GROUP</t>
  </si>
  <si>
    <t>SUB_GROUP</t>
  </si>
  <si>
    <t>SUB_SUB_GROUP</t>
  </si>
  <si>
    <t>CLASSIFICATION_CODE</t>
  </si>
  <si>
    <t>HOME_OFFICE_CLASSIFICATION</t>
  </si>
  <si>
    <t>HO_CODE</t>
  </si>
  <si>
    <t>HO_SUB_CODE</t>
  </si>
  <si>
    <t>HO_SUB_SUB_CODE</t>
  </si>
  <si>
    <t>NOTIFIABLE</t>
  </si>
  <si>
    <t>INVESTIGATION_TYPE</t>
  </si>
  <si>
    <t>ACT</t>
  </si>
  <si>
    <t>1.1.1.1</t>
  </si>
  <si>
    <t>Murder - of persons aged 1 year or over</t>
  </si>
  <si>
    <t>Murder - Victim aged 1 and over (Indictable)</t>
  </si>
  <si>
    <t>Yes</t>
  </si>
  <si>
    <t>15 years' custody</t>
  </si>
  <si>
    <t>Life</t>
  </si>
  <si>
    <t>https://www.cps.gov.uk/legal-guidance/homicide-murder-and-manslaughter</t>
  </si>
  <si>
    <t>VIOLENCE AGAINST THE PERSON</t>
  </si>
  <si>
    <t>HOMICIDE</t>
  </si>
  <si>
    <t>MURDER</t>
  </si>
  <si>
    <t>1</t>
  </si>
  <si>
    <t>001/01</t>
  </si>
  <si>
    <t>Notifiable</t>
  </si>
  <si>
    <t>Crime</t>
  </si>
  <si>
    <t>Common Law</t>
  </si>
  <si>
    <t>COML025</t>
  </si>
  <si>
    <t>1.1.2.0</t>
  </si>
  <si>
    <t>Murder - of persons under 1 year of age</t>
  </si>
  <si>
    <t>Murder - Victim aged under 1 (Indictable)</t>
  </si>
  <si>
    <t>001/02</t>
  </si>
  <si>
    <t>2</t>
  </si>
  <si>
    <t>0</t>
  </si>
  <si>
    <t>COML026</t>
  </si>
  <si>
    <t>3A.3.2.1</t>
  </si>
  <si>
    <t>Conspiracy to Murder - Soliciting to commit murder</t>
  </si>
  <si>
    <t>Soliciting to commit murder (Indictable)</t>
  </si>
  <si>
    <t>No - guidelines for murder only not conspiracy/soliciting</t>
  </si>
  <si>
    <t>Used the Sentencing guidelines for murder</t>
  </si>
  <si>
    <t>VIOLENCE WITHOUT INJURY</t>
  </si>
  <si>
    <t>CONSPIRACY TO COMMIT MURDER</t>
  </si>
  <si>
    <t>3A</t>
  </si>
  <si>
    <t>003/02</t>
  </si>
  <si>
    <t>3</t>
  </si>
  <si>
    <t>Offences against the Person Act 1861 Sec4.</t>
  </si>
  <si>
    <t>3A.3.2.2</t>
  </si>
  <si>
    <t>Conspiracy to Murder - Conspiracy to commit murder</t>
  </si>
  <si>
    <t>Conspiracy to commit murder (Indictable)</t>
  </si>
  <si>
    <t>Criminal Law Act 1977 Sec 1.</t>
  </si>
  <si>
    <t>4.3.4.3.0</t>
  </si>
  <si>
    <t>Intentional Destruction of a Viable Unborn Child</t>
  </si>
  <si>
    <t>Child Destruction (Indictable)</t>
  </si>
  <si>
    <t>No</t>
  </si>
  <si>
    <t xml:space="preserve">Offence is rarely used. Isn't seen in law as the same as murder,  scored as Cat 1 GBH intent </t>
  </si>
  <si>
    <t>12 years</t>
  </si>
  <si>
    <t>VIOLENCE WITH INJURY</t>
  </si>
  <si>
    <t>INTENT DESTRUCT OF A UNBORN CHILD</t>
  </si>
  <si>
    <t>4/3</t>
  </si>
  <si>
    <t>004/03</t>
  </si>
  <si>
    <t>4</t>
  </si>
  <si>
    <t>Infant Life (Preservation) Act 1929 Sec 1</t>
  </si>
  <si>
    <t>IL29001</t>
  </si>
  <si>
    <t>1.1.1.1A</t>
  </si>
  <si>
    <t>Attempted - Murder - of persons aged 1 year or over</t>
  </si>
  <si>
    <t>Attempted - Murder - Victim 1 and over</t>
  </si>
  <si>
    <t>9 years’ custody</t>
  </si>
  <si>
    <t>https://www.sentencingcouncil.org.uk/offences/crown-court/item/attempted-murder/</t>
  </si>
  <si>
    <t>ATTEMPTED MURDER</t>
  </si>
  <si>
    <t>00200</t>
  </si>
  <si>
    <t>1.1.2.0A</t>
  </si>
  <si>
    <t>Attempted - Murder - of persons under 1 year of age</t>
  </si>
  <si>
    <t>Attempted - Murder - Victim under 1</t>
  </si>
  <si>
    <t>002/00</t>
  </si>
  <si>
    <t>2.2.0.1</t>
  </si>
  <si>
    <t>Attempted murder</t>
  </si>
  <si>
    <t>Attempted murder (Indictable)</t>
  </si>
  <si>
    <t>Criminal Attempts Act 1981. Common Law</t>
  </si>
  <si>
    <t>5E.5.10.0</t>
  </si>
  <si>
    <t>Endangering Life - Administering poison so as to endanger life</t>
  </si>
  <si>
    <t>Administering poison so as to endanger life (Indictable)</t>
  </si>
  <si>
    <t>Scored as attempt murder</t>
  </si>
  <si>
    <t>ENDANGERING LIFE</t>
  </si>
  <si>
    <t>5E</t>
  </si>
  <si>
    <t>005/10</t>
  </si>
  <si>
    <t>5</t>
  </si>
  <si>
    <t>10</t>
  </si>
  <si>
    <t>Offences against the Person Act 1861 Secs 23 &amp; 24.</t>
  </si>
  <si>
    <t>OF61060</t>
  </si>
  <si>
    <t>19E.19.16.0</t>
  </si>
  <si>
    <t>Rape of a female child under 13 by a male</t>
  </si>
  <si>
    <t>Rape of a female (under 13) (Indictable)</t>
  </si>
  <si>
    <t>8 years custody</t>
  </si>
  <si>
    <t>Life or 19 years</t>
  </si>
  <si>
    <t>https://www.sentencingcouncil.org.uk/wp-content/uploads/Sexual-offences-definitive-guideline-Web.pdf</t>
  </si>
  <si>
    <t>SEXUAL OFFENCES</t>
  </si>
  <si>
    <t>RAPE</t>
  </si>
  <si>
    <t>RAPE OF A FEMALE CHILD UNDER 13</t>
  </si>
  <si>
    <t>19E</t>
  </si>
  <si>
    <t>019/16</t>
  </si>
  <si>
    <t>19</t>
  </si>
  <si>
    <t>16</t>
  </si>
  <si>
    <t>Sexual Offences Act 2003 Sec 5(pt)</t>
  </si>
  <si>
    <t>19E.19.18.0</t>
  </si>
  <si>
    <t>Attempted rape of a female child under 13 by a male</t>
  </si>
  <si>
    <t>Attempted rape of a female (under 13) (Indictable)</t>
  </si>
  <si>
    <t>019/18</t>
  </si>
  <si>
    <t>18</t>
  </si>
  <si>
    <t>SX03013A</t>
  </si>
  <si>
    <t>19H.19.17.0</t>
  </si>
  <si>
    <t>Rape of a male child under 13 by a male</t>
  </si>
  <si>
    <t>Rape of a male (under 13) (Indictable)</t>
  </si>
  <si>
    <t>RAPE OF A MALE CHILD UNDER 13</t>
  </si>
  <si>
    <t>19H</t>
  </si>
  <si>
    <t>019/17</t>
  </si>
  <si>
    <t>17</t>
  </si>
  <si>
    <t>SX03014</t>
  </si>
  <si>
    <t>19H.19.19.0</t>
  </si>
  <si>
    <t>Attempted rape of a male child under 13 by a male</t>
  </si>
  <si>
    <t>Attempted rape of a male (under 13) (Indictable)</t>
  </si>
  <si>
    <t>019/19</t>
  </si>
  <si>
    <t>SX03014A</t>
  </si>
  <si>
    <t>5E.5.13.0</t>
  </si>
  <si>
    <t>Endangering Life - Making, possessing or controlling explosive substance with intent to endanger life</t>
  </si>
  <si>
    <t>Making, possessing or controlling explosive substance with intent to endanger life (Indictable)</t>
  </si>
  <si>
    <t xml:space="preserve">Used Category 2 - since this category says "Any death risked and very likely to be caused" while the lower on states "Any death risked but not very likely to be caused" </t>
  </si>
  <si>
    <t>8 years</t>
  </si>
  <si>
    <t>https://www.sentencingcouncil.org.uk/offences/crown-court/item/explosive-substances-terrorism-only/</t>
  </si>
  <si>
    <t>005/13</t>
  </si>
  <si>
    <t>13</t>
  </si>
  <si>
    <t>Explosive Substances Act 1883Sec 3(1)(b).</t>
  </si>
  <si>
    <t>EX83030</t>
  </si>
  <si>
    <t>81.81.81.0</t>
  </si>
  <si>
    <t>Import prohibited weapons / ammunition with intent to evade prohibition / restriction</t>
  </si>
  <si>
    <t xml:space="preserve"> life </t>
  </si>
  <si>
    <t>https://www.sentencingcouncil.org.uk/wp-content/uploads/Firearms-Consultation.pdf</t>
  </si>
  <si>
    <t>POSSESSION OF WEAPONS</t>
  </si>
  <si>
    <t>OTHER FIREARMS OFFENCES</t>
  </si>
  <si>
    <t>81</t>
  </si>
  <si>
    <t>081/81</t>
  </si>
  <si>
    <t>Customs and Excise Management Act 1979 Sec 50 (3) (4) and 5 A (a)</t>
  </si>
  <si>
    <t>CE79350</t>
  </si>
  <si>
    <t>19D.19.11.0</t>
  </si>
  <si>
    <t>Attempted rape of a female aged under 16</t>
  </si>
  <si>
    <t>Attempted rape of a female (under 16) (Indictable)</t>
  </si>
  <si>
    <t xml:space="preserve">No </t>
  </si>
  <si>
    <t>There is no specific offence guideline for rape of a victim between 13-16 years. The decision is to use a culpability B rape to reflect the increased vulnerabilty of the younger victim.</t>
  </si>
  <si>
    <t>7 years custody</t>
  </si>
  <si>
    <t>RAPE OF A FEMALE CHILD UNDER 16</t>
  </si>
  <si>
    <t>19D</t>
  </si>
  <si>
    <t>019/11</t>
  </si>
  <si>
    <t>11</t>
  </si>
  <si>
    <t>Sexual Offences Act 2003 Sec 1(pt)</t>
  </si>
  <si>
    <t>19D.19.7.0</t>
  </si>
  <si>
    <t>Rape of a female aged under 16</t>
  </si>
  <si>
    <t>Rape of a female (under 16) (Indictable)</t>
  </si>
  <si>
    <t>019/07</t>
  </si>
  <si>
    <t>7</t>
  </si>
  <si>
    <t>19G.19.13.0</t>
  </si>
  <si>
    <t>Attempted rape of a male aged under 16</t>
  </si>
  <si>
    <t>Attempted rape of a male (under 16) (Indictable)</t>
  </si>
  <si>
    <t>RAPE OF A MALE CHILD UNDER 16</t>
  </si>
  <si>
    <t>19G</t>
  </si>
  <si>
    <t>019/13</t>
  </si>
  <si>
    <t>Sexual Offences Act 2003 Sec 1 (pt)</t>
  </si>
  <si>
    <t>19G.19.9.0</t>
  </si>
  <si>
    <t>Rape of a male aged under 16</t>
  </si>
  <si>
    <t>Rape of a male (under 16) (Indictable)</t>
  </si>
  <si>
    <t>019/09</t>
  </si>
  <si>
    <t>9</t>
  </si>
  <si>
    <t>19J.19.8.0</t>
  </si>
  <si>
    <t>Multiple Undefined Offenders Rape of a female aged 16 or over.</t>
  </si>
  <si>
    <t>Suggest using increased culpability due to the need to reflect collusion with additional offenders</t>
  </si>
  <si>
    <t>19J</t>
  </si>
  <si>
    <t>019/08</t>
  </si>
  <si>
    <t>8</t>
  </si>
  <si>
    <t>23.23.15.0</t>
  </si>
  <si>
    <t>Sexual activity with a child family member - Male - Victim Under 13 - 18 or over - penetration</t>
  </si>
  <si>
    <t>Sexual activity with a child family member - Male - Victim Under 13 - 18 or over - penetration (Indictable)</t>
  </si>
  <si>
    <t xml:space="preserve">Yes - but general child category </t>
  </si>
  <si>
    <t xml:space="preserve">So sentencing data for the U 13 not directly available - suggest adding 1 year to distinguish U 13 &amp; O 13 </t>
  </si>
  <si>
    <t xml:space="preserve">14 years </t>
  </si>
  <si>
    <t>OTHER SEXUAL OFFENCES</t>
  </si>
  <si>
    <t>INCEST OR FAMILIAL SEXUAL OFFENCES</t>
  </si>
  <si>
    <t>23</t>
  </si>
  <si>
    <t>023/15</t>
  </si>
  <si>
    <t>15</t>
  </si>
  <si>
    <t>Sexual Offences Act 2003 Sec 25.</t>
  </si>
  <si>
    <t>23.23.15.0A</t>
  </si>
  <si>
    <t>Attempted - Sexual activity with a child family member - Male - Victim Under 13 - 18 or over - penetration</t>
  </si>
  <si>
    <t>Attempted - Sexual activity with a child family member - Male - Victim Under 13 - 18 or over - penetration (Indictable)</t>
  </si>
  <si>
    <t>0A</t>
  </si>
  <si>
    <t>10B.81.85.0</t>
  </si>
  <si>
    <t>Manufacture weapon / ammunition specified in section 5 (1) of the Firearms Act 1968.</t>
  </si>
  <si>
    <t xml:space="preserve">Draft guidelines - will need to be reviewed when final guidelines are published. </t>
  </si>
  <si>
    <t>6 years</t>
  </si>
  <si>
    <t>https://www.cps.gov.uk/legal-guidance/firearms</t>
  </si>
  <si>
    <t>POSSESSION OF FIREARMS OFFENCES</t>
  </si>
  <si>
    <t>10B</t>
  </si>
  <si>
    <t>081/85</t>
  </si>
  <si>
    <t>85</t>
  </si>
  <si>
    <t>Firearms Act 1968 Sec 5 (2A) (a)</t>
  </si>
  <si>
    <t>FI68443</t>
  </si>
  <si>
    <t>10B.81.87.0</t>
  </si>
  <si>
    <t>Possess prohibited weapon / ammunition for sale / transfer.</t>
  </si>
  <si>
    <t>081/87</t>
  </si>
  <si>
    <t>87</t>
  </si>
  <si>
    <t>Firearms Act 1968 Sec 5 (2A) (c)</t>
  </si>
  <si>
    <t>FI68445</t>
  </si>
  <si>
    <t>10B.81.88.0</t>
  </si>
  <si>
    <t>Purchase / acquire prohibited weapon / ammunition for sale / transfer.</t>
  </si>
  <si>
    <t>081/88</t>
  </si>
  <si>
    <t>88</t>
  </si>
  <si>
    <t>Firearms Act 1968 Sec 5 (2A) (d)</t>
  </si>
  <si>
    <t>FI68446</t>
  </si>
  <si>
    <t>21.21.14.0</t>
  </si>
  <si>
    <t>Causing or inciting a child under 13 to engage in sexual activity by an offender under 18 years of age: Female child - penetration</t>
  </si>
  <si>
    <t>Life or 14 years</t>
  </si>
  <si>
    <t>SEXUAL ACTIVITY CHILD UNDER 13</t>
  </si>
  <si>
    <t>21</t>
  </si>
  <si>
    <t>021/14</t>
  </si>
  <si>
    <t>14</t>
  </si>
  <si>
    <t>Sexual Offences Act 2003 Sec 13 (pt).</t>
  </si>
  <si>
    <t>SX03039</t>
  </si>
  <si>
    <t>21.21.15.0</t>
  </si>
  <si>
    <t>Causing or inciting a child under 13 to engage in sexual activity by an offender under 18 years of age: Male child - penetration</t>
  </si>
  <si>
    <t>021/15</t>
  </si>
  <si>
    <t>SX03040</t>
  </si>
  <si>
    <t>21.21.2.0</t>
  </si>
  <si>
    <t>Causing or inciting a child under 13 to engage in sexual activity: Female child - penetration</t>
  </si>
  <si>
    <t>Causing or inciting a child under 13 to engage in sexual activity: Female child - penetration (Indictable)</t>
  </si>
  <si>
    <t>021/02</t>
  </si>
  <si>
    <t>Sexual Offences Act 2003 Sec 8.</t>
  </si>
  <si>
    <t>21.21.2.0A</t>
  </si>
  <si>
    <t>Attempted - Causing or inciting a child under 13 to engage in sexual activity: Female child - penetration</t>
  </si>
  <si>
    <t>Attempted - Causing or inciting a child under 13 to engage in sexual activity: Female child - penetration (Indictable)</t>
  </si>
  <si>
    <t>36.36.5.0</t>
  </si>
  <si>
    <t>Kidnapping - Forced marriage offences under</t>
  </si>
  <si>
    <t>Used higher culpability GBH intent</t>
  </si>
  <si>
    <t>Life or 16 years</t>
  </si>
  <si>
    <t>https://www.sentencingcouncil.org.uk/offences/crown-court/item/causing-grievous-bodily-harm-with-intent-to-do-grievous-bodily-harm-wounding-with-intent-to-do-gbh/</t>
  </si>
  <si>
    <t>KIDNAPPING</t>
  </si>
  <si>
    <t>36</t>
  </si>
  <si>
    <t>036/05</t>
  </si>
  <si>
    <t>Anti-social Behaviour Crime and Policing Act 2014 Sec 121 (1) (3)</t>
  </si>
  <si>
    <t>5E.5.24.0</t>
  </si>
  <si>
    <t>Endangering Life - Use of noxious substances or things to cause harm and intimidate</t>
  </si>
  <si>
    <t>6 years custody</t>
  </si>
  <si>
    <t>005/24</t>
  </si>
  <si>
    <t>24</t>
  </si>
  <si>
    <t>Anti-Terrorism, Crime &amp; Security Act 2001 Sec 113.</t>
  </si>
  <si>
    <t>5E.5.4.0</t>
  </si>
  <si>
    <t>Endangering Life - Attempting to choke etc in order to commit indictable offence</t>
  </si>
  <si>
    <t>Attempting to choke etc in order to commit indictable offence (Indictable)</t>
  </si>
  <si>
    <t>005/04</t>
  </si>
  <si>
    <t>Offences against the Person Act 1861 Sec 21.</t>
  </si>
  <si>
    <t>5E.5.5.0</t>
  </si>
  <si>
    <t>Endangering Life - Using chloroform etc to commit indictable offence</t>
  </si>
  <si>
    <t>Using chloroform etc to commit indictable offence (Indictable)</t>
  </si>
  <si>
    <t>005/05</t>
  </si>
  <si>
    <t>Offences against the Person Act 1861 Sec 22.</t>
  </si>
  <si>
    <t>OF61126</t>
  </si>
  <si>
    <t>5E.5.7.0</t>
  </si>
  <si>
    <t>Endangering Life - Causing explosions, sending explosive substance or throwing corrosive fluids with intent to do grievous bodily harm</t>
  </si>
  <si>
    <t>Causing explosions, sending explosive substance or throwing corrosive fluids with intent to do grievous bodily harm (Indictable)</t>
  </si>
  <si>
    <t>005/07</t>
  </si>
  <si>
    <t>Offences against the Person Act 1861 Sec 29.</t>
  </si>
  <si>
    <t>10A.8.13.0</t>
  </si>
  <si>
    <t>Possessing firearm or imitation while committing or being arrested for offences in Schedule 1 Firearms Act 1968</t>
  </si>
  <si>
    <t>Possessing firearm or imitation while committing or being arrested for offences in Schedule 1 Firearms Act 1968 (Indictable)</t>
  </si>
  <si>
    <t>The mandatory minimum sentence is 5 years' imprisonment</t>
  </si>
  <si>
    <t>POSSESSION OF FIREARMS WITH INTENT</t>
  </si>
  <si>
    <t>10A</t>
  </si>
  <si>
    <t>008/13</t>
  </si>
  <si>
    <t>Firearms Act 1968 Sec 17(2)</t>
  </si>
  <si>
    <t>10A.8.16.0</t>
  </si>
  <si>
    <t>Possessing firearm or imitation firearm with intent to commit indictable offence or resist arrest</t>
  </si>
  <si>
    <t>Possessing firearm or imitation firearm with intent to commit indictable offence or resist arrest (Indictable)</t>
  </si>
  <si>
    <t>008/16</t>
  </si>
  <si>
    <t>Firearms Act 1968 Sec 18(1)</t>
  </si>
  <si>
    <t>10A.8.18.0</t>
  </si>
  <si>
    <t>Possessing air weapon or imitation firearm with intent to commit indictable offence or resist arrest</t>
  </si>
  <si>
    <t>Possessing air weapon or imitation firearm with intent to commit indictable offence or resist arrest (Indictable)</t>
  </si>
  <si>
    <t>008/18</t>
  </si>
  <si>
    <t>N/A</t>
  </si>
  <si>
    <t>FI68339</t>
  </si>
  <si>
    <t>FI68390</t>
  </si>
  <si>
    <t>FI68391</t>
  </si>
  <si>
    <t>FI68392</t>
  </si>
  <si>
    <t>FI68392A</t>
  </si>
  <si>
    <t>FI68393</t>
  </si>
  <si>
    <t>FI68394</t>
  </si>
  <si>
    <t>FI68395</t>
  </si>
  <si>
    <t>FI68396</t>
  </si>
  <si>
    <t>FI68397</t>
  </si>
  <si>
    <t>FI68398</t>
  </si>
  <si>
    <t>FI68399</t>
  </si>
  <si>
    <t>FI68400</t>
  </si>
  <si>
    <t>FI68401</t>
  </si>
  <si>
    <t>FI68402</t>
  </si>
  <si>
    <t>FI68403</t>
  </si>
  <si>
    <t>FI68404</t>
  </si>
  <si>
    <t>FI68405</t>
  </si>
  <si>
    <t>FI68406</t>
  </si>
  <si>
    <t>FI68407</t>
  </si>
  <si>
    <t>FI68408</t>
  </si>
  <si>
    <t>FI68409</t>
  </si>
  <si>
    <t>FI68413</t>
  </si>
  <si>
    <t>FI68414</t>
  </si>
  <si>
    <t>FI68415</t>
  </si>
  <si>
    <t>FI68416</t>
  </si>
  <si>
    <t>FI68417</t>
  </si>
  <si>
    <t>FI68417A</t>
  </si>
  <si>
    <t>FI68418</t>
  </si>
  <si>
    <t>FI68419</t>
  </si>
  <si>
    <t>FI68420</t>
  </si>
  <si>
    <t>FI68421</t>
  </si>
  <si>
    <t>FI68422</t>
  </si>
  <si>
    <t>FI68423</t>
  </si>
  <si>
    <t>FI68424</t>
  </si>
  <si>
    <t>FI68425</t>
  </si>
  <si>
    <t>FI68439</t>
  </si>
  <si>
    <t>10A.8.23.0</t>
  </si>
  <si>
    <t>Possessing firearm or imitation firearm with intent to cause fear of violence</t>
  </si>
  <si>
    <t>Possessing firearm or imitation firearm with intent to cause fear of violence (Indictable)</t>
  </si>
  <si>
    <t>008/23</t>
  </si>
  <si>
    <t>Firearms Act 1968 Sec 16A</t>
  </si>
  <si>
    <t>10A.8.25.0</t>
  </si>
  <si>
    <t>Possessing air weapon or imitation firearm with intent to cause fear of violence</t>
  </si>
  <si>
    <t>Possessing air weapon or imitation firearm with intent to cause fear of violence (Indictable)</t>
  </si>
  <si>
    <t>008/25</t>
  </si>
  <si>
    <t>25</t>
  </si>
  <si>
    <t>FI68323</t>
  </si>
  <si>
    <t>10B.81.17.0</t>
  </si>
  <si>
    <t>Possessing or distributing prohibited weapons or ammunition</t>
  </si>
  <si>
    <t>Possessing or distributing prohibited weapons or ammunition (Indictable)</t>
  </si>
  <si>
    <t>081/17</t>
  </si>
  <si>
    <t>Firearms Act 1968 Sec 5(1) as amended by Criminal Justice &amp; Public Order Act 1994 Sec 157 Sch. 8 part III</t>
  </si>
  <si>
    <t>19C.19.12.0</t>
  </si>
  <si>
    <t>Attempted rape of a female aged 16 or over</t>
  </si>
  <si>
    <t>Attempted rape of a female (16 or over) (Indictable)</t>
  </si>
  <si>
    <t>5 years custody</t>
  </si>
  <si>
    <t>RAPE OF A FEMALE AGED 16 AND OVER</t>
  </si>
  <si>
    <t>19C</t>
  </si>
  <si>
    <t>019/12</t>
  </si>
  <si>
    <t>12</t>
  </si>
  <si>
    <t>19C.19.8.0</t>
  </si>
  <si>
    <t>Rape of a female aged 16 or over</t>
  </si>
  <si>
    <t>Rape of a female (16 or over) (Indictable)</t>
  </si>
  <si>
    <t>19F.19.10.0</t>
  </si>
  <si>
    <t>Rape of a male aged 16 or over</t>
  </si>
  <si>
    <t>Rape of a male (16 or over) (Indictable)</t>
  </si>
  <si>
    <t>RAPE OF A MALE AGED 16 AND OVER</t>
  </si>
  <si>
    <t>19F</t>
  </si>
  <si>
    <t>019/10</t>
  </si>
  <si>
    <t>19F.19.14.0</t>
  </si>
  <si>
    <t>Attempted rape of a male aged 16 or over</t>
  </si>
  <si>
    <t>Attempted rape of a male (16 or over) (Indictable)</t>
  </si>
  <si>
    <t>019/14</t>
  </si>
  <si>
    <t>37.1.37.1.0</t>
  </si>
  <si>
    <t>Causing death by aggravated vehicle taking</t>
  </si>
  <si>
    <t>5 years</t>
  </si>
  <si>
    <t>14 years</t>
  </si>
  <si>
    <t>https://www.sentencingcouncil.org.uk/offences/crown-court/item/causing-death-by-dangerous-driving/</t>
  </si>
  <si>
    <t>CAUSING DEATH BY AGG VEHICLE TAKING</t>
  </si>
  <si>
    <t>37/1</t>
  </si>
  <si>
    <t>037/01</t>
  </si>
  <si>
    <t>37</t>
  </si>
  <si>
    <t>Theft Act 1968 Sec 12A (as added by the Aggravated Vehicle Taking Act 1992 Sec 2)</t>
  </si>
  <si>
    <t>5E.5.14.0</t>
  </si>
  <si>
    <t>Possession of firearm with intent to endanger life</t>
  </si>
  <si>
    <t>Possession of firearm with intent to endanger life (Indictable)</t>
  </si>
  <si>
    <t>Yes - but draft consultation only</t>
  </si>
  <si>
    <t>https://www.sentencingcouncil.org.uk/offences/crown-court/item/firearms-possession-with-intent-to-endanger-life-for-consultation-only/</t>
  </si>
  <si>
    <t>005/14</t>
  </si>
  <si>
    <t>Firearms Act 1968 Sec 16</t>
  </si>
  <si>
    <t>8S.5.1.0</t>
  </si>
  <si>
    <t>Assault Police - Assault with Intent to cause Serious Harm - Wounding with intent to do grievous bodily harm</t>
  </si>
  <si>
    <t>Assault Police -Wounding with intent to do grievous bodily harm (Indictable) (S.18)</t>
  </si>
  <si>
    <t>Offence committed against emergency worker increases severity of sentence</t>
  </si>
  <si>
    <t>16 years/life</t>
  </si>
  <si>
    <t>ASSAULT WITH INJURY ON A CONSTABLE</t>
  </si>
  <si>
    <t>8S</t>
  </si>
  <si>
    <t>005/01</t>
  </si>
  <si>
    <t>CRIME</t>
  </si>
  <si>
    <t>Offences against the Person Act 1861 Sec 18</t>
  </si>
  <si>
    <t>8S.5.1.0A</t>
  </si>
  <si>
    <t>Attempted - Assault Police - Assault with Intent to cause Serious Harm - Wounding with intent to do grievous bodily harm</t>
  </si>
  <si>
    <t>Attempted - Assault Police -Wounding with intent to do grievous bodily harm (Indictable) (S.18)</t>
  </si>
  <si>
    <t>8S.5.1.1</t>
  </si>
  <si>
    <t>Assault Police - Wounding with intent to resist/prevent arrest</t>
  </si>
  <si>
    <t>Assault Police - Wounding with intent to resist/prevent arrest (S.18)</t>
  </si>
  <si>
    <t>8S.5.1.1A</t>
  </si>
  <si>
    <t>Attempted - Assault Police - Wounding with intent to resist/prevent arrest</t>
  </si>
  <si>
    <t>Attempted - Assault Police - Wounding with intent to resist/prevent arrest (S.18)</t>
  </si>
  <si>
    <t>1A</t>
  </si>
  <si>
    <t>8S.5.1.2</t>
  </si>
  <si>
    <t>Assault Police – Cause GBH with intent to resist/prevent arrest.</t>
  </si>
  <si>
    <t>Assault Police - Cause GBH with intent to resist/prevent arrest. (S.18)</t>
  </si>
  <si>
    <t>13.13.2.0</t>
  </si>
  <si>
    <t>Child Abduction - Abduction of child by other persons</t>
  </si>
  <si>
    <t>Used GBH intent for non parental abduction</t>
  </si>
  <si>
    <t>4 years</t>
  </si>
  <si>
    <t>on summary conviction, to imprisonment for a term not exceeding six months or to a fine not exceeding the statutory maximum, F1. . . or to both such imprisonment and fine;</t>
  </si>
  <si>
    <t>http://www.legislation.gov.uk/ukpga/1984/37/section/4</t>
  </si>
  <si>
    <t>CHILD ABDUCTION</t>
  </si>
  <si>
    <t>013/02</t>
  </si>
  <si>
    <t>Child Abduction Act 1984 Sec 2 (as amended by the Children's Act 1989)</t>
  </si>
  <si>
    <t>13.13.2.0A</t>
  </si>
  <si>
    <t>Attempted - Child Abduction - Abduction of child by other persons</t>
  </si>
  <si>
    <t>4 Years</t>
  </si>
  <si>
    <t>14.14.1.0</t>
  </si>
  <si>
    <t>Procuring Illegal Abortion - Administering drugs or using instruments to procure abortion</t>
  </si>
  <si>
    <t>Administering drugs or using instruments to procure abortion (Indictable)</t>
  </si>
  <si>
    <t xml:space="preserve">The OAPA act says penal servitude which seems a bit outdated. Used GBH intent as an approximation. </t>
  </si>
  <si>
    <t xml:space="preserve">The OAPA act says penal servitude which seems a bit outdated. Suggest using GBH intent? </t>
  </si>
  <si>
    <t>PROCURING ILLEGAL ABORTION</t>
  </si>
  <si>
    <t>014/01</t>
  </si>
  <si>
    <t>Offences against the Person Act 1861 Sec 58 as amended by Abortion Act 1967</t>
  </si>
  <si>
    <t>17B.17.14.0</t>
  </si>
  <si>
    <t>Assault of a male child under 13 by penetration</t>
  </si>
  <si>
    <t>Assault of a male child under 13 by penetration (Indictable)</t>
  </si>
  <si>
    <t>SEXUAL ASSAULT ON A M CHILD UNDER 13</t>
  </si>
  <si>
    <t>17B</t>
  </si>
  <si>
    <t>017/14</t>
  </si>
  <si>
    <t>Sexual Offences Act 2003 Sec 6</t>
  </si>
  <si>
    <t>SX03016</t>
  </si>
  <si>
    <t>20B.20.4.0</t>
  </si>
  <si>
    <t>Assault of a female child under 13 by penetration</t>
  </si>
  <si>
    <t>Assault of a female child under 13 by penetration (Indictable)</t>
  </si>
  <si>
    <t>SEXUAL ASSAULT ON A F CHILD UNDER 13</t>
  </si>
  <si>
    <t>20B</t>
  </si>
  <si>
    <t>020/04</t>
  </si>
  <si>
    <t>20</t>
  </si>
  <si>
    <t>Sexual Offences Act 2003 Sec 6(pt)</t>
  </si>
  <si>
    <t>21.21.12.0</t>
  </si>
  <si>
    <t>Sexual activity with a child under 13 by an offender under 18 years of age: Female child - penetration</t>
  </si>
  <si>
    <t>021/12</t>
  </si>
  <si>
    <t>SX03035</t>
  </si>
  <si>
    <t>21.21.13.0</t>
  </si>
  <si>
    <t>Sexual activity with a child under 13 by an offender under 18 years of age: Male child - penetration</t>
  </si>
  <si>
    <t>021/13</t>
  </si>
  <si>
    <t>SX03036</t>
  </si>
  <si>
    <t>36.36.1.0</t>
  </si>
  <si>
    <t>Kidnapping - Kidnapping</t>
  </si>
  <si>
    <t>Kidnapping - Kidnapping (Indictable)</t>
  </si>
  <si>
    <t>Scored as GBH intent</t>
  </si>
  <si>
    <t>036/01</t>
  </si>
  <si>
    <t>Common Law.</t>
  </si>
  <si>
    <t>36.36.1.0A</t>
  </si>
  <si>
    <t>Attempted - Kidnapping - Kidnapping</t>
  </si>
  <si>
    <t>Attempted - Kidnapping  (Indictable)</t>
  </si>
  <si>
    <t>36.36.3.0</t>
  </si>
  <si>
    <t>Kidnapping - False imprisonment</t>
  </si>
  <si>
    <t>Kidnapping - False imprisonment (Indictable)</t>
  </si>
  <si>
    <t>036/03</t>
  </si>
  <si>
    <t>COML017</t>
  </si>
  <si>
    <t>59.59.14.0</t>
  </si>
  <si>
    <t>Manufacture or possession of explosives under suspicious circumstances</t>
  </si>
  <si>
    <t>Scored as making or keeping explosive with the intent to endanger life or property</t>
  </si>
  <si>
    <t xml:space="preserve">4 years </t>
  </si>
  <si>
    <t>MISCELLANEOUS CRIMES AGAINST SOCIETY</t>
  </si>
  <si>
    <t>MISC CRIMES AGAINST SOCIETY</t>
  </si>
  <si>
    <t>THREAT INTENT TO COMMIT CRIM DAM</t>
  </si>
  <si>
    <t>59</t>
  </si>
  <si>
    <t>059/14</t>
  </si>
  <si>
    <t>Explosive Substances Act 1883 Sec 4 (1)</t>
  </si>
  <si>
    <t>59.59.15.0</t>
  </si>
  <si>
    <t>Possessing or making an explosive substance, a noxious or dangerous thing, machine, engine, or instrument with intent to commit an offence under this act</t>
  </si>
  <si>
    <t>Scored as  making or keeping explosive with the intent to endanger life or property</t>
  </si>
  <si>
    <t>059/15</t>
  </si>
  <si>
    <t>Offences against the Person Act 1861 Sec 64</t>
  </si>
  <si>
    <t>5D.5.1.0</t>
  </si>
  <si>
    <t>Assault with Intent to cause Serious Harm - Wounding with intent to do grievous bodily harm</t>
  </si>
  <si>
    <t>Wounding with intent to do grievous bodily harm (Indictable)</t>
  </si>
  <si>
    <t>ASSAULT WITH INTENT TO CAUSE S HARM</t>
  </si>
  <si>
    <t>5D</t>
  </si>
  <si>
    <t>5D.5.1.0A</t>
  </si>
  <si>
    <t>Attempted - Assault with Intent to cause Serious Harm - Wounding with intent to do grievous bodily harm</t>
  </si>
  <si>
    <t>Attempted - Wounding with intent to do grievous bodily harm (Indictable)</t>
  </si>
  <si>
    <t>8N.8.52.0</t>
  </si>
  <si>
    <t>Assault with Injury -  female genital mutilation - Excise, infibulate, aid, abet, counsel</t>
  </si>
  <si>
    <t>Female genital mutilation - Excise, infibulate, aid, abet, counsel</t>
  </si>
  <si>
    <t>Ranges from 6 months max if tried summarily to 14 years on indictment</t>
  </si>
  <si>
    <t>14 years custody</t>
  </si>
  <si>
    <t>https://www.cps.gov.uk/cps/cps-factsheet-female-genital-mutilation</t>
  </si>
  <si>
    <t>ASSAULT WITH INJURY</t>
  </si>
  <si>
    <t>8N</t>
  </si>
  <si>
    <t>008/52</t>
  </si>
  <si>
    <t>52</t>
  </si>
  <si>
    <t>Female Genital Mutilation Act 2003</t>
  </si>
  <si>
    <t>23.23.4.0</t>
  </si>
  <si>
    <t>Sexual activity with a child family member - Female - Victim aged 13-17 - 18 or over - penetration</t>
  </si>
  <si>
    <t>Sexual activity with a child family member - Female - Victim aged 13-17 - 18 or over - penetration (Indictable)</t>
  </si>
  <si>
    <t>3 years 6 months</t>
  </si>
  <si>
    <t>023/04</t>
  </si>
  <si>
    <t>3A.3.3.1</t>
  </si>
  <si>
    <t>Conspiracy to Murder - Assisting offender by impeding his apprehension or prosecution In a case of murder</t>
  </si>
  <si>
    <t>Assisting offender by impeding his apprehension or prosecution In a case of murder (Indictable)</t>
  </si>
  <si>
    <t xml:space="preserve">CPS guidance states "The maximum sentence for the offence varies from three to ten years' imprisonment, depending on the punishment applicable to the principal offence: s.4(3)." Since this is specific to murder I suggest using 3 years as a starting point for now. </t>
  </si>
  <si>
    <t>Three years</t>
  </si>
  <si>
    <t>10 years’ custody</t>
  </si>
  <si>
    <t>https://www.cps.gov.uk/legal-guidance/public-justice-offences-incorporating-charging-standard#a35</t>
  </si>
  <si>
    <t>003/03</t>
  </si>
  <si>
    <t>Criminal Law Act 1967 Sec 4(1)(pt).</t>
  </si>
  <si>
    <t>CL67010</t>
  </si>
  <si>
    <t>4.4.4.4.0</t>
  </si>
  <si>
    <t>Causing death by dangerous driving</t>
  </si>
  <si>
    <t>Causing death by dangerous driving (Indictable)</t>
  </si>
  <si>
    <t>3 years</t>
  </si>
  <si>
    <t>DEATH OR SER INJ BY DANGEROUS DRIVING</t>
  </si>
  <si>
    <t>4/4</t>
  </si>
  <si>
    <t>004/04</t>
  </si>
  <si>
    <t>Road Traffic Act 1988 Sec 1 (as added by the Road Traffic Act 1991 Sec 1 and amended by Criminal Justice Act 1993 Sec 67)</t>
  </si>
  <si>
    <t>8S.8.1.1</t>
  </si>
  <si>
    <t>Assault Police - Assault with Injury - Malicious wounding: wounding or inflicting grievous bodily harm (Serious wound or equivalent)</t>
  </si>
  <si>
    <t>Assault Police - GBH serious wound without intent (s20)</t>
  </si>
  <si>
    <t>Used aggravated GBH score since offence says serious wound. Plus Offence committed against emergency worker increases severity of sentence.</t>
  </si>
  <si>
    <t>2 years 6 months</t>
  </si>
  <si>
    <t>https://www.sentencingcouncil.org.uk/offences/crown-court/item/inflicting-grievous-bodily-harm-unlawful-wounding/</t>
  </si>
  <si>
    <t>008/01</t>
  </si>
  <si>
    <t>Offences against the Person Act 1861 Sec 20</t>
  </si>
  <si>
    <t>OF61131</t>
  </si>
  <si>
    <t>8S.8.1.1A</t>
  </si>
  <si>
    <t>Attempted - Assault Police - Assault with Injury - Malicious wounding: wounding or inflicting grievous bodily harm (Serious wound or equivalent)</t>
  </si>
  <si>
    <t>Attempted - Assault Police - GBH serious wound without intent (s20)</t>
  </si>
  <si>
    <t>10B.81.26.0</t>
  </si>
  <si>
    <t>Carrying loaded firearm or any other firearm (whether loaded or not) together with ammunition suitable for use in that firearm in a public place etc</t>
  </si>
  <si>
    <t xml:space="preserve">Draft guidelines only may need to be revised when final guidelines are published.   -&gt; Used loaded, and schedule 1 </t>
  </si>
  <si>
    <t xml:space="preserve">2 years </t>
  </si>
  <si>
    <t>7 years</t>
  </si>
  <si>
    <t>081/26</t>
  </si>
  <si>
    <t>26</t>
  </si>
  <si>
    <t>Firearms Act 1968 Sec 19 as amended by    Criminal Justice &amp; Public Order Act 1994 Sec 157 Sch. 8 part III</t>
  </si>
  <si>
    <t>10B.81.27.0</t>
  </si>
  <si>
    <t>081/27</t>
  </si>
  <si>
    <t>27</t>
  </si>
  <si>
    <t>Firearms Act 1968 Sec 19 as amended by Criminal Justice &amp; Public Order Act 1994 Sec 157 Sch. 8 part III</t>
  </si>
  <si>
    <t>FI68089</t>
  </si>
  <si>
    <t>17A.17.13.0</t>
  </si>
  <si>
    <t>Assault on a male by penetration</t>
  </si>
  <si>
    <t>Assault on a male by penetration (Indictable)</t>
  </si>
  <si>
    <t>SEXUAL ASSAULT ON A M 13 AND OVER</t>
  </si>
  <si>
    <t>17A</t>
  </si>
  <si>
    <t>017/13</t>
  </si>
  <si>
    <t>Sexual Offences Act 2003 Sec 2</t>
  </si>
  <si>
    <t>20A.20.3.0</t>
  </si>
  <si>
    <t>Assault on a female by penetration</t>
  </si>
  <si>
    <t>Assault on a female by penetration (Indictable)</t>
  </si>
  <si>
    <t>SEXUAL ASSAULT ON A F 13 OR OVER</t>
  </si>
  <si>
    <t>20A</t>
  </si>
  <si>
    <t>020/03</t>
  </si>
  <si>
    <t>Sexual Offences Act 2003 Sec 2(pt)</t>
  </si>
  <si>
    <t>21.21.22.0</t>
  </si>
  <si>
    <t>Sexual activity with a child under 13 by an offender under 18 years of age: Female child  no penetration</t>
  </si>
  <si>
    <t>021/22</t>
  </si>
  <si>
    <t>22</t>
  </si>
  <si>
    <t>SX03164</t>
  </si>
  <si>
    <t>21.21.23.0</t>
  </si>
  <si>
    <t>Sexual activity with a child under 13 by an offender under 18 years of age: Male child  no penetration</t>
  </si>
  <si>
    <t>021/23</t>
  </si>
  <si>
    <t>SX03165</t>
  </si>
  <si>
    <t>21.21.24.0</t>
  </si>
  <si>
    <t>Causing or inciting a child under 13 to engage in sexual activity by an offender under 18 years of age: Female child  no penetration</t>
  </si>
  <si>
    <t>021/24</t>
  </si>
  <si>
    <t>SX03168</t>
  </si>
  <si>
    <t>21.21.25.0</t>
  </si>
  <si>
    <t>Causing or inciting a child under 13 to engage in sexual activity by an offender under 18 years of age: Male child  no penetration</t>
  </si>
  <si>
    <t>021/25</t>
  </si>
  <si>
    <t>SX03169</t>
  </si>
  <si>
    <t>21.21.3.0</t>
  </si>
  <si>
    <t>Causing or inciting a child under 13 to engage in sexual activity: Female child  no penetration</t>
  </si>
  <si>
    <t>021/03</t>
  </si>
  <si>
    <t>21.21.3.0A</t>
  </si>
  <si>
    <t>Attempted - Causing or inciting a child under 13 to engage in sexual activity: Female child  no penetration</t>
  </si>
  <si>
    <t>21.21.5.0</t>
  </si>
  <si>
    <t>Causing or inciting a child under 13 to engage in sexual activity: Male child  no penetration</t>
  </si>
  <si>
    <t>021/05</t>
  </si>
  <si>
    <t>21.21.5.0A</t>
  </si>
  <si>
    <t>Attempted - Causing or inciting a child under 13 to engage in sexual activity: Male child  no penetration</t>
  </si>
  <si>
    <t>22A.22.2.0</t>
  </si>
  <si>
    <t>Causing a person to engage in sexual activity without consent: Female person</t>
  </si>
  <si>
    <t>Causing a person to engage in sexual activity without consent: Female person (Indictable)</t>
  </si>
  <si>
    <t>Scored for penetration version of the offence</t>
  </si>
  <si>
    <t>CAUSING SEXUAL ACTIVITY WITHOUT CONSENT</t>
  </si>
  <si>
    <t>22A</t>
  </si>
  <si>
    <t>022/02</t>
  </si>
  <si>
    <t>Sexual Offences Act 2003 Sec 4.</t>
  </si>
  <si>
    <t>SX03011</t>
  </si>
  <si>
    <t>22A.22.2.0A</t>
  </si>
  <si>
    <t>Attempted - Causing a person to engage in sexual activity without consent: Female person</t>
  </si>
  <si>
    <t>Attempted - Causing a person to engage in sexual activity without consent: Female person (Indictable)</t>
  </si>
  <si>
    <t>SX03011A</t>
  </si>
  <si>
    <t>22A.22.3.0</t>
  </si>
  <si>
    <t>Causing a person to engage in sexual activity without consent: Male person</t>
  </si>
  <si>
    <t>Causing a person to engage in sexual activity without consent: Male person (Indictable)</t>
  </si>
  <si>
    <t>022/03</t>
  </si>
  <si>
    <t>SX03012</t>
  </si>
  <si>
    <t>22A.22.3.0A</t>
  </si>
  <si>
    <t>Attempted - Causing a person to engage in sexual activity without consent: Male person</t>
  </si>
  <si>
    <t>Attempted - Causing a person to engage in sexual activity without consent: Male person (Indictable)</t>
  </si>
  <si>
    <t>29A.29.0.1</t>
  </si>
  <si>
    <t>Aggravated Burglary - Residential - Dwelling</t>
  </si>
  <si>
    <t>https://www.sentencingcouncil.org.uk/wp-content/uploads/Burglary-definitive-guideline-Web.pdf</t>
  </si>
  <si>
    <t>BURGLARY</t>
  </si>
  <si>
    <t>BURGLARY - RESIDENTIAL</t>
  </si>
  <si>
    <t>AGGRAVATED BURGLARY - RESIDENTIAL</t>
  </si>
  <si>
    <t>29A</t>
  </si>
  <si>
    <t>029/00</t>
  </si>
  <si>
    <t>29</t>
  </si>
  <si>
    <t>Theft Act 1968 Sec 9</t>
  </si>
  <si>
    <t>29A.29.0.2</t>
  </si>
  <si>
    <t>Aggravated Burglary - Residential - Non-Dwelling</t>
  </si>
  <si>
    <t>29A.29.0.3A</t>
  </si>
  <si>
    <t>Attempted Aggravated Burglary - Residential - Dwelling</t>
  </si>
  <si>
    <t>30E.31.0.1</t>
  </si>
  <si>
    <t>Aggravated Burglary - Business And Community</t>
  </si>
  <si>
    <t>BURGLARY - BUSINESS AND COMMUNITY</t>
  </si>
  <si>
    <t>AGG BURG - BUS AND COM</t>
  </si>
  <si>
    <t>31A</t>
  </si>
  <si>
    <t>031/00</t>
  </si>
  <si>
    <t>31</t>
  </si>
  <si>
    <t>30E.31.0.2A</t>
  </si>
  <si>
    <t>Attempted Aggravated Burglary - Business And Community</t>
  </si>
  <si>
    <t>4.1.4.1.0</t>
  </si>
  <si>
    <t>Manslaughter</t>
  </si>
  <si>
    <t>Manslaughter (Indictable)</t>
  </si>
  <si>
    <t>https://www.sentencingcouncil.org.uk/offences/crown-court/item/gross-negligence-manslaughter/</t>
  </si>
  <si>
    <t>MANSLAUGHTER</t>
  </si>
  <si>
    <t>4/1</t>
  </si>
  <si>
    <t>004/01</t>
  </si>
  <si>
    <t>Offences against the Person Act 1861 Sec 5, Common Law</t>
  </si>
  <si>
    <t>COML022</t>
  </si>
  <si>
    <t>66.66.53.0</t>
  </si>
  <si>
    <t>Publish/cause another to publish a statement intending to or recklessly encouraging terrorism</t>
  </si>
  <si>
    <t>Used culpability B to distinguish between base offence and recklessy encouraging</t>
  </si>
  <si>
    <t>https://www.sentencingcouncil.org.uk/wp-content/uploads/Terrorism-offences-definitive-guideline-Web.pdf</t>
  </si>
  <si>
    <t>PUBLIC ORDER OFFENCES</t>
  </si>
  <si>
    <t>OTHER OFFENCES PUBLIC ORDER</t>
  </si>
  <si>
    <t>STATE OR PUBLIC ORDER</t>
  </si>
  <si>
    <t>66</t>
  </si>
  <si>
    <t>066/53</t>
  </si>
  <si>
    <t>53</t>
  </si>
  <si>
    <t>Terrorism Act 2006 Sec 1.</t>
  </si>
  <si>
    <t>TR06001</t>
  </si>
  <si>
    <t>76.76.1.0</t>
  </si>
  <si>
    <t>Intentionally doing an act capable of encouraging or assisting the suicide or attempted suicide of another</t>
  </si>
  <si>
    <t>Intentionally doing an act capable of encouraging or assisting the suicide or attempted suicide of another (Indictable)</t>
  </si>
  <si>
    <t>Scored using manslaughter guidelines - (Unlawful act manslaughter). Minimum sentence manslaughter would be 2 years</t>
  </si>
  <si>
    <t>http://www.legislation.gov.uk/ukpga/Eliz2/9-10/60 &amp; https://www.sentencingcouncil.org.uk/offences/crown-court/item/unlawful-act-manslaughter/</t>
  </si>
  <si>
    <t>AIDING SUICIDE</t>
  </si>
  <si>
    <t>76</t>
  </si>
  <si>
    <t>076/01</t>
  </si>
  <si>
    <t>Suicide Act 1961 Sec 2(1)</t>
  </si>
  <si>
    <t>88C.88.5.0</t>
  </si>
  <si>
    <t>Administering a substance with intent</t>
  </si>
  <si>
    <t>10 years</t>
  </si>
  <si>
    <t>https://www.sentencingcouncil.org.uk/offences/crown-court/item/administering-a-substance-with-intent/</t>
  </si>
  <si>
    <t>OTHER MISC SEXUAL OFFENCES</t>
  </si>
  <si>
    <t>88C</t>
  </si>
  <si>
    <t>088/05</t>
  </si>
  <si>
    <t>Sexual Offences Act 2003 Sec 61</t>
  </si>
  <si>
    <t>SX03123</t>
  </si>
  <si>
    <t>88C.88.7.0</t>
  </si>
  <si>
    <t>Trespass with intent to commit a sexual offence</t>
  </si>
  <si>
    <t>https://www.sentencingcouncil.org.uk/offences/crown-court/item/trespass-with-intent-to-commit-a-sexual-offence/</t>
  </si>
  <si>
    <t>088/07</t>
  </si>
  <si>
    <t>Sexual Offences Act 2003 Sec 63</t>
  </si>
  <si>
    <t>SX03125</t>
  </si>
  <si>
    <t>95.95.76.0</t>
  </si>
  <si>
    <t>Triable-either-way offences under the Money Laundering, Terrorist Financing and Transfer of Funds (Information on the Payer) Regulations 2017</t>
  </si>
  <si>
    <t>Triable-either-way offences – Money Laundering/Terrorise Financing 2017</t>
  </si>
  <si>
    <t>2 years</t>
  </si>
  <si>
    <t>https://www.sentencingcouncil.org.uk/offences/crown-court/item/funding-terrorism/</t>
  </si>
  <si>
    <t>DISCLOS, OBSTR, FALSE OR MISLEAD STATE</t>
  </si>
  <si>
    <t>095/76</t>
  </si>
  <si>
    <t>Money Laundering, Terrorist Financing and Transfer of Funds (Information on the Payer) Regulations 2017</t>
  </si>
  <si>
    <t>99.99.25.0</t>
  </si>
  <si>
    <t>Knowingly hold another person in slavery/servitude</t>
  </si>
  <si>
    <t xml:space="preserve">No sentence guide available sentences given for the offence range from 2 years up. Law says the offence can be viewed as a violent one, so it is fairly serious. Used 2 years as current starting point. </t>
  </si>
  <si>
    <t xml:space="preserve"> </t>
  </si>
  <si>
    <t>10 years indictment, 12 months summary, a fine or both</t>
  </si>
  <si>
    <t>http://www.antislaverycommissioner.co.uk/media/1063/ukpga_20150030_en.pdf</t>
  </si>
  <si>
    <t>MODERN SLAVERY</t>
  </si>
  <si>
    <t>099/25</t>
  </si>
  <si>
    <t>Coroners and Criminal Justice Act 2009 Sec 71(1)(a) &amp; (3)</t>
  </si>
  <si>
    <t>10C.8.63.0</t>
  </si>
  <si>
    <t>Threaten with an offensive weapon on school premises</t>
  </si>
  <si>
    <t xml:space="preserve">Offence committed on school premises is seen as an aggravating factor in the guidelines. </t>
  </si>
  <si>
    <t>1 year 6 months’ custody</t>
  </si>
  <si>
    <t>3 years’ custody</t>
  </si>
  <si>
    <t>https://www.sentencingcouncil.org.uk/offences/magistrates-court/item/bladed-articles-and-offensive-weapons-possession/</t>
  </si>
  <si>
    <t>POSSESSION OF OTHER WEAPONS</t>
  </si>
  <si>
    <t>10C</t>
  </si>
  <si>
    <t>008/63</t>
  </si>
  <si>
    <t>63</t>
  </si>
  <si>
    <t>Criminal Justice Act 1988 Sec 139 AA as inserted by Legal Aid, Sentencing and Punishment of Offenders Act 2012</t>
  </si>
  <si>
    <t>10D.8.62.0</t>
  </si>
  <si>
    <t>Threaten with a blade or sharply pointed article on school premises</t>
  </si>
  <si>
    <t>https://www.sentencingcouncil.org.uk/offences/magistrates-court/item/bladed-articles-and-offensive-weapons-threats/</t>
  </si>
  <si>
    <t>POSSESS OF ARTICLE WITH BLADE OR POINT</t>
  </si>
  <si>
    <t>10D</t>
  </si>
  <si>
    <t>008/62</t>
  </si>
  <si>
    <t>62</t>
  </si>
  <si>
    <t>86.86.2.0</t>
  </si>
  <si>
    <t>Take or to make or to distribute indecent photographs or pseudo- photographs, of children</t>
  </si>
  <si>
    <t>Scored as production offence</t>
  </si>
  <si>
    <t>18 months</t>
  </si>
  <si>
    <t>10 year</t>
  </si>
  <si>
    <t>https://www.sentencingcouncil.org.uk/offences/crown-court/item/possession-of-indecent-photograph-of-child/</t>
  </si>
  <si>
    <t>OBSCENE PUBLICATIONS ETC</t>
  </si>
  <si>
    <t>86</t>
  </si>
  <si>
    <t>086/02</t>
  </si>
  <si>
    <t>Protection of Children Act 1978 Secs 1 &amp; 6 as amended by the Criminal Justice &amp; Public Order Act 1994 Sec 84</t>
  </si>
  <si>
    <t>86.86.2.0A</t>
  </si>
  <si>
    <t>Attempted - Take or to make or to distribute indecent photographs or pseudo- photographs, of children</t>
  </si>
  <si>
    <t>88A.88.1.0</t>
  </si>
  <si>
    <t>Meeting a female child following sexual grooming etc (Offender is aged 18 or over and victim is under 16)</t>
  </si>
  <si>
    <t>https://www.sentencingcouncil.org.uk/offences/crown-court/item/meeting-a-child-following-sexual-grooming/</t>
  </si>
  <si>
    <t>SEXUAL GROOMING</t>
  </si>
  <si>
    <t>88A</t>
  </si>
  <si>
    <t>088/01</t>
  </si>
  <si>
    <t>Sexual Offences Act 2003 Sec 15</t>
  </si>
  <si>
    <t>88A.88.1.0A</t>
  </si>
  <si>
    <t>Attempted - Meeting a female child following sexual grooming etc (Offender is aged 18 or over and victim is under 16)</t>
  </si>
  <si>
    <t>88A.88.2.0</t>
  </si>
  <si>
    <t>Meeting a male child following sexual grooming etc (Offender is 18 or over and victim is under 16)</t>
  </si>
  <si>
    <t>088/02</t>
  </si>
  <si>
    <t>88A.88.2.0A</t>
  </si>
  <si>
    <t>Attempted - Meeting a male child following sexual grooming etc (Offender is 18 or over and victim is under 16)</t>
  </si>
  <si>
    <t>8N.8.1.1</t>
  </si>
  <si>
    <t>Assault with Injury - Malicious wounding: wounding or inflicting grievous bodily harm (Serious wound or equivalent)</t>
  </si>
  <si>
    <t>GBH serious wound without intent (s20)</t>
  </si>
  <si>
    <t>Used higher harm category since offence specifies a serious injury</t>
  </si>
  <si>
    <t>1 year 6 months</t>
  </si>
  <si>
    <t>https://www.sentencingcouncil.org.uk/offences/magistrates-court/item/inflicting-grievous-bodily-harm-unlawful-wounding/</t>
  </si>
  <si>
    <t>Offences against the Person Act 1861 Sec 20.</t>
  </si>
  <si>
    <t>8N.8.1.1A</t>
  </si>
  <si>
    <t>Attempted - Assault with Injury - Malicious wounding: wounding or inflicting grievous bodily harm (Serious wound or equivalent)</t>
  </si>
  <si>
    <t>Attempted - GBH serious wound without intent (s20)</t>
  </si>
  <si>
    <t>8N.8.2.0</t>
  </si>
  <si>
    <t>Assault with Injury - Administering poison with intent to injure or annoy</t>
  </si>
  <si>
    <t>Administer poison/noxious thing to injure/annoy (Indictable)</t>
  </si>
  <si>
    <t xml:space="preserve">Used serious GBH without intent. Cases vary starting at approx 2 yrs and going to life for one case involving murder. </t>
  </si>
  <si>
    <t xml:space="preserve">"Penal servitude" -&gt; bit out of date! </t>
  </si>
  <si>
    <t>008/02</t>
  </si>
  <si>
    <t>Offences against the Person Act 1861 Sec 24</t>
  </si>
  <si>
    <t>OF61127</t>
  </si>
  <si>
    <t>8N.8.2.0A</t>
  </si>
  <si>
    <t>Attempted - Assault with Injury - Administering poison with intent to injure or annoy</t>
  </si>
  <si>
    <t>Attempted - Administer poison/noxious thing to injure/annoy (Indictable)</t>
  </si>
  <si>
    <t xml:space="preserve">Used serious GBH without intent. Cases vary starting at approx 1-2 yrs and going to life for one case involving murder. </t>
  </si>
  <si>
    <t>92A.92.10.0</t>
  </si>
  <si>
    <t>Production or being concerned in production of a controlled drug - Class A - Cocaine</t>
  </si>
  <si>
    <t>https://www.sentencingcouncil.org.uk/offences/crown-court/item/production-of-a-controlled-drug-cultivation-of-cannabis-plant/</t>
  </si>
  <si>
    <t>DRUG OFFENCES</t>
  </si>
  <si>
    <t>TRAFFICKING OF DRUGS</t>
  </si>
  <si>
    <t>92A</t>
  </si>
  <si>
    <t>092/10</t>
  </si>
  <si>
    <t>92</t>
  </si>
  <si>
    <t>Misuse of Drugs Act 1971 Sec 2</t>
  </si>
  <si>
    <t>92A.92.11.0</t>
  </si>
  <si>
    <t>Production or being concerned in production of a controlled drug - Class A - Heroin</t>
  </si>
  <si>
    <t>092/11</t>
  </si>
  <si>
    <t>92A.92.14.0</t>
  </si>
  <si>
    <t>Production or being concerned in production of a controlled drug - Class A - Crack</t>
  </si>
  <si>
    <t>092/14</t>
  </si>
  <si>
    <t>92A.92.15.0</t>
  </si>
  <si>
    <t>Production or being concerned in production of a controlled drug - Class A - Methadone</t>
  </si>
  <si>
    <t>092/15</t>
  </si>
  <si>
    <t>92A.92.19.0</t>
  </si>
  <si>
    <t>Production or being concerned in production of a controlled drug - Class A - Other</t>
  </si>
  <si>
    <t>092/19</t>
  </si>
  <si>
    <t>92A.92.21.0</t>
  </si>
  <si>
    <t>Production or being concerned in production of a controlled drug - Class B - Cannabis</t>
  </si>
  <si>
    <t>092/21</t>
  </si>
  <si>
    <t>Misuse of Drugs Act 1971 Sec 6</t>
  </si>
  <si>
    <t>92A.92.25.0</t>
  </si>
  <si>
    <t>Production or being concerned in production of a controlled drug - Class B - Other</t>
  </si>
  <si>
    <t>092/25</t>
  </si>
  <si>
    <t>92A.92.30.0</t>
  </si>
  <si>
    <t>Supplying or offering to supply a controlled drug - Class A - Cocaine</t>
  </si>
  <si>
    <t>https://www.sentencingcouncil.org.uk/offences/crown-court/item/supplying-or-offering-to-supply-a-controlled-drug/</t>
  </si>
  <si>
    <t>092/30</t>
  </si>
  <si>
    <t>30</t>
  </si>
  <si>
    <t>Misuse of Drugs Act 1971 Sec 4(3)</t>
  </si>
  <si>
    <t>92A.92.31.0</t>
  </si>
  <si>
    <t>Supplying or offering to supply a controlled drug - Class A - Heroin</t>
  </si>
  <si>
    <t>092/31</t>
  </si>
  <si>
    <t>92A.92.31.0A</t>
  </si>
  <si>
    <t>Attempted - Supplying or offering to supply a controlled drug - Class A - Heroin</t>
  </si>
  <si>
    <t>92A.92.33.0</t>
  </si>
  <si>
    <t>Supplying or offering to supply a controlled drug - Class A - MDMA</t>
  </si>
  <si>
    <t>092/33</t>
  </si>
  <si>
    <t>33</t>
  </si>
  <si>
    <t>92A.92.34.0</t>
  </si>
  <si>
    <t>Supplying or offering to supply a controlled drug - Class A - Crack</t>
  </si>
  <si>
    <t>092/34</t>
  </si>
  <si>
    <t>34</t>
  </si>
  <si>
    <t>92A.92.39.0</t>
  </si>
  <si>
    <t>Supplying or offering to supply a controlled drug - Class A - Other</t>
  </si>
  <si>
    <t>092/39</t>
  </si>
  <si>
    <t>39</t>
  </si>
  <si>
    <t>92A.92.70.0</t>
  </si>
  <si>
    <t>Possession of a controlled drug with intent to supply - Class A - Cocaine</t>
  </si>
  <si>
    <t>092/70</t>
  </si>
  <si>
    <t>70</t>
  </si>
  <si>
    <t>Misuse of Drugs Act 1971 Sec5(3)</t>
  </si>
  <si>
    <t>92A.92.71.0</t>
  </si>
  <si>
    <t>Possession of a controlled drug with intent to supply - Class A - Heroin</t>
  </si>
  <si>
    <t>092/71</t>
  </si>
  <si>
    <t>71</t>
  </si>
  <si>
    <t>92A.92.71.0A</t>
  </si>
  <si>
    <t>Attempted - Possession of a controlled drug with intent to supply - Class A - Heroin</t>
  </si>
  <si>
    <t>92A.92.73.0</t>
  </si>
  <si>
    <t>Possession of a controlled drug with intent to supply - Class A - MDMA</t>
  </si>
  <si>
    <t>092/73</t>
  </si>
  <si>
    <t>73</t>
  </si>
  <si>
    <t>92A.92.74.0</t>
  </si>
  <si>
    <t>Possession of a controlled drug with intent to supply - Class A - Crack</t>
  </si>
  <si>
    <t>092/74</t>
  </si>
  <si>
    <t>74</t>
  </si>
  <si>
    <t>92A.92.74.0A</t>
  </si>
  <si>
    <t>Attempted - Possession of a controlled drug with intent to supply - Class A - Crack</t>
  </si>
  <si>
    <t>92A.92.75.0</t>
  </si>
  <si>
    <t>Possession of a controlled drug with intent to supply - Class A - Methadone</t>
  </si>
  <si>
    <t>092/75</t>
  </si>
  <si>
    <t>75</t>
  </si>
  <si>
    <t>92A.92.79.0</t>
  </si>
  <si>
    <t>Possession of a controlled drug with intent to supply - Class A - Other</t>
  </si>
  <si>
    <t>092/79</t>
  </si>
  <si>
    <t>79</t>
  </si>
  <si>
    <t>92A.92.90.0</t>
  </si>
  <si>
    <t>Possession of a controlled drug with intent to supply a class A controlled drug</t>
  </si>
  <si>
    <t>092/90</t>
  </si>
  <si>
    <t>90</t>
  </si>
  <si>
    <t>MD71515</t>
  </si>
  <si>
    <t>92A.93.55.0</t>
  </si>
  <si>
    <t>Production or being concerned in production of a controlled drug - Class A - Crystal Meths</t>
  </si>
  <si>
    <t>093/55</t>
  </si>
  <si>
    <t>93</t>
  </si>
  <si>
    <t>55</t>
  </si>
  <si>
    <t>Misuse of Drugs Act 1971 Sec 5(2)</t>
  </si>
  <si>
    <t>92A.93.61.0</t>
  </si>
  <si>
    <t>Supplying or offering to supply a controlled drug - Class A - Crystal Meths</t>
  </si>
  <si>
    <t>093/61</t>
  </si>
  <si>
    <t>61</t>
  </si>
  <si>
    <t>92C.93.44.0</t>
  </si>
  <si>
    <t>Possess a psychoactive substance with intent to supply</t>
  </si>
  <si>
    <t xml:space="preserve">Scored as Class A </t>
  </si>
  <si>
    <t>https://www.sentencingcouncil.org.uk/offences/crown-court/item/possession-of-a-controlled-drug/</t>
  </si>
  <si>
    <t>POSSESSION OF DRUGS</t>
  </si>
  <si>
    <t>OTHER DRUG OFFENCES</t>
  </si>
  <si>
    <t>92C</t>
  </si>
  <si>
    <t>093/44</t>
  </si>
  <si>
    <t>44</t>
  </si>
  <si>
    <t>Psychoactive Substances Act 2016 Sec 7</t>
  </si>
  <si>
    <t>PS16004</t>
  </si>
  <si>
    <t>10B.81.35.0</t>
  </si>
  <si>
    <t>Possession of firearms by persons previously convicted of crime (Group I)</t>
  </si>
  <si>
    <t xml:space="preserve">Draft guidelines only may need to be revised when final guidelines are published.  </t>
  </si>
  <si>
    <t xml:space="preserve">1 year </t>
  </si>
  <si>
    <t>081/35</t>
  </si>
  <si>
    <t>35</t>
  </si>
  <si>
    <t>Firearms Act 1968 Sec 21(4) as amended by Criminal Justice &amp; Public Order Act 1994 Sec 157 Sch. 8 part III</t>
  </si>
  <si>
    <t>10B.81.70.0</t>
  </si>
  <si>
    <t>Possessing or distributing prohibited weapons designed for discharge of noxious substances etc</t>
  </si>
  <si>
    <t>Used type 1 weapon possession</t>
  </si>
  <si>
    <t>081/70</t>
  </si>
  <si>
    <t>Firearms Act 1968 Sec 5(2)(b) as amended by the       Criminal Justice Act 2003 Sec 288</t>
  </si>
  <si>
    <t>10B.81.72.0</t>
  </si>
  <si>
    <t>Possessing or distributing other prohibited weapons</t>
  </si>
  <si>
    <t>081/72</t>
  </si>
  <si>
    <t>72</t>
  </si>
  <si>
    <t>Firearms Act 1968 Sec 5(1A)(b)(c)(d)(e)(f)(g) as amended by the       Criminal Justice Act 2003 Sec 288</t>
  </si>
  <si>
    <t>22B.22.12.0</t>
  </si>
  <si>
    <t>Sexual activity with a female child under 16 by Penetration - Offender Under 18</t>
  </si>
  <si>
    <t xml:space="preserve">Technically rape since the U 16 can't consent by law. However the guidelines seem to distinguish this as a specific offence with a lower starting point than the U16 rape.  </t>
  </si>
  <si>
    <t>1 year</t>
  </si>
  <si>
    <t>SEXUAL ACTIVITY CHILD UNDER 16</t>
  </si>
  <si>
    <t>22B</t>
  </si>
  <si>
    <t>022/12</t>
  </si>
  <si>
    <t>Sexual Offences Act 2003 Sec 13 (pt)</t>
  </si>
  <si>
    <t>SX03037</t>
  </si>
  <si>
    <t>22B.22.12.0A</t>
  </si>
  <si>
    <t>Attempted - Sexual activity with a female child under 16 by Penetration - Offender Under 18</t>
  </si>
  <si>
    <t>22B.22.13.0</t>
  </si>
  <si>
    <t>Sexual activity with a male child under 16 by Penetration - Offender Under 18</t>
  </si>
  <si>
    <t>022/13</t>
  </si>
  <si>
    <t>SX03038</t>
  </si>
  <si>
    <t>22B.22.14.0</t>
  </si>
  <si>
    <t>Causing or inciting a female child under 16 to engage in sexual activity by Penetration - Offender Under 18</t>
  </si>
  <si>
    <t>022/14</t>
  </si>
  <si>
    <t>SX03041</t>
  </si>
  <si>
    <t>22B.22.15.0</t>
  </si>
  <si>
    <t>Causing or inciting a male child under 16 to engage in sexual activity by Penetration - Offender Under 18</t>
  </si>
  <si>
    <t>022/15</t>
  </si>
  <si>
    <t>SX03042</t>
  </si>
  <si>
    <t>22B.22.15.0A</t>
  </si>
  <si>
    <t>Attempted - Causing or inciting a male child under 16 to engage in sexual activity by Penetration - Offender Under 18</t>
  </si>
  <si>
    <t>22B.22.6.0</t>
  </si>
  <si>
    <t>Sexual activity with a female child under 16 by Penetration - Offender 18 or over</t>
  </si>
  <si>
    <t>Sexual activity with a female child under 16 by Penetration - Offender 18 or over (Indictable)</t>
  </si>
  <si>
    <t xml:space="preserve">1 year’s custody </t>
  </si>
  <si>
    <t>022/06</t>
  </si>
  <si>
    <t>6</t>
  </si>
  <si>
    <t>Sexual Offences Act 2003 Sec 9 (pt)</t>
  </si>
  <si>
    <t>22B.22.6.0A</t>
  </si>
  <si>
    <t>Attempted - Sexual activity with a female child under 16 by Penetration - Offender 18 or over</t>
  </si>
  <si>
    <t>Attempted - Sexual activity with a female child under 16 by Penetration - Offender 18 or over (Indictable)</t>
  </si>
  <si>
    <t>22B.22.7.0</t>
  </si>
  <si>
    <t>Sexual activity with a male child under 16 by Penetration - Offender 18 or over</t>
  </si>
  <si>
    <t>Sexual activity with a male child under 16 by Penetration - Offender 18 or over (Indictable)</t>
  </si>
  <si>
    <t>022/07</t>
  </si>
  <si>
    <t>SX03026</t>
  </si>
  <si>
    <t>22B.22.8.0</t>
  </si>
  <si>
    <t>Causing or inciting a female child under 16 to engage in sexual activity by Penetration - Offender 18 or over</t>
  </si>
  <si>
    <t>Causing or inciting a female child under 16 to engage in sexual activity by Penetration - Offender 18 or over (Indictable)</t>
  </si>
  <si>
    <t>022/08</t>
  </si>
  <si>
    <t>Sexual Offences Act 2003 Sec 10 (pt)</t>
  </si>
  <si>
    <t>22B.22.8.0A</t>
  </si>
  <si>
    <t>Attempted - Causing or inciting a female child under 16 to engage in sexual activity by Penetration - Offender 18 or over</t>
  </si>
  <si>
    <t>Attempted - Causing or inciting a female child under 16 to engage in sexual activity by Penetration - Offender 18 or over (Indictable)</t>
  </si>
  <si>
    <t>23.23.10.0A</t>
  </si>
  <si>
    <t>Attempted - Inciting a child family member to engage in sexual activity - Female - Victim aged 13-20 - Under 18 - no penetration</t>
  </si>
  <si>
    <t>023/10</t>
  </si>
  <si>
    <t>Sexual Offences Act 2003 Sec 26.</t>
  </si>
  <si>
    <t>SX03074</t>
  </si>
  <si>
    <t>23.23.16.0</t>
  </si>
  <si>
    <t>Sexual activity with a child family member - Female - Victim Under 13 - Under 18 - no penetration</t>
  </si>
  <si>
    <t xml:space="preserve">Sexual activity with a child family member - Female - Victim Under 13 - Under 18 - no penetration </t>
  </si>
  <si>
    <t>023/16</t>
  </si>
  <si>
    <t>23.23.21.0</t>
  </si>
  <si>
    <t>Inciting a child family member to engage in sexual activity - Male - Victim Under 13 - Under 18 - no penetration</t>
  </si>
  <si>
    <t>023/21</t>
  </si>
  <si>
    <t>SX03071</t>
  </si>
  <si>
    <t>23.23.28.0</t>
  </si>
  <si>
    <t>Inciting a child family member to engage in sexual activity - Female - Victim Under 13 - 18 or over - no penetration</t>
  </si>
  <si>
    <t>1 years custody</t>
  </si>
  <si>
    <t>023/28</t>
  </si>
  <si>
    <t>28</t>
  </si>
  <si>
    <t>SX03176</t>
  </si>
  <si>
    <t>24.24.18.0</t>
  </si>
  <si>
    <t>Controlling prostitution for gain</t>
  </si>
  <si>
    <t>Used culpabilty category B since controlling is the aggravated offence version of causing.</t>
  </si>
  <si>
    <t xml:space="preserve">7 years </t>
  </si>
  <si>
    <t>EXPLOITATION OF PROSTITUTION</t>
  </si>
  <si>
    <t>024/18</t>
  </si>
  <si>
    <t>Sexual Offences Act 2003 Sec 53</t>
  </si>
  <si>
    <t>SX03119</t>
  </si>
  <si>
    <t>28G.28.3.1</t>
  </si>
  <si>
    <t>Distraction Burglary - Residential - Dwelling</t>
  </si>
  <si>
    <t>classed this offence as a category 2 burglary due to the distraction element</t>
  </si>
  <si>
    <t>DISTRACTION BURGLARY - RESIDENTIAL</t>
  </si>
  <si>
    <t>28G</t>
  </si>
  <si>
    <t>028/03</t>
  </si>
  <si>
    <t>28H.28.3.1A</t>
  </si>
  <si>
    <t>Attempted Distraction Burglary - Residential - Dwelling</t>
  </si>
  <si>
    <t>ATTEMPT DISTRACT BURG - RESIDENTIAL</t>
  </si>
  <si>
    <t>28H</t>
  </si>
  <si>
    <t>34A.34.1.1</t>
  </si>
  <si>
    <t>Robbery (of a Business Property)</t>
  </si>
  <si>
    <t>Robbery (Business) (Indictable)</t>
  </si>
  <si>
    <t>yes</t>
  </si>
  <si>
    <t>https://www.sentencingcouncil.org.uk/offences/crown-court/item/robbery-street-and-less-sophisticated-commercial/</t>
  </si>
  <si>
    <t>ROBBERY</t>
  </si>
  <si>
    <t>ROBBERY OF BUSINESS PROPERTY</t>
  </si>
  <si>
    <t>34A</t>
  </si>
  <si>
    <t>034/01</t>
  </si>
  <si>
    <t>Theft Act 1968 Sec 8</t>
  </si>
  <si>
    <t>34A.34.1.1A</t>
  </si>
  <si>
    <t>Attempted - Robbery (of a Business Property)</t>
  </si>
  <si>
    <t>Attempted - Robbery (Business) (Indictable)</t>
  </si>
  <si>
    <t>34A.34.2.1</t>
  </si>
  <si>
    <t>Assault with intent to rob (Of a Business Property)</t>
  </si>
  <si>
    <t>Assault with intent to rob (Business) (Indictable)</t>
  </si>
  <si>
    <t>034/02</t>
  </si>
  <si>
    <t>TH68025</t>
  </si>
  <si>
    <t>34A.34.2.1A</t>
  </si>
  <si>
    <t>Attempted - Assault with intent to rob (Of a Business Property)</t>
  </si>
  <si>
    <t>Attempted - Assault with intent to rob (Business) (Indictable)</t>
  </si>
  <si>
    <t>34B.34.1.2</t>
  </si>
  <si>
    <t>Robbery (of Personal Property)</t>
  </si>
  <si>
    <t>Robbery (Personal) (Indictable)</t>
  </si>
  <si>
    <t>ROBBERY OF PERSONAL PROPERTY</t>
  </si>
  <si>
    <t>34B</t>
  </si>
  <si>
    <t>34B.34.1.2A</t>
  </si>
  <si>
    <t>Attempted - Robbery (of Personal Property)</t>
  </si>
  <si>
    <t>Attempted - Robbery (Personal) (Indictable)</t>
  </si>
  <si>
    <t>2A</t>
  </si>
  <si>
    <t>34B.34.2.2</t>
  </si>
  <si>
    <t>Assault with intent to rob (Of Personal Property)</t>
  </si>
  <si>
    <t>Assault with intent to rob (Personal) (Indictable)</t>
  </si>
  <si>
    <t>34B.34.2.2A</t>
  </si>
  <si>
    <t>Attempted - Assault with intent to rob (Of Personal Property)</t>
  </si>
  <si>
    <t>Attempted - Assault with intent to rob (Personal) (Indictable)</t>
  </si>
  <si>
    <t>35.35.0.0</t>
  </si>
  <si>
    <t>Blackmail</t>
  </si>
  <si>
    <t>Blackmail (Indictable)</t>
  </si>
  <si>
    <t>THEFT</t>
  </si>
  <si>
    <t>OTHER THEFT</t>
  </si>
  <si>
    <t>BLACKMAIL</t>
  </si>
  <si>
    <t>035/00</t>
  </si>
  <si>
    <t>Theft Act 1968 Sec 21</t>
  </si>
  <si>
    <t>35.35.0.0A</t>
  </si>
  <si>
    <t>Attempted - Blackmail</t>
  </si>
  <si>
    <t>Attempted - Blackmail (Indictable)</t>
  </si>
  <si>
    <t>4.4.4.12.0</t>
  </si>
  <si>
    <t>Causing serious injury by dangerous driving</t>
  </si>
  <si>
    <t>When tried summarily 12 months or the statutory maximum or both.</t>
  </si>
  <si>
    <t>004/12</t>
  </si>
  <si>
    <t>Road Traffic Act 1988 (as added by Legal Aid, Sentencing and Punishment of Offenders Act 2012 Sec 143). CJS: RT88965</t>
  </si>
  <si>
    <t>4.4.4.12.0A</t>
  </si>
  <si>
    <t>Attempted - Causing serious injury by dangerous driving</t>
  </si>
  <si>
    <t>56A.56.1.0</t>
  </si>
  <si>
    <t>Arson endangering life</t>
  </si>
  <si>
    <t>Arson endangering life (Indictable)</t>
  </si>
  <si>
    <t>https://www.sentencingcouncil.org.uk/offences/crown-court/item/criminal-damage-arson-with-intent-to-endanger-life-or-reckless-as-to-whether-life-endangered/</t>
  </si>
  <si>
    <t>ARSON AND CRIMINAL DAMAGE</t>
  </si>
  <si>
    <t>ARSON</t>
  </si>
  <si>
    <t>ARSON ENDANGERING LIFE</t>
  </si>
  <si>
    <t>56A</t>
  </si>
  <si>
    <t>056/01</t>
  </si>
  <si>
    <t>56</t>
  </si>
  <si>
    <t>Criminal Damage Act 1971 Sec 1(pt)</t>
  </si>
  <si>
    <t>56A.56.1.0A</t>
  </si>
  <si>
    <t>Attempted - Arson endangering life</t>
  </si>
  <si>
    <t>Attempted - Arson endangering life (Indictable)</t>
  </si>
  <si>
    <t>58A.57.0.0</t>
  </si>
  <si>
    <t>Criminal damage to a dwelling endangering life</t>
  </si>
  <si>
    <t>Criminal damage to a dwelling endangering life (Indictable)</t>
  </si>
  <si>
    <t>CRIMINAL DAMAGE</t>
  </si>
  <si>
    <t>CRIMINAL DAMAGE TO A DWELLING</t>
  </si>
  <si>
    <t>58A</t>
  </si>
  <si>
    <t>057/00</t>
  </si>
  <si>
    <t>57</t>
  </si>
  <si>
    <t>Explosive Substances Act 1883 Sec 2(pt). Explosive Substances Act 1883 Sec 3(pt). Criminal Damage Act 1971 Sec 1(2).</t>
  </si>
  <si>
    <t>58B.57.0.0</t>
  </si>
  <si>
    <t>Criminal damage to a building other than a dwelling endangering life</t>
  </si>
  <si>
    <t>Criminal damage to a building other than a dwelling endangering life (Indictable)</t>
  </si>
  <si>
    <t>CRIMINAL DAMAGE TO A BUILDING OTHER</t>
  </si>
  <si>
    <t>58B</t>
  </si>
  <si>
    <t>58C.57.0.0</t>
  </si>
  <si>
    <t>Criminal damage to a vehicle endangering life</t>
  </si>
  <si>
    <t>Criminal damage to a vehicle endangering life (Indictable)</t>
  </si>
  <si>
    <t>CRIMINAL DAMAGE TO A VEHICLE</t>
  </si>
  <si>
    <t>58C</t>
  </si>
  <si>
    <t>58D.57.0.0</t>
  </si>
  <si>
    <t>Criminal damage endangering life, other</t>
  </si>
  <si>
    <t>Criminal damage endangering life, other (Indictable)</t>
  </si>
  <si>
    <t>OTHER CRIMINAL DAMAGE</t>
  </si>
  <si>
    <t>58D</t>
  </si>
  <si>
    <t>Explosive Substance Act 1883 Sec 2(pt). Explosive Substance Act 1883 Sec 3(pt). Criminal Damage Act 1971 Sec 1(2). Malicious Damage Act 1861 Secs 35,36,47,48.</t>
  </si>
  <si>
    <t>66.68.2.0</t>
  </si>
  <si>
    <t>Unauthorised act in relation to a computer causing /creating risk of serious damage</t>
  </si>
  <si>
    <t>Unauthorised act in relation to a computer causing /creating risk of serious damage (Indictable)</t>
  </si>
  <si>
    <t>No - however CPS provides data from computer misuse cases</t>
  </si>
  <si>
    <t xml:space="preserve">Cases cited by CPS range in sentence from 9 months (with a guilty ple) - 6 years. The decision is to use 12 months as a starting point. </t>
  </si>
  <si>
    <t>https://www.cps.gov.uk/legal-guidance/computer-misuse-act &amp; http://www.computerevidence.co.uk/Cases/CMA.htm</t>
  </si>
  <si>
    <t>068/02</t>
  </si>
  <si>
    <t>68</t>
  </si>
  <si>
    <t>The Computer Misuse Act 1990 Sec 3ZA (1) and (6) as amended by the Serious Crime Act 2015 Sec 41</t>
  </si>
  <si>
    <t>CM90010</t>
  </si>
  <si>
    <t>71.71.8.0</t>
  </si>
  <si>
    <t>Cause or Inciting the sexual exploitation of a child: Child 13 - 17</t>
  </si>
  <si>
    <t>https://www.sentencingcouncil.org.uk/offences/crown-court/item/causing-or-inciting-sexual-exploitation-of-a-child/</t>
  </si>
  <si>
    <t>ABUSE OF CHILDREN THROUGH SEXUAL EXPLOIT</t>
  </si>
  <si>
    <t>071/08</t>
  </si>
  <si>
    <t>Sexual Offences Act 2003 Sec 48.</t>
  </si>
  <si>
    <t>NFIB.53.34.0</t>
  </si>
  <si>
    <t>Unauthorised access to computer material with intent to commit or facilitate commission of further offences</t>
  </si>
  <si>
    <t>(outcomes only) Unauthorised access to computer material with intent to commit or facilitate commission of further offences</t>
  </si>
  <si>
    <t xml:space="preserve">suggest 1 year </t>
  </si>
  <si>
    <t>NFIB FRAUD</t>
  </si>
  <si>
    <t>NFIB</t>
  </si>
  <si>
    <t>053/34</t>
  </si>
  <si>
    <t>Computer Misuse Act 1990 Sec 2</t>
  </si>
  <si>
    <t>8H.99.99.221</t>
  </si>
  <si>
    <t>Racially or religiously aggravated inflicting grievous bodily harm without intent (outcomes only)</t>
  </si>
  <si>
    <t>(outcomes only) Racially or religiously aggravated inflicting grievous bodily harm without intent</t>
  </si>
  <si>
    <t>Raised culpability due to the racially aggravation</t>
  </si>
  <si>
    <t>51 weeks</t>
  </si>
  <si>
    <t>7years</t>
  </si>
  <si>
    <t>RACE OR REG AG INF GBH WOUT INT OUTCOMES</t>
  </si>
  <si>
    <t>8H</t>
  </si>
  <si>
    <t>099/99</t>
  </si>
  <si>
    <t>99</t>
  </si>
  <si>
    <t>221</t>
  </si>
  <si>
    <t>8P.8.59.0</t>
  </si>
  <si>
    <t>Racially or religiously aggravated wounding or grievous bodily harm</t>
  </si>
  <si>
    <t xml:space="preserve">Used higher culpability due to victim targeted </t>
  </si>
  <si>
    <t>RACE OR RELIGIOUSLY AGG ASSAULT WITH INJ</t>
  </si>
  <si>
    <t>8P</t>
  </si>
  <si>
    <t>008/59</t>
  </si>
  <si>
    <t>Crime &amp; Disorder Act 1998 Sec 29(1)(a) and (2) (as added to by Anti-terrorism, Crime and Security Act 2001 Sec 39)</t>
  </si>
  <si>
    <t>CD98072</t>
  </si>
  <si>
    <t>4.7.4.11.0</t>
  </si>
  <si>
    <t>Cause or allow a child or vulnerable adult to suffer serious physical harm</t>
  </si>
  <si>
    <t>Cause or allow a child or vulnerable adult to suffer serious physical harm (Indictable)</t>
  </si>
  <si>
    <t xml:space="preserve">9 months </t>
  </si>
  <si>
    <t>10 years for serious harm, 14 years for death</t>
  </si>
  <si>
    <t>https://www.sentencingcouncil.org.uk/offences/crown-court/item/causing-or-allowing-a-child-to-suffer-serious-physical-harm-causing-or-allowing-a-child-to-die/</t>
  </si>
  <si>
    <t>C OR ALW DEATH ETC TO CHILD OR VULN</t>
  </si>
  <si>
    <t>4/7</t>
  </si>
  <si>
    <t>004/11</t>
  </si>
  <si>
    <t>Domestic Violence, Crime and Victims Act 2004 Sec 5 (1) (8) as added by Domestic Violence, Crime and Victims (Amendment) Act 2012.</t>
  </si>
  <si>
    <t>DV04002</t>
  </si>
  <si>
    <t>8Q.8.66.0</t>
  </si>
  <si>
    <t>Harassment - Stalking involving serious alarm/distress</t>
  </si>
  <si>
    <t>Stalking involving serious alarm/distress</t>
  </si>
  <si>
    <t>Used higher culpability due to persistant nature of stalking + higher harm category due to serious wording in offence</t>
  </si>
  <si>
    <t>36 weeks custody</t>
  </si>
  <si>
    <t>https://www.sentencingcouncil.org.uk/offences/magistrates-court/item/harassment-fear-of-violence-stalking-fear-of-violence/</t>
  </si>
  <si>
    <t>STALKING AND HARASSMENT</t>
  </si>
  <si>
    <t>STALKING</t>
  </si>
  <si>
    <t>8Q</t>
  </si>
  <si>
    <t>008/66</t>
  </si>
  <si>
    <t>Protection from Harassment Act 1997 Sec 4A (1) (a) (b) (ii) as inserted by the Protection of Freedom Act 2012 Sec 111.</t>
  </si>
  <si>
    <t>PH97008</t>
  </si>
  <si>
    <t>8Q.8.66.0A</t>
  </si>
  <si>
    <t>Attempted - Harassment - Stalking involving serious alarm/distress</t>
  </si>
  <si>
    <t>Attempted - Stalking involving serious alarm/distress</t>
  </si>
  <si>
    <t>10B.81.71.0</t>
  </si>
  <si>
    <t>Possessing or distributing firearm designed as other object</t>
  </si>
  <si>
    <t>Possessing or distributing firearm designed as other object (Indictable)</t>
  </si>
  <si>
    <t>Used 6 months since offence specifies indictable</t>
  </si>
  <si>
    <t>medium level community order</t>
  </si>
  <si>
    <t>081/71</t>
  </si>
  <si>
    <t>Firearms Act 1968 Sec 5(1A)(a) as amended by the       Criminal Justice Act 2003 Sec 288</t>
  </si>
  <si>
    <t>10C.8.53.0</t>
  </si>
  <si>
    <t>Using someone to look after a dangerous weapon - offensive/weapon/knife/bladed weapon</t>
  </si>
  <si>
    <t>Using someone to look after a dangerous weapon - offensive/weapon/knife/bladed weapon (Indictable)</t>
  </si>
  <si>
    <t>As it is labelled indictable suggest 6 months,  since indictable would be tried at Crown Court.</t>
  </si>
  <si>
    <t>008/53</t>
  </si>
  <si>
    <t>Violent Crime Reduction Act 2006 Sec 28</t>
  </si>
  <si>
    <t>VC06003</t>
  </si>
  <si>
    <t>10C.8.61.0</t>
  </si>
  <si>
    <t>Threaten with an offensive weapon in a public place</t>
  </si>
  <si>
    <t>6 months’ custody</t>
  </si>
  <si>
    <t>2 years’ custody</t>
  </si>
  <si>
    <t>008/61</t>
  </si>
  <si>
    <t>Prevention of Crime Act 1953 Sec 1 (A) (1) as inserted by Legal Aid, Sentencing and Punishment of Offenders Act 2012</t>
  </si>
  <si>
    <t>10D.8.64.0</t>
  </si>
  <si>
    <t>Threaten with a blade or sharply pointed article in a public place</t>
  </si>
  <si>
    <t>008/64</t>
  </si>
  <si>
    <t>64</t>
  </si>
  <si>
    <t>67.67.1.2</t>
  </si>
  <si>
    <t>Perjury - judicial proceedings</t>
  </si>
  <si>
    <t>Perjury - judicial proceedings (Indictable)</t>
  </si>
  <si>
    <t xml:space="preserve">No - however indictable offences seem to start at 6 months </t>
  </si>
  <si>
    <t xml:space="preserve">6 months </t>
  </si>
  <si>
    <t>https://www.legislation.gov.uk/ukpga/1967/80/part/VI/crossheading/offences/enacted/data.xht?view=snippet&amp;wrap=true</t>
  </si>
  <si>
    <t>PERJURY</t>
  </si>
  <si>
    <t>67</t>
  </si>
  <si>
    <t>067/01</t>
  </si>
  <si>
    <t>Perjury Act 1911 Sec 1</t>
  </si>
  <si>
    <t>69.69.2.0</t>
  </si>
  <si>
    <t>Conveyance etc of List A articles into or out of prison</t>
  </si>
  <si>
    <t>Conveyance etc of List A articles into or out of prison (Indictable)</t>
  </si>
  <si>
    <t xml:space="preserve">Weapons offences in prison start at a high level community order, here you also have the confounding factor of bringing into prison rather than just possession. </t>
  </si>
  <si>
    <t>Fine</t>
  </si>
  <si>
    <t>10 years custody</t>
  </si>
  <si>
    <t>https://assets.publishing.service.gov.uk/government/uploads/system/uploads/attachment_data/file/417853/Fact_Sheet_-_Unauthorised_Throwing_of_Articles_into_Prisons_-_Act.pdf</t>
  </si>
  <si>
    <t>OFFENDER MANAGEMENT ACT</t>
  </si>
  <si>
    <t>69</t>
  </si>
  <si>
    <t>069/02</t>
  </si>
  <si>
    <t>Prison Act 1952 as inserted by Offender Management Act 2007</t>
  </si>
  <si>
    <t>69.69.2.0A</t>
  </si>
  <si>
    <t>Attempted - Conveyance etc of List A articles into or out of prison</t>
  </si>
  <si>
    <t>Attempted - Conveyance etc of List A articles into or out of prison (Indictable)</t>
  </si>
  <si>
    <t>No - however indictable offences start at 6 months</t>
  </si>
  <si>
    <t>Weapons offences in prison start at a high level community order, here you also have the confounding factor of bringing into prison rather than just possession</t>
  </si>
  <si>
    <t>70.70.1.0</t>
  </si>
  <si>
    <t>Sexual activity with a person with a mental disorder impeding choice: Male person</t>
  </si>
  <si>
    <t>Sexual activity with a person with a mental disorder impeding choice: Male person (Indictable)</t>
  </si>
  <si>
    <t>Used non pentration sentence</t>
  </si>
  <si>
    <t>26 weeks</t>
  </si>
  <si>
    <t>19 years or life</t>
  </si>
  <si>
    <t>https://www.sentencingcouncil.org.uk/offences/crown-court/item/sexual-activity-with-a-person-with-a-mental-disorder-impeding-choice/</t>
  </si>
  <si>
    <t>SEX ACTIV WITH A PER MENTAL DISORD</t>
  </si>
  <si>
    <t>070/01</t>
  </si>
  <si>
    <t>Sexual Offences Act 2003 Sec 30.</t>
  </si>
  <si>
    <t>SX03081</t>
  </si>
  <si>
    <t>70.70.18.0</t>
  </si>
  <si>
    <t>Care workers: Sexual activity with a person with a mental disorder: Female person</t>
  </si>
  <si>
    <t>Care workers: Sexual activity with a person with a mental disorder: Female person (Indictable)</t>
  </si>
  <si>
    <t>Medium level community order</t>
  </si>
  <si>
    <t>https://www.sentencingcouncil.org.uk/offences/crown-court/item/care-workers-sexual-activity-with-a-person-with-a-mental-disorder/</t>
  </si>
  <si>
    <t>070/18</t>
  </si>
  <si>
    <t>Sexual Offences Act 2003 Sec 38.</t>
  </si>
  <si>
    <t>SX03096</t>
  </si>
  <si>
    <t>70.70.4.0</t>
  </si>
  <si>
    <t>Sexual activity with a person with a mental disorder impeding choice: Female person  no penetration</t>
  </si>
  <si>
    <t>070/04</t>
  </si>
  <si>
    <t>SX03078</t>
  </si>
  <si>
    <t>70.70.8.0A</t>
  </si>
  <si>
    <t>Attempted - Causing or inciting a person with a mental disorder impeding choice to engage in sexual activity: Female person  no penetration</t>
  </si>
  <si>
    <t>070/08</t>
  </si>
  <si>
    <t>Sexual Offences Act 2003 Sec 31.</t>
  </si>
  <si>
    <t>SX03082</t>
  </si>
  <si>
    <t>71.71.1.0</t>
  </si>
  <si>
    <t>Arranging or facilitating the commission of a child sex offence</t>
  </si>
  <si>
    <t xml:space="preserve">Offence sentence depends on the type of offence arranged - anything from sexual activity with a child to causing a child to watch a sexual act.  For all of the offences given the starting point is a medium level CO. however given this offence specifies planning it is suggested to start at Culpability A. </t>
  </si>
  <si>
    <t>https://www.sentencingcouncil.org.uk/offences/crown-court/item/arranging-or-facilitating-the-commission-of-a-child-sex-offence/</t>
  </si>
  <si>
    <t>071/01</t>
  </si>
  <si>
    <t>Sexual Offences Act 2003 Sec 14.</t>
  </si>
  <si>
    <t>71.71.1.0A</t>
  </si>
  <si>
    <t>Attempted - Arranging or facilitating the commission of a child sex offence</t>
  </si>
  <si>
    <t>73.73.14.0</t>
  </si>
  <si>
    <t>Abuse of position of trust: sexual activity with a male child aged under 13 Suspect aged 18 or over</t>
  </si>
  <si>
    <t>Used a higher culpability category - a vulnerable young victim</t>
  </si>
  <si>
    <t>https://www.sentencingcouncil.org.uk/offences/crown-court/item/abuse-of-position-of-trust-sexual-activity-with-a-child/</t>
  </si>
  <si>
    <t>ABUSE OF POSITION OF TRUST SEXUAL</t>
  </si>
  <si>
    <t>073/14</t>
  </si>
  <si>
    <t>Sexual Offences Act 2003 Sec 16</t>
  </si>
  <si>
    <t>73.73.16.0</t>
  </si>
  <si>
    <t>Abuse of position of trust: causing or inciting a child to engage in sexual activity - male child aged under 13 Suspect aged 18 or over</t>
  </si>
  <si>
    <t>073/16</t>
  </si>
  <si>
    <t>Sexual Offences Act 2003 Sec 17</t>
  </si>
  <si>
    <t>73.73.18.2</t>
  </si>
  <si>
    <t>Abuse of position of trust: causing a child to watch a sexual activity - male child aged under 13 Suspect aged 18 or over</t>
  </si>
  <si>
    <t>https://www.sentencingcouncil.org.uk/offences/crown-court/item/abuse-of-position-of-trust-sexual-activity-in-the-presence-of-a-child/</t>
  </si>
  <si>
    <t>073/18</t>
  </si>
  <si>
    <t>Sexual Offences Act 2003 Sec 19</t>
  </si>
  <si>
    <t>SX03060</t>
  </si>
  <si>
    <t>80.80.0.0</t>
  </si>
  <si>
    <t>Absconding from lawful custody</t>
  </si>
  <si>
    <t>Absconding from lawful custody (Indictable)</t>
  </si>
  <si>
    <t>Case examples vary from 2 months depending on nature of escape - since offence is specified as indictable suggest 6 months</t>
  </si>
  <si>
    <t>ABSCONDING FROM LAWFUL CUSTODY</t>
  </si>
  <si>
    <t>80</t>
  </si>
  <si>
    <t>080/00</t>
  </si>
  <si>
    <t>80.80.0.0A</t>
  </si>
  <si>
    <t>Attempted - Absconding from lawful custody</t>
  </si>
  <si>
    <t>Attempted - Absconding from lawful custody (Indictable)</t>
  </si>
  <si>
    <t>8S.8.1.2</t>
  </si>
  <si>
    <t>Assault Police - Assault with Injury - Malicious wounding: wounding or inflicting grievous bodily harm (Minor wound or equivalent)</t>
  </si>
  <si>
    <t>Assault Police - Minor wound without intent (s20)</t>
  </si>
  <si>
    <t>8S.8.1.2A</t>
  </si>
  <si>
    <t>Attempted - Assault Police - Assault with Injury - Malicious wounding: wounding or inflicting grievous bodily harm (Minor wound or equivalent)</t>
  </si>
  <si>
    <t>Attempted - Assault Police - Minor wound without intent (s20)</t>
  </si>
  <si>
    <t>8S.8.6.0</t>
  </si>
  <si>
    <t>Assault Police - Assault with Injury - Assault occasioning actual bodily harm</t>
  </si>
  <si>
    <t>Assault Police - Assault occasioning actual bodily harm (ABH) (S.47)</t>
  </si>
  <si>
    <t>008/06</t>
  </si>
  <si>
    <t>Offences against the Person Act 1861 Sec 47</t>
  </si>
  <si>
    <t>8S.8.6.0A</t>
  </si>
  <si>
    <t>Attempted - Assault Police - Assault with Injury - Assault occasioning actual bodily harm</t>
  </si>
  <si>
    <t>Attempted - Assault Police - Assault occasioning actual bodily harm (ABH) (S.47)</t>
  </si>
  <si>
    <t>99.98.74.0</t>
  </si>
  <si>
    <t>Intentionally encouraging or assisting commission of an indictable offence (NOT MURDER)</t>
  </si>
  <si>
    <t>Offence type not specified, and offence committed would relate to severity of sentence. Suggest using minimum indictable sentence of 6 months</t>
  </si>
  <si>
    <t>6 months?</t>
  </si>
  <si>
    <t>Depends on offence</t>
  </si>
  <si>
    <t>OTHER NOTIFIABLE OFFENCES</t>
  </si>
  <si>
    <t>098/74</t>
  </si>
  <si>
    <t>Serious Crime Act 2007 Sec 44 (pt)</t>
  </si>
  <si>
    <t>SC07004</t>
  </si>
  <si>
    <t>99.99.29.0</t>
  </si>
  <si>
    <t>Assist offender (Offences triable on indictment only)</t>
  </si>
  <si>
    <t>Assist offender (Offences triable on indictment only) (Indictable)</t>
  </si>
  <si>
    <t>Suggest using minimum indictable sentence of 6 months</t>
  </si>
  <si>
    <t>http://www.legislation.gov.uk/ukpga/1967/58/section/4</t>
  </si>
  <si>
    <t>099/29</t>
  </si>
  <si>
    <t>Criminal Law Act, 1967 Sec 4(1) in part,</t>
  </si>
  <si>
    <t>CL67011</t>
  </si>
  <si>
    <t>99.99.79.0</t>
  </si>
  <si>
    <t>Endangering safety of aircraft</t>
  </si>
  <si>
    <t>Suggest 6 months from cases online? There is also the offence of recklessy endangering/drunk on an aircraft which seems to be a lesser sentence.</t>
  </si>
  <si>
    <t>5 years prison, unlimited fine or both</t>
  </si>
  <si>
    <t>https://www.cps.gov.uk/legal-guidance/transport-offences</t>
  </si>
  <si>
    <t>099/79</t>
  </si>
  <si>
    <t>Air Navigation Order 2009 AA. 137 &amp; 241(8) &amp; Sch.13 Pt.D</t>
  </si>
  <si>
    <t>NN.115.32.0</t>
  </si>
  <si>
    <t>Firearms Act 1968, Trespassing with firearm on land(Group I)</t>
  </si>
  <si>
    <t>Suggest aggravated firearm carrying in a public place -&gt; which goes to crown court - likely to be 6 months plus sentence</t>
  </si>
  <si>
    <t>NON-NOTIFIABLE</t>
  </si>
  <si>
    <t>NN</t>
  </si>
  <si>
    <t>115/32</t>
  </si>
  <si>
    <t>Non-Notifiable</t>
  </si>
  <si>
    <t>Firearms Act 1968 S.20(2)</t>
  </si>
  <si>
    <t>17B.17.16.0</t>
  </si>
  <si>
    <t>Sexual assault on a male child under 13</t>
  </si>
  <si>
    <t>26 weeks custody</t>
  </si>
  <si>
    <t>017/16</t>
  </si>
  <si>
    <t>Sexual Offences Act 2003 Sec 7</t>
  </si>
  <si>
    <t>17B.17.16.0A</t>
  </si>
  <si>
    <t>Attempted - Sexual assault on a male child under 13</t>
  </si>
  <si>
    <t>20B.20.6.0</t>
  </si>
  <si>
    <t>Sexual assault of a female child under 13</t>
  </si>
  <si>
    <t>020/06</t>
  </si>
  <si>
    <t>Sexual Offences Act 2003 Sec 7(pt)</t>
  </si>
  <si>
    <t>20B.20.6.0A</t>
  </si>
  <si>
    <t>Attempted - Sexual assault of a female child under 13</t>
  </si>
  <si>
    <t>61A.61.39.0</t>
  </si>
  <si>
    <t>Make / possess / control apparatus / article / material designed / adapted for making false identity documents</t>
  </si>
  <si>
    <t>Make / possess / control apparatus / article / material designed / adapted for making false identity documents (Indictable)</t>
  </si>
  <si>
    <t>Used aggravated since it is an indictable offence Making or supplying articles for use in frauds</t>
  </si>
  <si>
    <t>https://www.sentencingcouncil.org.uk/offences/crown-court/item/possessing-making-or-supplying-articles-for-use-in-fraud/</t>
  </si>
  <si>
    <t>POSSESSION OF FALSE DOCUMENTS</t>
  </si>
  <si>
    <t>61A</t>
  </si>
  <si>
    <t>061/39</t>
  </si>
  <si>
    <t>Identity Documents Act 2010 Sec 5</t>
  </si>
  <si>
    <t>62A.65.0.0</t>
  </si>
  <si>
    <t>Violent disorder</t>
  </si>
  <si>
    <t>https://www.sentencingcouncil.org.uk/offences/crown-court/item/violent-disorder-2/</t>
  </si>
  <si>
    <t>VIOLENT DISORDER</t>
  </si>
  <si>
    <t>62A</t>
  </si>
  <si>
    <t>065/00</t>
  </si>
  <si>
    <t>65</t>
  </si>
  <si>
    <t>Public Order Act 1986 Sec 2</t>
  </si>
  <si>
    <t>99.99.12.0</t>
  </si>
  <si>
    <t>Misconduct in a public office by act or commission</t>
  </si>
  <si>
    <t>Sentence relates to the type of misconduct engaged in. Sentences given range from 4 months to 6 plus years. Suggest culpability B bribery could be an approximate alike offence</t>
  </si>
  <si>
    <t xml:space="preserve">26 weeks </t>
  </si>
  <si>
    <t>https://www.sentencingcouncil.org.uk/offences/magistrates-court/item/bribery/</t>
  </si>
  <si>
    <t>099/12</t>
  </si>
  <si>
    <t>99.99.6.0</t>
  </si>
  <si>
    <t>Impersonation under Representation of the People Act 1983</t>
  </si>
  <si>
    <t xml:space="preserve">Used high culpability fraud by false representation. </t>
  </si>
  <si>
    <t>099/06</t>
  </si>
  <si>
    <t>Representation of the People Act 1983 Sec 60</t>
  </si>
  <si>
    <t>28G.28.3.2</t>
  </si>
  <si>
    <t>Distraction Burglary - Residential - Non-Dwelling</t>
  </si>
  <si>
    <t>18 weeks</t>
  </si>
  <si>
    <t>28H.28.3.2A</t>
  </si>
  <si>
    <t>Attempted Distraction Burglary - Residential - Non-Dwelling</t>
  </si>
  <si>
    <t>79.79.5.0A</t>
  </si>
  <si>
    <t>Attempted - Harming or threatening to harm a witness</t>
  </si>
  <si>
    <t xml:space="preserve">Used a higher harm category since harming is worse than just threatening. </t>
  </si>
  <si>
    <t>https://www.sentencingcouncil.org.uk/offences/magistrates-court/item/witness-intimidation/</t>
  </si>
  <si>
    <t>PERVERTING THE COURSE OF JUSTICE</t>
  </si>
  <si>
    <t>079/05</t>
  </si>
  <si>
    <t>Criminal Justice &amp; Police Act 2001 Sec 40</t>
  </si>
  <si>
    <t>CJ01011</t>
  </si>
  <si>
    <t>79.79.1.0</t>
  </si>
  <si>
    <t>Attempting to Pervert the Course of Public Justice</t>
  </si>
  <si>
    <t>Attempting to Pervert the Course of Public Justice (Indictable)</t>
  </si>
  <si>
    <t>Depends on severity of offence in questions. Case examples are anything from a community order to 3 + years jailed.</t>
  </si>
  <si>
    <t xml:space="preserve">Suggest 4 months from case examples </t>
  </si>
  <si>
    <t>https://www.cps.gov.uk/legal-guidance/public-justice-offences-incorporating-charging-standard</t>
  </si>
  <si>
    <t>079/01</t>
  </si>
  <si>
    <t>99.94.17.0</t>
  </si>
  <si>
    <t>Shine/direct laser beam towards a vehicle</t>
  </si>
  <si>
    <t xml:space="preserve">Sentences for cases online are mostly for helicopters - they seem to charge for recklessly endangering aircraft, rather than just shine laser. Sentences range from 4-6 months suspended to 9 months in prison. Case examples suggest that 4 months would be an appropriate starting point sentence.  </t>
  </si>
  <si>
    <t>12 months summary, 5 years on indictment</t>
  </si>
  <si>
    <t>http://www.legislation.gov.uk/ukpga/2018/9/scotland/data.html</t>
  </si>
  <si>
    <t>094/17</t>
  </si>
  <si>
    <t>Laser Misuse (Vehicles) Act 2018 Sec 1</t>
  </si>
  <si>
    <t>66.66.94.0</t>
  </si>
  <si>
    <t>Failure to comply with a Serious Crime Prevention Order</t>
  </si>
  <si>
    <t xml:space="preserve">Used aggravated breach of restraining order </t>
  </si>
  <si>
    <t>12 weeks custody</t>
  </si>
  <si>
    <t>on summary conviction by up to 12 months' imprisonment, a fine not exceeding the statutory maximum or both/indictment 5 years</t>
  </si>
  <si>
    <t>https://www.cps.gov.uk/legal-guidance/serious-crime-prevention-orders</t>
  </si>
  <si>
    <t>066/94</t>
  </si>
  <si>
    <t>94</t>
  </si>
  <si>
    <t>Serious Crime Act 2007 Sec 25.</t>
  </si>
  <si>
    <t>SC07001</t>
  </si>
  <si>
    <t>66.66.97.1</t>
  </si>
  <si>
    <t>Breach of a marriage protection order</t>
  </si>
  <si>
    <t>https://assets.publishing.service.gov.uk/government/uploads/system/uploads/attachment_data/file/778583/fl701-eng.pdf</t>
  </si>
  <si>
    <t>066/97</t>
  </si>
  <si>
    <t>97</t>
  </si>
  <si>
    <t>Family Law Act 1996 Sec 63A</t>
  </si>
  <si>
    <t>FL96002</t>
  </si>
  <si>
    <t>8N.8.4.0</t>
  </si>
  <si>
    <t>Assault with Injury - Drivers injuring persons by furious driving</t>
  </si>
  <si>
    <t>Drivers injuring persons by furious driving (Indictable)</t>
  </si>
  <si>
    <t>No offence for furious driving - used  dangerous drive + Injury</t>
  </si>
  <si>
    <t>https://www.sentencingcouncil.org.uk/offences/magistrates-court/item/dangerous-driving/</t>
  </si>
  <si>
    <t>008/04</t>
  </si>
  <si>
    <t>Offences against the Person Act 1861 Sec 35.</t>
  </si>
  <si>
    <t>8Q.8.65.0</t>
  </si>
  <si>
    <t>Harassment - Stalking involving fear of violence</t>
  </si>
  <si>
    <t>Stalking involving fear of violence</t>
  </si>
  <si>
    <t>Used higher culpability due to persistant nature of stalking</t>
  </si>
  <si>
    <t>008/65</t>
  </si>
  <si>
    <t>Protection from Harassment Act 1997 Sec 4A(1) (a) (b) (i) as inserted by the Protection of Freedoms Act 2012 Sec 111.</t>
  </si>
  <si>
    <t>PH97007</t>
  </si>
  <si>
    <t>NN.196.21.0</t>
  </si>
  <si>
    <t>Anti-social Behaviour Act 2003 - Continuing failure to comply with remedial order after conviction under Section 75(9)</t>
  </si>
  <si>
    <t>Used Culpabilty A  (Persistent breach)</t>
  </si>
  <si>
    <t>12 weeks</t>
  </si>
  <si>
    <t>https://www.sentencingcouncil.org.uk/offences/crown-court/item/breach-of-a-criminal-behaviour-order/</t>
  </si>
  <si>
    <t>196/21</t>
  </si>
  <si>
    <t>196</t>
  </si>
  <si>
    <t>Anti-social Behaviour Act 2003 S.75 (10)</t>
  </si>
  <si>
    <t>AS03009</t>
  </si>
  <si>
    <t>79.79.2.0</t>
  </si>
  <si>
    <t>Intimidating a juror or witness or person assisting in investigation of offence</t>
  </si>
  <si>
    <t>6 weeks</t>
  </si>
  <si>
    <t>079/02</t>
  </si>
  <si>
    <t>Criminal Justice &amp; Public Order Act 1994 , Sec 51(1).</t>
  </si>
  <si>
    <t>79.79.2.0A</t>
  </si>
  <si>
    <t>Attempted - Intimidating a juror or witness or person assisting in investigation of offence</t>
  </si>
  <si>
    <t>79.79.3.0</t>
  </si>
  <si>
    <t>Harming or threatening to harm a witness, juror or person assisting in investigation</t>
  </si>
  <si>
    <t>079/03</t>
  </si>
  <si>
    <t>Criminal Justice &amp; Public Order Act 1994 Sec 51(2)</t>
  </si>
  <si>
    <t>79.79.4.0</t>
  </si>
  <si>
    <t>Intimidating or intending to intimidate a witness</t>
  </si>
  <si>
    <t>079/04</t>
  </si>
  <si>
    <t>Criminal Justice &amp; Police Act 2001 Sec 39</t>
  </si>
  <si>
    <t>CJ01010</t>
  </si>
  <si>
    <t>79.79.5.0</t>
  </si>
  <si>
    <t>Harming or threatening to harm a witness</t>
  </si>
  <si>
    <t>10C.8.28.0</t>
  </si>
  <si>
    <t>Possession of other offensive weapon on school premises</t>
  </si>
  <si>
    <t>Possession of offensive weapon on school premises other than with a blade</t>
  </si>
  <si>
    <t>High level community order</t>
  </si>
  <si>
    <t>008/28</t>
  </si>
  <si>
    <t>Offensive Weapons Act 1996 Sec 4(1)</t>
  </si>
  <si>
    <t>CJ88137</t>
  </si>
  <si>
    <t>10D.8.27.0</t>
  </si>
  <si>
    <t>Having an article with a blade or point on school premises</t>
  </si>
  <si>
    <t>008/27</t>
  </si>
  <si>
    <t>Criminal Justice Act 1988 Sec 139A (1) &amp; (5)(a) as amended by Offensive Weapons Act 1996</t>
  </si>
  <si>
    <t>13.13.1.0</t>
  </si>
  <si>
    <t>Child Abduction - Abduction of a child by parent</t>
  </si>
  <si>
    <t xml:space="preserve">Used  GBH non intent for parental abduction? </t>
  </si>
  <si>
    <t>013/01</t>
  </si>
  <si>
    <t>Child Abduction Act 1984 Sec 1 (as amended by the Children's Act 1989).</t>
  </si>
  <si>
    <t>13.13.1.0A</t>
  </si>
  <si>
    <t>Attempted - Child Abduction - Abduction of a child by parent</t>
  </si>
  <si>
    <t xml:space="preserve">Used GBH non intent for parental abduction? </t>
  </si>
  <si>
    <t>17A.17.15.0</t>
  </si>
  <si>
    <t>Sexual assault on a male</t>
  </si>
  <si>
    <t>017/15</t>
  </si>
  <si>
    <t>Sexual Offences Act 2003 Sec 3</t>
  </si>
  <si>
    <t>17A.17.15.0A</t>
  </si>
  <si>
    <t>Attempted - Sexual assault on a male</t>
  </si>
  <si>
    <t>20A.20.5.0</t>
  </si>
  <si>
    <t>Sexual assault on a female</t>
  </si>
  <si>
    <t>020/05</t>
  </si>
  <si>
    <t>Sexual Offences Act 2003 Sec 3(pt)</t>
  </si>
  <si>
    <t>20A.20.5.0A</t>
  </si>
  <si>
    <t>Attempted - Sexual assault on a female</t>
  </si>
  <si>
    <t>22A.22.4.0</t>
  </si>
  <si>
    <t>Causing a person to engage in sexual activity without consent: Female person  no penetration</t>
  </si>
  <si>
    <t>Scored for non penetration version</t>
  </si>
  <si>
    <t>022/04</t>
  </si>
  <si>
    <t>SX03009</t>
  </si>
  <si>
    <t>22A.22.4.0A</t>
  </si>
  <si>
    <t>Attempted - Causing a person to engage in sexual activity without consent: Female person  no penetration</t>
  </si>
  <si>
    <t>22A.22.5.0</t>
  </si>
  <si>
    <t>Causing a person to engage in sexual activity without consent: Male person  no penetration</t>
  </si>
  <si>
    <t>022/05</t>
  </si>
  <si>
    <t>SX03010</t>
  </si>
  <si>
    <t>23.23.12.0</t>
  </si>
  <si>
    <t>Sex with an adult relative - Penetration (Offender aged 16 or over relative aged 18 or over)</t>
  </si>
  <si>
    <t xml:space="preserve">Yes </t>
  </si>
  <si>
    <t xml:space="preserve">Aggravated to reflect breach of trust (BOT). </t>
  </si>
  <si>
    <t>023/12</t>
  </si>
  <si>
    <t>Sexual Offences Act 2003 Sec 64</t>
  </si>
  <si>
    <t>SX03126</t>
  </si>
  <si>
    <t>28E.28.3.1</t>
  </si>
  <si>
    <t>Burglary - Residential - Dwelling</t>
  </si>
  <si>
    <t>https://www.sentencingcouncil.org.uk/offences/magistrates-court/item/domestic-burglary/</t>
  </si>
  <si>
    <t>28E</t>
  </si>
  <si>
    <t>28F.28.3.1</t>
  </si>
  <si>
    <t>Attempted Burglary - Residential - Dwelling</t>
  </si>
  <si>
    <t>ATTEMPTED BURGLARY - RESIDENTIAL</t>
  </si>
  <si>
    <t>28F</t>
  </si>
  <si>
    <t>41.41.0.0</t>
  </si>
  <si>
    <t>Theft by an Employee</t>
  </si>
  <si>
    <t>No - general theft</t>
  </si>
  <si>
    <t>Suggest using Culpability category A to account for the BOT</t>
  </si>
  <si>
    <t>https://www.sentencingcouncil.org.uk/offences/crown-court/item/theft-general/</t>
  </si>
  <si>
    <t>THEFT BY AN EMPLOYEE</t>
  </si>
  <si>
    <t>41</t>
  </si>
  <si>
    <t>041/00</t>
  </si>
  <si>
    <t>Theft Act 1968 Sec 1(pt)</t>
  </si>
  <si>
    <t>41.41.0.0A</t>
  </si>
  <si>
    <t>Attempted - Theft by an Employee</t>
  </si>
  <si>
    <t>66.66.18.0</t>
  </si>
  <si>
    <t>Notifies police, under Notification Order, with false information</t>
  </si>
  <si>
    <t>Used aggravated version (culpability B) to account for giving false information.</t>
  </si>
  <si>
    <t>https://www.sentencingcouncil.org.uk/offences/crown-court/item/fail-to-comply-with-notification-requirements/</t>
  </si>
  <si>
    <t>066/18</t>
  </si>
  <si>
    <t>Sexual Offences Act 2003 Sec 91(1b)(2)</t>
  </si>
  <si>
    <t>66.66.3.0</t>
  </si>
  <si>
    <t>Placing or dispatching articles to cause a bomb hoax</t>
  </si>
  <si>
    <t xml:space="preserve">Used v aggravated Disorderly behaviour with intent to cause harassment, alarm or distress </t>
  </si>
  <si>
    <t>Summarily - six months, indictment 7 years</t>
  </si>
  <si>
    <t>066/03</t>
  </si>
  <si>
    <t>Criminal Law Act 1977 Sec 51.</t>
  </si>
  <si>
    <t>66.66.4.0</t>
  </si>
  <si>
    <t>Communicating false information alleging presence of bomb</t>
  </si>
  <si>
    <t>066/04</t>
  </si>
  <si>
    <t>CL77012</t>
  </si>
  <si>
    <t>69.69.5.1</t>
  </si>
  <si>
    <t>Unauthorised possession in prison of knife or offensive weapon</t>
  </si>
  <si>
    <t>Scored as  a category 1 harm knife possession</t>
  </si>
  <si>
    <t>4 years custody</t>
  </si>
  <si>
    <t>https://www.sentencingcouncil.org.uk/offences/crown-court/item/bladed-articles-and-offensive-weapons-possession/</t>
  </si>
  <si>
    <t>069/05</t>
  </si>
  <si>
    <t>Prison Act 1952</t>
  </si>
  <si>
    <t>PR52044</t>
  </si>
  <si>
    <t>69.69.6.0</t>
  </si>
  <si>
    <t>069/06</t>
  </si>
  <si>
    <t>Prison Act 1952 Sec 40CA (1) &amp; (4) as amended by Serious Crime Act 2015 Sec 78</t>
  </si>
  <si>
    <t>86.86.10.0</t>
  </si>
  <si>
    <t>Possession of an indecent or pseudo indecent photo of a child</t>
  </si>
  <si>
    <t>Scored as a possession offence</t>
  </si>
  <si>
    <t>086/10</t>
  </si>
  <si>
    <t>Criminal Justice Act 1988 Sec 160 amended by      Criminal Justice &amp; Court Services Act 2000 Sec 38</t>
  </si>
  <si>
    <t>86.86.15.0</t>
  </si>
  <si>
    <t>Possessing prohibited images of children</t>
  </si>
  <si>
    <t>086/15</t>
  </si>
  <si>
    <t>Coroners and Criminal Justice Act 2009 Sec 62(1) &amp; 66(2)</t>
  </si>
  <si>
    <t>CJ09001</t>
  </si>
  <si>
    <t>86.86.15.0A</t>
  </si>
  <si>
    <t>Attempted - Possessing prohibited images of children</t>
  </si>
  <si>
    <t>88E.88.12.0</t>
  </si>
  <si>
    <t>Additional Voyeurism Offences (upskirting)</t>
  </si>
  <si>
    <t>Raised culpability due to upskirting involving the taking of images</t>
  </si>
  <si>
    <t>https://www.sentencingcouncil.org.uk/offences/crown-court/item/voyeurism/</t>
  </si>
  <si>
    <t>EXPOSURE AND VOYEURISM</t>
  </si>
  <si>
    <t>88E</t>
  </si>
  <si>
    <t>088/12</t>
  </si>
  <si>
    <t>088</t>
  </si>
  <si>
    <t>Sexual Offences Act 2003 Sec 67A</t>
  </si>
  <si>
    <t>88E.88.12.0A</t>
  </si>
  <si>
    <t>Attempted Additional Voyeurism Offences (upskirting)</t>
  </si>
  <si>
    <t>Sexual Offences Act 2003 Sec 67A(2)</t>
  </si>
  <si>
    <t>8N.8.1.2</t>
  </si>
  <si>
    <t>Assault with Injury - Malicious wounding: wounding or inflicting grievous bodily harm (Minor wound or equivalent)</t>
  </si>
  <si>
    <t>Minor wound without intent (s20)</t>
  </si>
  <si>
    <t>8N.8.1.2A</t>
  </si>
  <si>
    <t>Attempted - Assault with Injury - Malicious wounding: wounding or inflicting grievous bodily harm (Minor wound or equivalent)</t>
  </si>
  <si>
    <t>Attempted - Minor wound without intent (s20)</t>
  </si>
  <si>
    <t>8N.8.69.0</t>
  </si>
  <si>
    <t>Care worker ill-treat /wilfully neglect an individual</t>
  </si>
  <si>
    <t>Used GBH without intent</t>
  </si>
  <si>
    <t>https://www.cps.gov.uk/legal-guidance/ill-treatment-or-wilful-neglect-offences-sections-20-25-criminal-justice-and-courts</t>
  </si>
  <si>
    <t>008/69</t>
  </si>
  <si>
    <t>Criminal Justice and Courts Act 2015 Sec 20 (1) and (2)</t>
  </si>
  <si>
    <t>CJ15001</t>
  </si>
  <si>
    <t>8P.8.60.0</t>
  </si>
  <si>
    <t>Racially or religiously aggravated assault or assault occasioning actual bodily harm</t>
  </si>
  <si>
    <t>https://www.sentencingcouncil.org.uk/offences/magistrates-court/item/assault-occasioning-actual-bodily-harm-racially-religiously-aggravated-abh/</t>
  </si>
  <si>
    <t>008/60</t>
  </si>
  <si>
    <t>60</t>
  </si>
  <si>
    <t>Crime &amp; Disorder Act 1998 Sec 29(1)(b)and (2) (as added to by Anti-terrorism, Crime and Security Act 2001 Sec 39)</t>
  </si>
  <si>
    <t>CD98073</t>
  </si>
  <si>
    <t>99.78.10.0</t>
  </si>
  <si>
    <t>Assisting unlawful immigration to member state</t>
  </si>
  <si>
    <t>TEW offence, but guidance on CPS says for any but the most minor offences custodial sentence is suggested. Suggest HL community sentence as minimum</t>
  </si>
  <si>
    <t>https://www.cps.gov.uk/sites/default/files/documents/publications/Immigration-Offences-Annex.pdf</t>
  </si>
  <si>
    <t>078/10</t>
  </si>
  <si>
    <t>Immigration Act 1971 S25(4-6) as amended by     Nationality, Immigration &amp; Asylum Act 2002 Sec 143</t>
  </si>
  <si>
    <t>99.78.9.0</t>
  </si>
  <si>
    <t>Assisting a detained person to escape</t>
  </si>
  <si>
    <t>No guidelines suggest high level community sentence</t>
  </si>
  <si>
    <t>Summary - 6 months/2 years indictment</t>
  </si>
  <si>
    <t>http://www.legislation.gov.uk/ukpga/1999/33/schedule/12/crossheading/assisting-detained-persons-to-escape</t>
  </si>
  <si>
    <t>078/09</t>
  </si>
  <si>
    <t>Immigration and Asylum Act 1999 Sch 11 para 4</t>
  </si>
  <si>
    <t>99.99.81.0</t>
  </si>
  <si>
    <t>Interfering with the mail - postal operators</t>
  </si>
  <si>
    <t>used theft employee</t>
  </si>
  <si>
    <t>6 months/fine</t>
  </si>
  <si>
    <t>http://www.legislation.gov.uk/ukpga/2000/26/section/84</t>
  </si>
  <si>
    <t>099/81</t>
  </si>
  <si>
    <t>Postal Services Act 2000 Sec 83</t>
  </si>
  <si>
    <t>PS00008</t>
  </si>
  <si>
    <t>NN.190.6.0</t>
  </si>
  <si>
    <t>Wildlife and Countryside Act 1981, Prohibition of certain methods of killing or taking wild birds</t>
  </si>
  <si>
    <t xml:space="preserve">Used more serious animal cruelty. </t>
  </si>
  <si>
    <t>190/06</t>
  </si>
  <si>
    <t>190</t>
  </si>
  <si>
    <t>Wildlife and Countryside Act 1981</t>
  </si>
  <si>
    <t>NN.190.7.0</t>
  </si>
  <si>
    <t>Wildlife and Countryside Act 1981, Sale etc of live or dead wild birds, eggs etc</t>
  </si>
  <si>
    <t>190/07</t>
  </si>
  <si>
    <t>NN.196.16.0</t>
  </si>
  <si>
    <t>Anti-social Behaviour Act 2003 - Without reasonable excuse permitting premises to be open in contravention of closure order</t>
  </si>
  <si>
    <t xml:space="preserve">Used Culpability B </t>
  </si>
  <si>
    <t>196/16</t>
  </si>
  <si>
    <t>Anti-social Behaviour Act 2003 S.40 (4) &amp; (5)</t>
  </si>
  <si>
    <t>AS03005</t>
  </si>
  <si>
    <t>105.8.67.0</t>
  </si>
  <si>
    <t>Engage in controlling/coercive behaviour in an intimate / family relationship.</t>
  </si>
  <si>
    <t>https://www.sentencingcouncil.org.uk/offences/magistrates-court/item/controlling-or-coercive-behaviour-in-an-intimate-or-family-relationship/</t>
  </si>
  <si>
    <t>ASSAULT WITHOUT INJURY</t>
  </si>
  <si>
    <t>105A</t>
  </si>
  <si>
    <t>008/67</t>
  </si>
  <si>
    <t>Serious Crime Act 2015 Sec 76</t>
  </si>
  <si>
    <t>SC15004</t>
  </si>
  <si>
    <t>105B.8.57.0</t>
  </si>
  <si>
    <t>Racially or religiously aggravated common assault or beating</t>
  </si>
  <si>
    <t>https://www.sentencingcouncil.org.uk/offences/magistrates-court/item/common-assault-racially-religiously-aggravated-common-assault/</t>
  </si>
  <si>
    <t>RACE OR RELIGIOUSLY AGG ASSAULT NO INJ</t>
  </si>
  <si>
    <t>105B</t>
  </si>
  <si>
    <t>008/57</t>
  </si>
  <si>
    <t>Crime &amp; Disorder Act 1998 Sec 29(1)(c) and (3) (as added to by Anti-terrorism, Crime and Security Act 2001 Sec 39).</t>
  </si>
  <si>
    <t>CD98070</t>
  </si>
  <si>
    <t>105B.8.57.0A</t>
  </si>
  <si>
    <t>Attempted - Racially or religiously aggravated common assault or beating</t>
  </si>
  <si>
    <t>10B.81.3.0</t>
  </si>
  <si>
    <t>Possessing etc firearms or ammunition without firearm certificate</t>
  </si>
  <si>
    <t>Draft guidelines only -&gt; Used the non statutory minimum version</t>
  </si>
  <si>
    <t>081/03</t>
  </si>
  <si>
    <t>Firearms Act 1968 Sec 1(1) (Gp I) as amended by     Criminal Justice &amp; Public Order Act 1994 Sec. 157 Sch. 8 part III</t>
  </si>
  <si>
    <t>10B.81.3.0A</t>
  </si>
  <si>
    <t>Attempted - Possessing etc firearms or ammunition without firearm certificate</t>
  </si>
  <si>
    <t>10B.81.36.0</t>
  </si>
  <si>
    <t>Possession of firearms by persons previously convicted of crime (Group II)</t>
  </si>
  <si>
    <t>Draft guidelines</t>
  </si>
  <si>
    <t>081/36</t>
  </si>
  <si>
    <t>10B.81.4.0</t>
  </si>
  <si>
    <t>Possessing etc shotgun without certificate</t>
  </si>
  <si>
    <t>081/04</t>
  </si>
  <si>
    <t>Firearms Act 1968 Sec 2(1) (GpI I) as amended by    Criminal Justice &amp; Public Order Act 1994 Sec. 157 Sch. 8 part III</t>
  </si>
  <si>
    <t>11A.109.5.0</t>
  </si>
  <si>
    <t>Cruelty to Children/Young Persons - Exposing child to risk of burning</t>
  </si>
  <si>
    <t xml:space="preserve">no </t>
  </si>
  <si>
    <t>Cruelty to a child – assault and ill treatment, abandonment, neglect, and failure to protect</t>
  </si>
  <si>
    <t>https://www.sentencingcouncil.org.uk/offences/magistrates-court/item/cruelty-to-a-child-assault-and-ill-treatment-abandonment-neglect-and-failure-to-protect/</t>
  </si>
  <si>
    <t>CRUELTY TO CHILDREN/YOUNG PERSONS</t>
  </si>
  <si>
    <t>11A</t>
  </si>
  <si>
    <t>109/05</t>
  </si>
  <si>
    <t>109</t>
  </si>
  <si>
    <t>Children and Young Persons Act 1933 Sec 11.</t>
  </si>
  <si>
    <t>11A.109.7.0</t>
  </si>
  <si>
    <t>Cruelty to Children/Young Persons - Neglecting to provide for safety at children's entertainment</t>
  </si>
  <si>
    <t>109/07</t>
  </si>
  <si>
    <t>Children and Young Persons Act 1933 Sec 12.</t>
  </si>
  <si>
    <t>11A.11.3.0</t>
  </si>
  <si>
    <t>Cruelty to Children/Young Persons - Cruelty to and neglect of children</t>
  </si>
  <si>
    <t>011/03</t>
  </si>
  <si>
    <t>Children and Young Persons Act 1933 Sec 1.</t>
  </si>
  <si>
    <t>11A.11.3.0A</t>
  </si>
  <si>
    <t>Attempted - Cruelty to Children/Young Persons - Cruelty to and neglect of children</t>
  </si>
  <si>
    <t>21.21.10.0</t>
  </si>
  <si>
    <t>Engaging in sexual activity in the presence of a child under 13 by an offender over 18 years of age</t>
  </si>
  <si>
    <t xml:space="preserve">Medium level community order </t>
  </si>
  <si>
    <t xml:space="preserve">10 years’ custody </t>
  </si>
  <si>
    <t>021/10</t>
  </si>
  <si>
    <t>Sexual Offences Act 2003 Sec 11.</t>
  </si>
  <si>
    <t>21.21.11.0</t>
  </si>
  <si>
    <t>Causing a child under 13 to watch a sexual act by an offender over 18 years of age</t>
  </si>
  <si>
    <t>021/11</t>
  </si>
  <si>
    <t>Sexual Offences Act 2003 Sec 12.</t>
  </si>
  <si>
    <t>21.21.11.0A</t>
  </si>
  <si>
    <t>Attempted - Causing a child under 13 to watch a sexual act by an offender over 18 years of age</t>
  </si>
  <si>
    <t>21.21.16.0</t>
  </si>
  <si>
    <t>Engaging in sexual activity in the presence of a child under 13 by an offender under 18 years of age</t>
  </si>
  <si>
    <t>021/16</t>
  </si>
  <si>
    <t>SX03043</t>
  </si>
  <si>
    <t>22B.22.10.0</t>
  </si>
  <si>
    <t>Engaging in sexual activity in the presence of a child under 16 - Offender aged 18 or over</t>
  </si>
  <si>
    <t>022/10</t>
  </si>
  <si>
    <t>Sexual Offences Act 2003 Sec 11 (pt)</t>
  </si>
  <si>
    <t>22B.22.11.0</t>
  </si>
  <si>
    <t>Causing a child under 16 to watch a sexual act - Offender aged 18 or over</t>
  </si>
  <si>
    <t>022/11</t>
  </si>
  <si>
    <t>Sexual Offences Act 2003 Sec 12 (pt)</t>
  </si>
  <si>
    <t>22B.22.17.0</t>
  </si>
  <si>
    <t>Causing a child under 16 to watch a sexual act - Offender aged Under 18</t>
  </si>
  <si>
    <t>022/17</t>
  </si>
  <si>
    <t>SX03046</t>
  </si>
  <si>
    <t>22B.22.18.0</t>
  </si>
  <si>
    <t>Sexual activity with a female child under 16 No penetration - Offender 18 or over</t>
  </si>
  <si>
    <t>022/18</t>
  </si>
  <si>
    <t>22B.22.19.0</t>
  </si>
  <si>
    <t>Sexual activity with a male child under 16 No penetration - Offender 18 or over</t>
  </si>
  <si>
    <t>022/19</t>
  </si>
  <si>
    <t>SX03159</t>
  </si>
  <si>
    <t>22B.22.20.0</t>
  </si>
  <si>
    <t>Causing or inciting a female child under 16 to engage in sexual activity No Penetration - Offender 18 or over</t>
  </si>
  <si>
    <t>022/20</t>
  </si>
  <si>
    <t>22B.22.20.0A</t>
  </si>
  <si>
    <t>Attempted - Causing or inciting a female child under 16 to engage in sexual activity No Penetration - Offender 18 or over</t>
  </si>
  <si>
    <t>22B.22.21.0</t>
  </si>
  <si>
    <t>Causing or inciting a male child under 16 to engage in sexual activity No Penetration - Offender 18 or over</t>
  </si>
  <si>
    <t>022/21</t>
  </si>
  <si>
    <t>SX03163</t>
  </si>
  <si>
    <t>22B.22.21.0A</t>
  </si>
  <si>
    <t>Attempted - Causing or inciting a male child under 16 to engage in sexual activity No Penetration - Offender 18 or over</t>
  </si>
  <si>
    <t>22B.22.22.0</t>
  </si>
  <si>
    <t>Sexual activity with a female child under 16 No penetration - Offender Under 18</t>
  </si>
  <si>
    <t>022/22</t>
  </si>
  <si>
    <t>SX03166</t>
  </si>
  <si>
    <t>22B.22.23.0</t>
  </si>
  <si>
    <t>Sexual activity with a male child under 16 No penetration - Offender Under 18</t>
  </si>
  <si>
    <t>022/23</t>
  </si>
  <si>
    <t>SX03167</t>
  </si>
  <si>
    <t>22B.22.24.0</t>
  </si>
  <si>
    <t>Causing or inciting a female child under 16 to engage in sexual activity No Penetration - Offender Under 18</t>
  </si>
  <si>
    <t>022/24</t>
  </si>
  <si>
    <t>22B.22.24.0A</t>
  </si>
  <si>
    <t>Attempted - Causing or inciting a female child under 16 to engage in sexual activity No Penetration - Offender Under 18</t>
  </si>
  <si>
    <t>22B.22.25.0</t>
  </si>
  <si>
    <t>Causing or inciting a male child under 16 to engage in sexual activity No Penetration - Offender Under 18</t>
  </si>
  <si>
    <t>022/25</t>
  </si>
  <si>
    <t>SX03171</t>
  </si>
  <si>
    <t>22B.22.25.0A</t>
  </si>
  <si>
    <t>Attempted - Causing or inciting a male child under 16 to engage in sexual activity No Penetration - Offender Under 18</t>
  </si>
  <si>
    <t>23.23.13.0</t>
  </si>
  <si>
    <t>Sex with an adult relative - Consenting to Penetration (Offender aged 16 or over relative aged 18 or over)</t>
  </si>
  <si>
    <t xml:space="preserve">Suggest "consenting to penetration" is scored lower than the offence where consent is not mentioned. </t>
  </si>
  <si>
    <t>023/13</t>
  </si>
  <si>
    <t>Sexual Offences Act 2003 Sec 65</t>
  </si>
  <si>
    <t>SX03127</t>
  </si>
  <si>
    <t>23.23.29.0</t>
  </si>
  <si>
    <t>Inciting a child family member to engage in sexual activity - Male - Victim Under 13 - 18 or over - no penetration</t>
  </si>
  <si>
    <t>023/29</t>
  </si>
  <si>
    <t>SX03177</t>
  </si>
  <si>
    <t>23.23.6.0</t>
  </si>
  <si>
    <t>Sexual activity with a child family member - Female - Victim aged 13-20 - Under 18 - no penetration</t>
  </si>
  <si>
    <t>023/06</t>
  </si>
  <si>
    <t>24.24.17.0</t>
  </si>
  <si>
    <t>Causing or inciting prostitution for gain</t>
  </si>
  <si>
    <t>024/17</t>
  </si>
  <si>
    <t>Sexual Offences Act 2003 Sec 52</t>
  </si>
  <si>
    <t>SX03118</t>
  </si>
  <si>
    <t>24.24.17.0A</t>
  </si>
  <si>
    <t>Attempted - Causing or inciting prostitution for gain</t>
  </si>
  <si>
    <t>24.24.19.0</t>
  </si>
  <si>
    <t>Keeping a brothel used for prostitution</t>
  </si>
  <si>
    <t>024/19</t>
  </si>
  <si>
    <t>Sexual Offences Act 1956 Sec 33A as added by       Sexual Offences Act 2003 Sec 55</t>
  </si>
  <si>
    <t>SX56123</t>
  </si>
  <si>
    <t>28E.28.3.2</t>
  </si>
  <si>
    <t>Burglary - Residential - Non-Dwelling</t>
  </si>
  <si>
    <t>28F.28.3.1A</t>
  </si>
  <si>
    <t>Attempted Burglary - Residential - Non-Dwelling</t>
  </si>
  <si>
    <t>30C.30.2.1</t>
  </si>
  <si>
    <t>Burglary - Business And Community</t>
  </si>
  <si>
    <t>30C</t>
  </si>
  <si>
    <t>030/02</t>
  </si>
  <si>
    <t>30D.30.2.1A</t>
  </si>
  <si>
    <t>Attempted Burglary - Business And Community</t>
  </si>
  <si>
    <t>ATTEMPT BURG - BUS AND COM</t>
  </si>
  <si>
    <t>30D</t>
  </si>
  <si>
    <t>33A.53.44.0</t>
  </si>
  <si>
    <t>Making or supplying articles for use in frauds</t>
  </si>
  <si>
    <t>https://www.sentencingcouncil.org.uk/offences/magistrates-court/item/possessing-making-or-supplying-articles-for-use-in-fraud/</t>
  </si>
  <si>
    <t>MAKE OR SUPP ARTICLES FRAUD</t>
  </si>
  <si>
    <t>33A</t>
  </si>
  <si>
    <t>053/44</t>
  </si>
  <si>
    <t>Fraud Act 2006 Sec 7</t>
  </si>
  <si>
    <t>33A.53.55.0</t>
  </si>
  <si>
    <t>Making, supplying or obtaining articles for use in offence under sections 1 or 3</t>
  </si>
  <si>
    <t>053/55</t>
  </si>
  <si>
    <t>Computer Misuse Act 1990 as added by Police and Justice Act 2006</t>
  </si>
  <si>
    <t>33A.53.55.0A</t>
  </si>
  <si>
    <t>Attempted - Making, supplying or obtaining articles for use in offence under sections 1 or 3</t>
  </si>
  <si>
    <t>37.2.131.1.0</t>
  </si>
  <si>
    <t>Aggravated vehicle taking where the only aggravating factor is criminal damage of £5000 or under</t>
  </si>
  <si>
    <t>https://www.sentencingcouncil.org.uk/offences/magistrates-court/item/vehicle-taking-aggravated-damage-caused-to-property-other-than-the-vehicle-in-accident-or-damage-caused-to-vehicle/</t>
  </si>
  <si>
    <t>VEHICLE OFFENCES</t>
  </si>
  <si>
    <t>AGGRAVATED VEHICLE TAKING</t>
  </si>
  <si>
    <t>37/2</t>
  </si>
  <si>
    <t>131/01</t>
  </si>
  <si>
    <t>131</t>
  </si>
  <si>
    <t>Theft Act 1968 Sec 12A(pt)</t>
  </si>
  <si>
    <t>TH68144</t>
  </si>
  <si>
    <t>37.2.131.1.0A</t>
  </si>
  <si>
    <t>Attempted - Aggravated vehicle taking where the only aggravating factor is criminal damage of £5000 or under</t>
  </si>
  <si>
    <t>37.2.131.3.0</t>
  </si>
  <si>
    <t>Aggravated vehicle taking (driving / being carried) offences causing damage to vehicle and / or property under £5000</t>
  </si>
  <si>
    <t>131/03</t>
  </si>
  <si>
    <t>Theft Act 1968 Section 12A</t>
  </si>
  <si>
    <t>37.2.37.2.0</t>
  </si>
  <si>
    <t>Aggravated vehicle taking</t>
  </si>
  <si>
    <t>037/02</t>
  </si>
  <si>
    <t>38.38.1.0</t>
  </si>
  <si>
    <t>Concealing etc criminal property</t>
  </si>
  <si>
    <t>Used fraud</t>
  </si>
  <si>
    <t>https://www.sentencingcouncil.org.uk/offences/magistrates-court/item/fraud/</t>
  </si>
  <si>
    <t>PROFIT FROM OR CONCEAL PROCEEDS OF CRIME</t>
  </si>
  <si>
    <t>38</t>
  </si>
  <si>
    <t>038/01</t>
  </si>
  <si>
    <t>Proceeds of Crime Act 2002 Sec 327</t>
  </si>
  <si>
    <t>38.38.1.0A</t>
  </si>
  <si>
    <t>Attempted - Concealing etc criminal property</t>
  </si>
  <si>
    <t>38.38.3.0</t>
  </si>
  <si>
    <t>Acquisition, use &amp; possession of criminal property</t>
  </si>
  <si>
    <t>038/03</t>
  </si>
  <si>
    <t>Proceeds of Crime Act 2002 Sec 329</t>
  </si>
  <si>
    <t>38.38.3.0A</t>
  </si>
  <si>
    <t>Attempted - Acquisition, use &amp; possession of criminal property</t>
  </si>
  <si>
    <t>3B.3.1.0</t>
  </si>
  <si>
    <t>Threats to kill</t>
  </si>
  <si>
    <t>https://www.sentencingcouncil.org.uk/offences/magistrates-court/item/threats-to-kill/</t>
  </si>
  <si>
    <t>THREATS TO KILL</t>
  </si>
  <si>
    <t>3B</t>
  </si>
  <si>
    <t>003/01</t>
  </si>
  <si>
    <t>Offences against the Person Act 1861 Sec 16</t>
  </si>
  <si>
    <t>OF61014</t>
  </si>
  <si>
    <t>3B.3.1.0A</t>
  </si>
  <si>
    <t>Attempted - Threats to kill</t>
  </si>
  <si>
    <t>4.8.4.8.0</t>
  </si>
  <si>
    <t>Causing death by careless or inconsiderate driving</t>
  </si>
  <si>
    <t>https://www.sentencingcouncil.org.uk/offences/crown-court/item/causing-death-by-careless-or-inconsiderate-driving/</t>
  </si>
  <si>
    <t>DEATH BY CARELESS OR INCON DRIVING</t>
  </si>
  <si>
    <t>4/8</t>
  </si>
  <si>
    <t>004/08</t>
  </si>
  <si>
    <t>Road Traffic Act 1988 Sec 2B (as added by Road Safety Act 2006 Sec 20)</t>
  </si>
  <si>
    <t>RT88564</t>
  </si>
  <si>
    <t>DEATH BY DRIVING UNLI, DISQ OR UNINS</t>
  </si>
  <si>
    <t>4/9</t>
  </si>
  <si>
    <t>004/09</t>
  </si>
  <si>
    <t>Road Traffic Act 1988 Sec 3ZB (as added by Road Safety Act 2006 Sec 21)</t>
  </si>
  <si>
    <t>48.48.1.0</t>
  </si>
  <si>
    <t>Theft of a motor vehicle</t>
  </si>
  <si>
    <t>Used  £500-£10,000 theft (Based on approx car values) - higher culpability since theft of vehicle should score higher than TWOC</t>
  </si>
  <si>
    <t>https://www.sentencingcouncil.org.uk/offences/magistrates-court/item/theft-general/</t>
  </si>
  <si>
    <t>THEFT OR UNAUTH TAKING OF A MOTOR VEH</t>
  </si>
  <si>
    <t>48</t>
  </si>
  <si>
    <t>048/01</t>
  </si>
  <si>
    <t>48.48.1.0A</t>
  </si>
  <si>
    <t>Attempted - Theft of a motor vehicle</t>
  </si>
  <si>
    <t>49.49.12.0</t>
  </si>
  <si>
    <t>Theft of conveyance other than a motor or pedal cycle</t>
  </si>
  <si>
    <t xml:space="preserve">Scored the same as theft of MV. </t>
  </si>
  <si>
    <t>49</t>
  </si>
  <si>
    <t>049/12</t>
  </si>
  <si>
    <t>49.49.12.0A</t>
  </si>
  <si>
    <t>Attempted - Theft of conveyance other than a motor or pedal cycle</t>
  </si>
  <si>
    <t>5E.5.11.0</t>
  </si>
  <si>
    <t>Endangering Life - Causing danger to road-users</t>
  </si>
  <si>
    <t>Causing danger to road-users</t>
  </si>
  <si>
    <t>Scored as dangerous driving</t>
  </si>
  <si>
    <t>005/11</t>
  </si>
  <si>
    <t>Road Traffic Act 1988 Sec 22a.</t>
  </si>
  <si>
    <t>61.61.21.2</t>
  </si>
  <si>
    <t>Forgery or copying false instrument (other than drug prescription)</t>
  </si>
  <si>
    <t>Used Making or supplying articles for use in frauds</t>
  </si>
  <si>
    <t>OTHER FORGERY</t>
  </si>
  <si>
    <t>061/21</t>
  </si>
  <si>
    <t>Forgery &amp; Counterfeiting Act 1981 Secs 1,2.</t>
  </si>
  <si>
    <t>61.61.22.0</t>
  </si>
  <si>
    <t>Using a false instrument or a copy of a false instrument</t>
  </si>
  <si>
    <t>061/22</t>
  </si>
  <si>
    <t>Forgery and Counterfeiting Act 1981 Sec 3, 4</t>
  </si>
  <si>
    <t>61.61.24.0</t>
  </si>
  <si>
    <t>Making counterfeit coin or note</t>
  </si>
  <si>
    <t>061/24</t>
  </si>
  <si>
    <t>Forgery &amp; Counterfeiting Act 1981 Sec 14</t>
  </si>
  <si>
    <t>61.61.25.0</t>
  </si>
  <si>
    <t>Pass etc counterfeit coin or note as genuine</t>
  </si>
  <si>
    <t>061/25</t>
  </si>
  <si>
    <t>Forgery &amp; Counterfeiting Act 1981 Sec 15</t>
  </si>
  <si>
    <t>61.61.25.0A</t>
  </si>
  <si>
    <t>Attempted - Pass etc counterfeit coin or note as genuine</t>
  </si>
  <si>
    <t>61.61.26.0</t>
  </si>
  <si>
    <t>Possess counterfeit coin or note</t>
  </si>
  <si>
    <t>061/26</t>
  </si>
  <si>
    <t>Forgery &amp; Counterfeiting Act 1981 Sec 16</t>
  </si>
  <si>
    <t>66.66.1.0</t>
  </si>
  <si>
    <t>Affray</t>
  </si>
  <si>
    <t xml:space="preserve">3 years </t>
  </si>
  <si>
    <t>https://www.sentencingcouncil.org.uk/offences/crown-court/item/affray-2/</t>
  </si>
  <si>
    <t>066/01</t>
  </si>
  <si>
    <t>Public Order Act 1986 Sec 3.</t>
  </si>
  <si>
    <t>66.66.1.0A</t>
  </si>
  <si>
    <t>Attempted - Affray</t>
  </si>
  <si>
    <t>66.68.7.0</t>
  </si>
  <si>
    <t>Breach a sexual risk order / risk of harm order etc. or fail to comply with requirement under Sec 122 c (4)</t>
  </si>
  <si>
    <t>5 years’ custody</t>
  </si>
  <si>
    <t>https://www.sentencingcouncil.org.uk/offences/magistrates-court/item/breach-of-a-sexual-harm-prevention-order/</t>
  </si>
  <si>
    <t>068/07</t>
  </si>
  <si>
    <t>Sexual Offences Act 2003 Sec 122 H (1),(2),(3)</t>
  </si>
  <si>
    <t>66.68.7.0A</t>
  </si>
  <si>
    <t>66.68.8.0</t>
  </si>
  <si>
    <t>Breach SHPO / interim SHPO / SOPO / interim SOPO / Foreign travel order or fail to comply with a requirement under Sec 103D (4)</t>
  </si>
  <si>
    <t>068/08</t>
  </si>
  <si>
    <t>Sexual Offences Act 2003 Sec 103I (1),(2),(3)</t>
  </si>
  <si>
    <t>66.8.32.0</t>
  </si>
  <si>
    <t>Breach of Anti-Social Behaviour Order</t>
  </si>
  <si>
    <t>https://www.sentencingcouncil.org.uk/offences/magistrates-court/item/breach-of-a-criminal-behaviour-order/</t>
  </si>
  <si>
    <t>008/32</t>
  </si>
  <si>
    <t>32</t>
  </si>
  <si>
    <t>Crime and Disorder Act 1998 Sec 1(10).</t>
  </si>
  <si>
    <t>67.67.2.8</t>
  </si>
  <si>
    <t>False statements etc to obtain passport</t>
  </si>
  <si>
    <t>https://www.sentencingcouncil.org.uk/offences/magistrates-court/item/identity-documents-possess-false-anothers-improperly-obtained/</t>
  </si>
  <si>
    <t>067/02</t>
  </si>
  <si>
    <t>Criminal Justice Act 1925 Sec 36</t>
  </si>
  <si>
    <t>69.69.3.0</t>
  </si>
  <si>
    <t>Conveyance etc of List B articles into or out of prison</t>
  </si>
  <si>
    <t>Suggest Medium level community order</t>
  </si>
  <si>
    <t>2 years custody</t>
  </si>
  <si>
    <t>069/03</t>
  </si>
  <si>
    <t>69.69.3.0A</t>
  </si>
  <si>
    <t>Attempted - Conveyance etc of List B articles into or out of prison</t>
  </si>
  <si>
    <t>TR68216</t>
  </si>
  <si>
    <t>TR68217</t>
  </si>
  <si>
    <t>TR68218</t>
  </si>
  <si>
    <t>TR68219</t>
  </si>
  <si>
    <t>TR68220</t>
  </si>
  <si>
    <t>TR68221</t>
  </si>
  <si>
    <t>TR68222</t>
  </si>
  <si>
    <t>TR68223</t>
  </si>
  <si>
    <t>TR68224</t>
  </si>
  <si>
    <t>TR68231</t>
  </si>
  <si>
    <t>TR68232</t>
  </si>
  <si>
    <t>TR68233</t>
  </si>
  <si>
    <t>TR68249</t>
  </si>
  <si>
    <t>TR68506</t>
  </si>
  <si>
    <t>TR68507</t>
  </si>
  <si>
    <t>TR68532</t>
  </si>
  <si>
    <t>TR68533</t>
  </si>
  <si>
    <t>69.69.4.0</t>
  </si>
  <si>
    <t>Other offences relating to prison security</t>
  </si>
  <si>
    <t>069/04</t>
  </si>
  <si>
    <t>69.69.5.0</t>
  </si>
  <si>
    <t>Without authority possess inside a prison an item specified in Sec 40D (3A)</t>
  </si>
  <si>
    <t>Prison Act 1952 Sec 40D (3A)</t>
  </si>
  <si>
    <t>PR52043</t>
  </si>
  <si>
    <t>69.69.5.0A</t>
  </si>
  <si>
    <t>Attempted - Without authority possess inside a prison an item specified in Sec 40D (3A)</t>
  </si>
  <si>
    <t>69.69.7.0</t>
  </si>
  <si>
    <t>Throwing articles into prison</t>
  </si>
  <si>
    <t>Throwing articles into prison - Section 40CB of Prison Act 1952</t>
  </si>
  <si>
    <t>069/07</t>
  </si>
  <si>
    <t>Prison Act 1952 Sec 40CB (1) and (4) as inserted by Serious Crime Act 2015 Sec 79</t>
  </si>
  <si>
    <t>PR52045</t>
  </si>
  <si>
    <t>70.70.20.0</t>
  </si>
  <si>
    <t>Care workers: Sexual activity with a person with a mental disorder: Female person - no penetration</t>
  </si>
  <si>
    <t>070/20</t>
  </si>
  <si>
    <t>SX03094</t>
  </si>
  <si>
    <t>70.70.24.0</t>
  </si>
  <si>
    <t>Care workers: Causing a person with a mental disorder or learning disability to watch a sexual act</t>
  </si>
  <si>
    <t>https://www.sentencingcouncil.org.uk/offences/crown-court/item/care-workers-sexual-activity-in-the-presence-of-a-person-with-a-mental-disorder/</t>
  </si>
  <si>
    <t>070/24</t>
  </si>
  <si>
    <t>Sexual Offences Act 2003 Sec 41.</t>
  </si>
  <si>
    <t>73.73.10.0</t>
  </si>
  <si>
    <t>Abuse of position of trust: causing or inciting a child to engage in sexual activity - male child aged 13-17 Suspect aged 18 or over</t>
  </si>
  <si>
    <t>073/10</t>
  </si>
  <si>
    <t>73.73.7.0</t>
  </si>
  <si>
    <t>Abuse of position of trust: sexual activity with a female child aged 13-17 Suspect aged 18 or over</t>
  </si>
  <si>
    <t>073/07</t>
  </si>
  <si>
    <t>73.73.8.0</t>
  </si>
  <si>
    <t>Abuse of position of trust: sexual activity with a male child aged 13-17 Suspect aged 18 or over</t>
  </si>
  <si>
    <t>073/08</t>
  </si>
  <si>
    <t>SX03053</t>
  </si>
  <si>
    <t>73.73.9.0</t>
  </si>
  <si>
    <t>Abuse of position of trust: causing or inciting a child to engage in sexual activity - female child aged 13-17 Suspect aged 18 or over</t>
  </si>
  <si>
    <t>073/09</t>
  </si>
  <si>
    <t>802.802.1.0</t>
  </si>
  <si>
    <t>Dangerous Driving</t>
  </si>
  <si>
    <t>DANGEROUS DRIVING</t>
  </si>
  <si>
    <t>802</t>
  </si>
  <si>
    <t>802/00</t>
  </si>
  <si>
    <t>Road Traffic Act 1988 Sec 2 as amended by Road Traffic Act 1991 S.2.</t>
  </si>
  <si>
    <t>814.814.1.0</t>
  </si>
  <si>
    <t>Fraud, forgery etc associated with driving licence</t>
  </si>
  <si>
    <t>FRAUD FORGERY ASSOCIATED WITH VEHICLE</t>
  </si>
  <si>
    <t>814</t>
  </si>
  <si>
    <t>814/01</t>
  </si>
  <si>
    <t>Road Traffic Act 1988 Sec 173(1)   Public Passenger Vehicles Act 1981 Sec 65(1)(a) &amp; (2)</t>
  </si>
  <si>
    <t>814.814.1.0A</t>
  </si>
  <si>
    <t>Attempted - Fraud, forgery etc associated with driving licence</t>
  </si>
  <si>
    <t>814.814.4.0</t>
  </si>
  <si>
    <t>Fraud, forgery etc associated with work records</t>
  </si>
  <si>
    <t>Used fraud identity documents</t>
  </si>
  <si>
    <t>814/04</t>
  </si>
  <si>
    <t>Transport Act 1968 Sec 99(5)</t>
  </si>
  <si>
    <t>814.814.4.0A</t>
  </si>
  <si>
    <t>Attempted - Fraud, forgery etc associated with work records</t>
  </si>
  <si>
    <t>88A.71.17.0</t>
  </si>
  <si>
    <t>Engage in sexual communication with a child</t>
  </si>
  <si>
    <t>Suggest medium level community order as with other sexual activity with child</t>
  </si>
  <si>
    <t>071/17</t>
  </si>
  <si>
    <t>Sexual Offences Act 2003 Sec 15A (1) &amp; (3) as amended by Serious Crime Act 2015 Sec 67</t>
  </si>
  <si>
    <t>SX03224</t>
  </si>
  <si>
    <t>88A.71.17.0A</t>
  </si>
  <si>
    <t>Attempted - Engage in sexual communication with a child</t>
  </si>
  <si>
    <t>SX03224A</t>
  </si>
  <si>
    <t>88E.88.10.0</t>
  </si>
  <si>
    <t>Voyeurism</t>
  </si>
  <si>
    <t>088/10</t>
  </si>
  <si>
    <t>Sexual Offences Act 2003 Sec 67</t>
  </si>
  <si>
    <t>88E.88.9.0</t>
  </si>
  <si>
    <t>Exposure</t>
  </si>
  <si>
    <t>https://www.sentencingcouncil.org.uk/offences/crown-court/item/exposure/</t>
  </si>
  <si>
    <t>088/09</t>
  </si>
  <si>
    <t>SX03128</t>
  </si>
  <si>
    <t>8L.195.94.0</t>
  </si>
  <si>
    <t>Harassment</t>
  </si>
  <si>
    <t>Harassment - without violence (course of conduct)</t>
  </si>
  <si>
    <t>Used Harassment  scored to culpability A to reflect that offence is based on a course of conduct</t>
  </si>
  <si>
    <t>https://www.sentencingcouncil.org.uk/offences/magistrates-court/item/harassment-stalking-racially-or-religiously-aggravated-harassment-stalking/</t>
  </si>
  <si>
    <t>HARASSMENT</t>
  </si>
  <si>
    <t>8L</t>
  </si>
  <si>
    <t>195/94</t>
  </si>
  <si>
    <t>195</t>
  </si>
  <si>
    <t>Protection from Harassment Act 1997 Sec 2</t>
  </si>
  <si>
    <t>CE79286</t>
  </si>
  <si>
    <t>CE79287</t>
  </si>
  <si>
    <t>CE79321</t>
  </si>
  <si>
    <t>CE79322</t>
  </si>
  <si>
    <t>CE79323</t>
  </si>
  <si>
    <t>CE79324</t>
  </si>
  <si>
    <t>CE79325</t>
  </si>
  <si>
    <t>CE79332</t>
  </si>
  <si>
    <t>CE79337</t>
  </si>
  <si>
    <t>CE79338</t>
  </si>
  <si>
    <t>CE79339</t>
  </si>
  <si>
    <t>8L.195.94.0A</t>
  </si>
  <si>
    <t>Attempted - Harassment</t>
  </si>
  <si>
    <t>Attempted - Harassment - without violence (course of conduct)</t>
  </si>
  <si>
    <t>8M.8.56.0</t>
  </si>
  <si>
    <t>Racially or religiously aggravated Harassment or stalking without violence</t>
  </si>
  <si>
    <t>Used culpability A to show that victim was targeted for specific reasons</t>
  </si>
  <si>
    <t>RACE OR RELIGIOUSLY AGG HARASS</t>
  </si>
  <si>
    <t>8M</t>
  </si>
  <si>
    <t>008/56</t>
  </si>
  <si>
    <t>Crime &amp; Disorder Act 1998 Sec 32(1)(a) And (4) (as added to by Anti-terrorism, Crime and Security Act 2001 Sec 39).</t>
  </si>
  <si>
    <t>CD98069</t>
  </si>
  <si>
    <t>8M.8.56.0A</t>
  </si>
  <si>
    <t>Attempted - Racially or religiously aggravated Harassment or stalking without violence</t>
  </si>
  <si>
    <t>8M.8.58.0</t>
  </si>
  <si>
    <t>Racially or religiously aggravated Harassment or stalking with fear of violence</t>
  </si>
  <si>
    <t>008/58</t>
  </si>
  <si>
    <t>58</t>
  </si>
  <si>
    <t>Crime &amp; Disorder Act 1998 Sec 32(1)(b) or (4) as added to by Anti-terrorism, Crime and Security Act 2001 Sec 39).</t>
  </si>
  <si>
    <t>CD98071</t>
  </si>
  <si>
    <t>8N.8.6.0</t>
  </si>
  <si>
    <t>Assault with Injury - Assault occasioning actual bodily harm</t>
  </si>
  <si>
    <t>Assault occasioning actual bodily harm (ABH)</t>
  </si>
  <si>
    <t>https://www.sentencingcouncil.org.uk/offences/crown-court/item/assault-occasioning-actual-bodily-harm-racially-religiously-aggravated-abh/</t>
  </si>
  <si>
    <t>8N.8.6.0A</t>
  </si>
  <si>
    <t>Attempted - Assault with Injury - Assault occasioning actual bodily harm</t>
  </si>
  <si>
    <t>Attempted - Assault occasioning actual bodily harm (ABH)</t>
  </si>
  <si>
    <t>OF61102A</t>
  </si>
  <si>
    <t>8Q.195.12.0</t>
  </si>
  <si>
    <t>Harassment - Pursue course of conduct in breach of Sec 1 (1) which amounts to stalking</t>
  </si>
  <si>
    <t>195/12</t>
  </si>
  <si>
    <t>Protection from Harassment Act 1997 Sec 2 A (1) as inserted by Protection of Freedoms Act 2012 Sec 111</t>
  </si>
  <si>
    <t>PH97006</t>
  </si>
  <si>
    <t>92C.93.11.0</t>
  </si>
  <si>
    <t>Permitting premises to be used for unlawful purposes - Class A - Heroin</t>
  </si>
  <si>
    <t>https://www.sentencingcouncil.org.uk/offences/crown-court/item/permitting-premises-to-be-used/</t>
  </si>
  <si>
    <t>093/11</t>
  </si>
  <si>
    <t>Misuse of Drugs Act 1971 Sec 8</t>
  </si>
  <si>
    <t>92C.93.14.0</t>
  </si>
  <si>
    <t>Permitting premises to be used for unlawful purposes - Class A - Crack</t>
  </si>
  <si>
    <t>093/14</t>
  </si>
  <si>
    <t>95.95.61.0</t>
  </si>
  <si>
    <t>Knowingly make false/misleading/ reckless statement or intentionally fail to disclose information</t>
  </si>
  <si>
    <t>Used fraud - medium culpability</t>
  </si>
  <si>
    <t>https://www.sentencingcouncil.org.uk/offences/crown-court/item/fraud/</t>
  </si>
  <si>
    <t>095/61</t>
  </si>
  <si>
    <t>Marine and Coastal Access Act 2009 Sec 89 (1) (a) (b) (c) &amp; (3)</t>
  </si>
  <si>
    <t>99.82.2.2</t>
  </si>
  <si>
    <t>Fraudulent evasion of income tax</t>
  </si>
  <si>
    <t>https://www.sentencingcouncil.org.uk/offences/crown-court/item/revenue-fraud/</t>
  </si>
  <si>
    <t>082/02</t>
  </si>
  <si>
    <t>Finance Act 2000 Sec 144</t>
  </si>
  <si>
    <t>99.85.4.0</t>
  </si>
  <si>
    <t>False statements, false entries in records and forgery</t>
  </si>
  <si>
    <t>085/04</t>
  </si>
  <si>
    <t>Health and Safety at Work etc. Act 1974 Secs 33(1)(k), 33(1)(1), 33(1)(m) and 33(3)</t>
  </si>
  <si>
    <t>99.98.33.0</t>
  </si>
  <si>
    <t>Sought to engage/offered to engage/engaged in regulated activity from which barred</t>
  </si>
  <si>
    <t xml:space="preserve">Depends on activity. suggest high level fine </t>
  </si>
  <si>
    <t>12 months summary, 5 years on indictment/fine</t>
  </si>
  <si>
    <t>http://www.legislation.gov.uk/ukpga/2006/47/section/7</t>
  </si>
  <si>
    <t>098/33</t>
  </si>
  <si>
    <t>Safeguarding Vulnerable Groups Act 2006 Sec 7.</t>
  </si>
  <si>
    <t>SV06001</t>
  </si>
  <si>
    <t>99.99.23.0</t>
  </si>
  <si>
    <t>Fraudulent evasion of duty etc</t>
  </si>
  <si>
    <t>https://www.sentencingcouncil.org.uk/offences/magistrates-court/item/revenue-fraud/</t>
  </si>
  <si>
    <t>099/23</t>
  </si>
  <si>
    <t>Customs &amp; Excise Management Act 1979, Secs 50(2)(3), 68(2) &amp; 170(1)(2)</t>
  </si>
  <si>
    <t>99.99.23.0A</t>
  </si>
  <si>
    <t>Attempted - Fraudulent evasion of duty etc</t>
  </si>
  <si>
    <t>99.99.99.18</t>
  </si>
  <si>
    <t>Conspiracy to commit a listed Sexual offence</t>
  </si>
  <si>
    <t xml:space="preserve">Would relate to sexual offence in question. Used controlling prostitution for gain as a potential starting point. </t>
  </si>
  <si>
    <t>Sexual Offences (Conspiracy and Incitement) Act 1996</t>
  </si>
  <si>
    <t>9B.66.91.0</t>
  </si>
  <si>
    <t>Racially or religiously aggravated fear or provocation of violence</t>
  </si>
  <si>
    <t>https://www.sentencingcouncil.org.uk/offences/magistrates-court/item/threatening-behaviour-fear-or-provocation-of-violence-racially-or-religiously-aggravated-threatening-behaviour-fear-or-provocation-of-violence/</t>
  </si>
  <si>
    <t>RACE OR RELIGIOUS AGG PUBLIC FEAR</t>
  </si>
  <si>
    <t>9B</t>
  </si>
  <si>
    <t>066/91</t>
  </si>
  <si>
    <t>Crime &amp; Disorder Act 1998 Sec 31(1)(a) And (4) (as added to by Anti-terrorism, Crime and Disorder Act 2001 Sec 39).</t>
  </si>
  <si>
    <t>CD98066</t>
  </si>
  <si>
    <t>9B.66.91.0A</t>
  </si>
  <si>
    <t>Attempted - Racially or religiously aggravated fear or provocation of violence</t>
  </si>
  <si>
    <t>ASB.104.42.0</t>
  </si>
  <si>
    <t>Fail to comply with a community protection notice</t>
  </si>
  <si>
    <t>Used breach of ASBO</t>
  </si>
  <si>
    <t>ASB</t>
  </si>
  <si>
    <t>104/42</t>
  </si>
  <si>
    <t>NONCRIME</t>
  </si>
  <si>
    <t>Sect 48(1) Fail to comply with a community protection notice</t>
  </si>
  <si>
    <t>AS14004</t>
  </si>
  <si>
    <t>ASB.104.45.1</t>
  </si>
  <si>
    <t>Fail to comply with requirement not to consume or surrender alcohol</t>
  </si>
  <si>
    <t>104/45</t>
  </si>
  <si>
    <t>Sect 63(6) Fail to comply with requirement not to consume / surrender alcohol</t>
  </si>
  <si>
    <t>AS14005</t>
  </si>
  <si>
    <t>ASB.142.94.0</t>
  </si>
  <si>
    <t>Fail to comply with a section 35 direction excluding a person from an area</t>
  </si>
  <si>
    <t>142/94</t>
  </si>
  <si>
    <t>Sect 39(1) Fail to comply with a section 35 direction excluding a person from an area</t>
  </si>
  <si>
    <t>AS14002</t>
  </si>
  <si>
    <t>ASB.142.94.2</t>
  </si>
  <si>
    <t>Remain on or enter premises in contravention of a closure order</t>
  </si>
  <si>
    <t>Sect 86(2) Remain on / enter premises in contravention of a closure order</t>
  </si>
  <si>
    <t>AS14008</t>
  </si>
  <si>
    <t>ASB.66.98.0</t>
  </si>
  <si>
    <t>Breach of a criminal behaviour order</t>
  </si>
  <si>
    <t>066/98</t>
  </si>
  <si>
    <t>Anti-Social Behaviour, Crime and Policing Act 2014 Sec 30(1)</t>
  </si>
  <si>
    <t>AS14001</t>
  </si>
  <si>
    <t>NFIB.51.4.0</t>
  </si>
  <si>
    <t>Give false information knowingly or recklessly when applying for a confidentiality order etc</t>
  </si>
  <si>
    <t>(outcomes only) Give false information knowingly or recklessly when applying for a confidentiality order etc</t>
  </si>
  <si>
    <t>https://www.sentencingcouncil.org.uk/wp-content/uploads/Fraud-Bribery-and-Money-Laundering-offences-definitive-guideline-Web.pdf</t>
  </si>
  <si>
    <t>051/04</t>
  </si>
  <si>
    <t>Companies Act 1985</t>
  </si>
  <si>
    <t>NFIB.53.42.0</t>
  </si>
  <si>
    <t>Fraud by Abuse of Position</t>
  </si>
  <si>
    <t>(outcomes only) Fraud by Abuse of Position</t>
  </si>
  <si>
    <t>053/42</t>
  </si>
  <si>
    <t>Fraud Act 2006 Sec 4</t>
  </si>
  <si>
    <t>NFIB.53.46.0</t>
  </si>
  <si>
    <t>Obtaining services dishonestly</t>
  </si>
  <si>
    <t>(outcomes only) Obtaining services dishonestly</t>
  </si>
  <si>
    <t>053/46</t>
  </si>
  <si>
    <t>Fraud Act 2006 Sec 11</t>
  </si>
  <si>
    <t>NN.125.59.0</t>
  </si>
  <si>
    <t>Football Spectators Act 1989, Failure to comply with requirements of Football Banning Order</t>
  </si>
  <si>
    <t xml:space="preserve">Guidelines are breaching a variety of criminal behaviour orders. </t>
  </si>
  <si>
    <t>6 months, L5 fine or both</t>
  </si>
  <si>
    <t>https://www.sentencingcouncil.org.uk/offences/magistrates-court/item/breach-offences-other/</t>
  </si>
  <si>
    <t>125/59</t>
  </si>
  <si>
    <t>125</t>
  </si>
  <si>
    <t>Football Spectators Act 1989 S.14J</t>
  </si>
  <si>
    <t>FB89013</t>
  </si>
  <si>
    <t>NN.195.12.0</t>
  </si>
  <si>
    <t>Protection from Harassment Act 1997 - Pursue course of conduct in breach of S1(1) which amounts to stalking</t>
  </si>
  <si>
    <t>Protection from Harassment Act 1997</t>
  </si>
  <si>
    <t>NN.195.63.0</t>
  </si>
  <si>
    <t>Criminal Law Act 1977as amended by Criminal Justice and Public Order Act 1994, Violence for securing entry</t>
  </si>
  <si>
    <t xml:space="preserve">Appears to be aimed at Landlords who are attempting an illegal eviction. Suggest aggravated threatening behaviour. </t>
  </si>
  <si>
    <t xml:space="preserve">Rent repayment, banning order etc. </t>
  </si>
  <si>
    <t>195/63</t>
  </si>
  <si>
    <t>Criminal Law Act 1977as amended byCriminal Justice and Public Order Act 1994 S.6</t>
  </si>
  <si>
    <t>NN.196.15.0</t>
  </si>
  <si>
    <t>Anti-social Behaviour Act 2003 - Contravention of a direction given by a constable under S30(4) [dispersal of groups and removal of persons under 16 to their place of residence]</t>
  </si>
  <si>
    <t>196/15</t>
  </si>
  <si>
    <t>Anti-social Behaviour Act 2003 S.32</t>
  </si>
  <si>
    <t>AS03004</t>
  </si>
  <si>
    <t>NN.196.69.0</t>
  </si>
  <si>
    <t>Firearms Act 1968added by Violent Crime Reduction Act 2006 - Fire an air weapon beyond premises</t>
  </si>
  <si>
    <t xml:space="preserve">There are provisional guidelines for FA offences available. Used a higher culpability, lower type of FA, non statutory score. </t>
  </si>
  <si>
    <t>6 months for air weapon</t>
  </si>
  <si>
    <t>196/69</t>
  </si>
  <si>
    <t>Firearms Act 1968added byViolent Crime Reduction Act 2006 S.21A</t>
  </si>
  <si>
    <t>FI68432</t>
  </si>
  <si>
    <t>99.87.1.0</t>
  </si>
  <si>
    <t>Unlawful eviction of Occupier</t>
  </si>
  <si>
    <t>From cases they are generally receiving a significant fine plus costs</t>
  </si>
  <si>
    <t>Suggest Band E fine -&gt; Minimum of £480</t>
  </si>
  <si>
    <t>Summary - 6 months/2 years indictment &amp; significant fine</t>
  </si>
  <si>
    <t>087/01</t>
  </si>
  <si>
    <t>Protection from Eviction Act 1977 Sec. 1(2)</t>
  </si>
  <si>
    <t>99.87.1.0A</t>
  </si>
  <si>
    <t>Attempted - Unlawful eviction of Occupier</t>
  </si>
  <si>
    <t>99.87.2.0</t>
  </si>
  <si>
    <t>Unlawful harassment of Occupier</t>
  </si>
  <si>
    <t xml:space="preserve">Suggest base sentence for unlawful eviction. </t>
  </si>
  <si>
    <t>Suggest Band E fine -&gt; Minimum of £480 plus the band B for the extra harassment</t>
  </si>
  <si>
    <t>087/02</t>
  </si>
  <si>
    <t>Protection from Eviction Act 1977 Sec. 1(3)</t>
  </si>
  <si>
    <t>99.87.3.0A</t>
  </si>
  <si>
    <t>Attempted - Protection of occupiers against eviction and harassment</t>
  </si>
  <si>
    <t>087/03</t>
  </si>
  <si>
    <t>Caravan Sites Act 1968 as amended by Housing Act 2004 Sec 210</t>
  </si>
  <si>
    <t>10C.8.11.0</t>
  </si>
  <si>
    <t>Possession of offensive weapon without lawful authority or reasonable excuse</t>
  </si>
  <si>
    <t>Low level community order</t>
  </si>
  <si>
    <t>008/11</t>
  </si>
  <si>
    <t>Offensive Weapons Act 1996 Sec 2(1)</t>
  </si>
  <si>
    <t>10C.8.11.0A</t>
  </si>
  <si>
    <t>Attempted - Possession of offensive weapon without lawful authority or reasonable excuse</t>
  </si>
  <si>
    <t>10D.8.26.0</t>
  </si>
  <si>
    <t>Having an article with a blade or point in a public place</t>
  </si>
  <si>
    <t>008/26</t>
  </si>
  <si>
    <t>Criminal Justice Act 1988 Sec 139 as amended by Offensive Weapons Act 1996</t>
  </si>
  <si>
    <t>10D.8.26.0A</t>
  </si>
  <si>
    <t>Attempted - Having an article with a blade or point in a public place</t>
  </si>
  <si>
    <t>38.38.4.0</t>
  </si>
  <si>
    <t>Failure to disclose; another person involved in money laundering - regulated sector</t>
  </si>
  <si>
    <t>No - guidelines for money laundering but not fail to disclose</t>
  </si>
  <si>
    <t xml:space="preserve">Used Low level  money laundering. </t>
  </si>
  <si>
    <t>https://www.sentencingcouncil.org.uk/offences/magistrates-court/item/money-laundering/</t>
  </si>
  <si>
    <t>038/04</t>
  </si>
  <si>
    <t>Proceeds of Crime Act 2002 Sec 330</t>
  </si>
  <si>
    <t>PC02010</t>
  </si>
  <si>
    <t>38.38.9.0</t>
  </si>
  <si>
    <t>Failure to comply with regulations of The Money Laundering Regulations 2007 R 45</t>
  </si>
  <si>
    <t>038/09</t>
  </si>
  <si>
    <t>Money Laundering Regulations 2007 R 45</t>
  </si>
  <si>
    <t>ML07002</t>
  </si>
  <si>
    <t>48.130.1.0</t>
  </si>
  <si>
    <t>Unauthorised taking of a motor vehicle (does not include 'driving or being carried knowing motor vehicle has been taken ')</t>
  </si>
  <si>
    <t>https://www.sentencingcouncil.org.uk/offences/magistrates-court/item/vehicle-taking-without-consent-revised-2017/</t>
  </si>
  <si>
    <t>130/01</t>
  </si>
  <si>
    <t>130</t>
  </si>
  <si>
    <t>Theft Act 1968 Sec 12 (pt) as amended by Criminal Justice Act 1998 Sec 37</t>
  </si>
  <si>
    <t>48.130.1.0A</t>
  </si>
  <si>
    <t>Attempted - Unauthorised taking of a motor vehicle (does not include 'driving or being carried knowing motor vehicle has been taken ')</t>
  </si>
  <si>
    <t>49.130.02.0</t>
  </si>
  <si>
    <t>Unauthorised taking of conveyance other than a motor vehicle or pedal cycle (does not include being found with a conveyance that has already been stolen)</t>
  </si>
  <si>
    <t>Unauthorised taking of conveyance other than a motor vehicle or pedal cycle</t>
  </si>
  <si>
    <t>130/02</t>
  </si>
  <si>
    <t>Theft Act 1968 Sec12(pt) as amended by Criminal Justice Act 1988 Sec 37.</t>
  </si>
  <si>
    <t>49.130.02.0A</t>
  </si>
  <si>
    <t>Attempted - Unauthorised taking of conveyance other than a motor vehicle or pedal cycle (does not include being found with a conveyance that has already been stolen)</t>
  </si>
  <si>
    <t>Attempted - Unauthorised taking of conveyance other than a motor vehicle or pedal cycle</t>
  </si>
  <si>
    <t>54.54.2.0</t>
  </si>
  <si>
    <t>Undertaking or assisting in the retention, removal, disposal or realisation of stolen goods or arranging to do so</t>
  </si>
  <si>
    <t>No - general handling SG</t>
  </si>
  <si>
    <t xml:space="preserve">scored as a higher culpability SG handling </t>
  </si>
  <si>
    <t>low level community order</t>
  </si>
  <si>
    <t>https://www.sentencingcouncil.org.uk/offences/magistrates-court/item/handling-stolen-goods-2/</t>
  </si>
  <si>
    <t>HANDLING STOLEN GOODS</t>
  </si>
  <si>
    <t>54</t>
  </si>
  <si>
    <t>054/02</t>
  </si>
  <si>
    <t>Theft Act 1968 Sec 22</t>
  </si>
  <si>
    <t>56B.56.2.0</t>
  </si>
  <si>
    <t>Arson not endangering life</t>
  </si>
  <si>
    <t>https://www.sentencingcouncil.org.uk/offences/crown-court/item/arson-criminal-damage-by-fire/</t>
  </si>
  <si>
    <t>ARSON NOT ENDANGERING LIFE</t>
  </si>
  <si>
    <t>56B</t>
  </si>
  <si>
    <t>056/02</t>
  </si>
  <si>
    <t>Criminal Damage Act 1971 Sec 1(pt).</t>
  </si>
  <si>
    <t>56B.56.2.0A</t>
  </si>
  <si>
    <t>Attempted - Arson not endangering life</t>
  </si>
  <si>
    <t>CD71015A</t>
  </si>
  <si>
    <t>66.66.17.0</t>
  </si>
  <si>
    <t>Failure to comply with (Sexual Offence) Notification Order</t>
  </si>
  <si>
    <t>066/17</t>
  </si>
  <si>
    <t>Sexual Offences Act 2003 Sec 91(1a)(2)</t>
  </si>
  <si>
    <t>66.66.21.0</t>
  </si>
  <si>
    <t>Committing or conspiring to commit, an act outraging public decency</t>
  </si>
  <si>
    <t xml:space="preserve">Used aggravated Disorderly behaviour with intent to cause harassment, alarm or distress </t>
  </si>
  <si>
    <t>2 years for racially aggravated</t>
  </si>
  <si>
    <t>https://www.sentencingcouncil.org.uk/offences/magistrates-court/item/disorderly-behaviour-with-intent-to-cause-harassment-alarm-or-distress-racially-or-religiously-aggravated-disorderly-behaviour-with-intent-to-cause-harassment-alarm-or-distress/</t>
  </si>
  <si>
    <t>066/21</t>
  </si>
  <si>
    <t>66.66.23.0</t>
  </si>
  <si>
    <t>Use of words or behaviour or display or written material (Acts intended to stir up racial hatred)</t>
  </si>
  <si>
    <t>066/23</t>
  </si>
  <si>
    <t>Public Order Act 1986 Sec 18.Cannot proceed without consent of Attorney General.</t>
  </si>
  <si>
    <t>66.66.24.0</t>
  </si>
  <si>
    <t>Publishing or distributing written material (Acts intended to stir up racial hatred)</t>
  </si>
  <si>
    <t>066/24</t>
  </si>
  <si>
    <t>Public Order Act 1986 Sec 19.Cannot proceed without consent of Attorney General.</t>
  </si>
  <si>
    <t>66.66.38.0</t>
  </si>
  <si>
    <t>Breach of a Restraining Order issued on acquittal</t>
  </si>
  <si>
    <t>https://www.sentencingcouncil.org.uk/offences/magistrates-court/item/breach-of-a-protective-order-restraining-and-non-molestation-orders/</t>
  </si>
  <si>
    <t>066/38</t>
  </si>
  <si>
    <t>Protection from Harassment Act 1997 SS 5A(2) &amp; 5(5) &amp; (6).</t>
  </si>
  <si>
    <t>PH97005</t>
  </si>
  <si>
    <t>66.66.39.0</t>
  </si>
  <si>
    <t>Breach of non-molestation order</t>
  </si>
  <si>
    <t>066/39</t>
  </si>
  <si>
    <t>Family Law Act 1996 Sec 42A (as added by Domestic Violence, Crime and Victims Act 2004 Sec 1).</t>
  </si>
  <si>
    <t>66.66.45.0</t>
  </si>
  <si>
    <t>Use of words or behaviour or display of written material (Acts intended to stir up religious hatred/sexual hatred)</t>
  </si>
  <si>
    <t>066/45</t>
  </si>
  <si>
    <t>45</t>
  </si>
  <si>
    <t>Public Order Act 1986 Sec 29B as added by Racial and Religious Hatred Act 2006. Cannot proceed without consent of Attorney General</t>
  </si>
  <si>
    <t>66.66.46.0</t>
  </si>
  <si>
    <t>Publishing or distributing written material (Acts intended to stir up religious hatred/sexual hatred)</t>
  </si>
  <si>
    <t>066/46</t>
  </si>
  <si>
    <t>46</t>
  </si>
  <si>
    <t>Public Order Act 1986 Sec 29C as added by Racial and Religious Hatred Act 2006. Cannot proceed without consent of Attorney General</t>
  </si>
  <si>
    <t>66.66.48.0</t>
  </si>
  <si>
    <t>Distributing, showing or playing a recording (Acts intended to stir up religious hatred/sexual hatred)</t>
  </si>
  <si>
    <t>066/48</t>
  </si>
  <si>
    <t>Public Order Act 1986 Sec 29E as added by Racial and Religious Hatred Act 2006. Cannot proceed without consent of Attorney General</t>
  </si>
  <si>
    <t>66.66.85.0</t>
  </si>
  <si>
    <t>Fail to comply with notification requirements of Sec 108(1)</t>
  </si>
  <si>
    <t>https://www.sentencingcouncil.org.uk/offences/magistrates-court/item/fail-to-comply-with-notification-requirements/</t>
  </si>
  <si>
    <t>066/85</t>
  </si>
  <si>
    <t>Criminal Justice and Immigration Act 2008 Sec 113(2)(a) &amp; (6).</t>
  </si>
  <si>
    <t>CJ08006</t>
  </si>
  <si>
    <t>8L.8.29.0</t>
  </si>
  <si>
    <t>Harassment - Breach of conditions of injunction against harassment</t>
  </si>
  <si>
    <t>Breach of conditions of injunction against harassment</t>
  </si>
  <si>
    <t>008/29</t>
  </si>
  <si>
    <t>Protection from Harassment Act 1997 Sec 3.</t>
  </si>
  <si>
    <t>PH97001</t>
  </si>
  <si>
    <t>8L.8.30.0</t>
  </si>
  <si>
    <t>Harassment - Putting people in fear of violence</t>
  </si>
  <si>
    <t>008/30</t>
  </si>
  <si>
    <t>Protection from Harassment Act 1997 Sec 4.</t>
  </si>
  <si>
    <t>PH97002</t>
  </si>
  <si>
    <t>8L.8.30.0A</t>
  </si>
  <si>
    <t>Attempted - Harassment - Putting people in fear of violence</t>
  </si>
  <si>
    <t>8L.8.31.0</t>
  </si>
  <si>
    <t>Harassment - Breach of a restraining order</t>
  </si>
  <si>
    <t>Breach of a restraining order</t>
  </si>
  <si>
    <t>008/31</t>
  </si>
  <si>
    <t>Protection from Harassment Act 1997 Sec 5.</t>
  </si>
  <si>
    <t>8R.8.71.0</t>
  </si>
  <si>
    <t>Disclose private sexual photographs and films with intent to cause distress</t>
  </si>
  <si>
    <t>MALICIOUS COMMUNICATIONS</t>
  </si>
  <si>
    <t>8R</t>
  </si>
  <si>
    <t>008/71</t>
  </si>
  <si>
    <t>Criminal Justice and Courts Act 2015, Sec 33 (1) &amp; (9)</t>
  </si>
  <si>
    <t>CJ15005</t>
  </si>
  <si>
    <t>92A.92.40.0</t>
  </si>
  <si>
    <t>Supplying or offering to supply a controlled drug - Class B - Amphetamine</t>
  </si>
  <si>
    <t>092/40</t>
  </si>
  <si>
    <t>40</t>
  </si>
  <si>
    <t>92A.92.41.0</t>
  </si>
  <si>
    <t>Supplying or offering to supply a controlled drug - Class B - Cannabis</t>
  </si>
  <si>
    <t>092/41</t>
  </si>
  <si>
    <t>Misuse of Drugs Act 1971 as amended by The Misuse of Drugs Act 1971 (amendment) Order 2008</t>
  </si>
  <si>
    <t>92A.92.42.0</t>
  </si>
  <si>
    <t>Supplying or offering to supply a controlled drug - Class B - Synthetic cannabinoid receptor agonists</t>
  </si>
  <si>
    <t>092/42</t>
  </si>
  <si>
    <t>42</t>
  </si>
  <si>
    <t>Misuse of Drugs Act 1971 (Amendment) Order 2009</t>
  </si>
  <si>
    <t>MD71554</t>
  </si>
  <si>
    <t>92A.92.45.0</t>
  </si>
  <si>
    <t>Supplying or offering to supply a controlled drug - Class B - Other</t>
  </si>
  <si>
    <t>092/45</t>
  </si>
  <si>
    <t>92A.92.46.0</t>
  </si>
  <si>
    <t>Supply Cannabis a Class C controlled drug</t>
  </si>
  <si>
    <t>092/46</t>
  </si>
  <si>
    <t>S.4(3)(A) &amp; SCH.4 MISUSE OF DRUGS ACT 1971</t>
  </si>
  <si>
    <t>92A.92.48.0</t>
  </si>
  <si>
    <t>Supplying or offering to supply a controlled drug - Class C - Other</t>
  </si>
  <si>
    <t>092/48</t>
  </si>
  <si>
    <t>92A.92.49.0</t>
  </si>
  <si>
    <t>Supplying or offering to supply a controlled drug - Class unspecified</t>
  </si>
  <si>
    <t>092/49</t>
  </si>
  <si>
    <t>92A.92.80.0</t>
  </si>
  <si>
    <t>Possession of a controlled drug with intent to supply - Class B - Amphetamine</t>
  </si>
  <si>
    <t>092/80</t>
  </si>
  <si>
    <t>HM12031</t>
  </si>
  <si>
    <t>HM12032</t>
  </si>
  <si>
    <t>HM12036</t>
  </si>
  <si>
    <t>HM12036C</t>
  </si>
  <si>
    <t>HM12037</t>
  </si>
  <si>
    <t>HM12037C</t>
  </si>
  <si>
    <t>HM12038</t>
  </si>
  <si>
    <t>HM12038C</t>
  </si>
  <si>
    <t>HM12039</t>
  </si>
  <si>
    <t>HM12040</t>
  </si>
  <si>
    <t>HM12041</t>
  </si>
  <si>
    <t>92A.92.81.0</t>
  </si>
  <si>
    <t>Possession of a controlled drug with intent to supply - Class B - Cannabis</t>
  </si>
  <si>
    <t>092/81</t>
  </si>
  <si>
    <t>92A.92.81.0A</t>
  </si>
  <si>
    <t>Attempted - Possession of a controlled drug with intent to supply - Class B - Cannabis</t>
  </si>
  <si>
    <t>92A.92.82.0</t>
  </si>
  <si>
    <t>Possession of a controlled drug with intent to supply - Class B - Synthetic cannabinoid receptor agonists</t>
  </si>
  <si>
    <t>092/82</t>
  </si>
  <si>
    <t>82</t>
  </si>
  <si>
    <t>MD71553</t>
  </si>
  <si>
    <t>92A.92.85.0</t>
  </si>
  <si>
    <t>Possession of a controlled drug with intent to supply - Class B - Other</t>
  </si>
  <si>
    <t>092/85</t>
  </si>
  <si>
    <t>92A.92.88.0</t>
  </si>
  <si>
    <t>Possession of a controlled drug with intent to supply - Class C - Other</t>
  </si>
  <si>
    <t>092/88</t>
  </si>
  <si>
    <t>92A.92.88.0A</t>
  </si>
  <si>
    <t>Attempted - Possession of a controlled drug with intent to supply - Class C - Other</t>
  </si>
  <si>
    <t>92A.92.89.0</t>
  </si>
  <si>
    <t>Possession of a controlled drug with intent to supply - Class unspecified</t>
  </si>
  <si>
    <t>092/89</t>
  </si>
  <si>
    <t>89</t>
  </si>
  <si>
    <t>92A.92.91.0</t>
  </si>
  <si>
    <t>Possession of a controlled drug with intent to supply a class B controlled drug</t>
  </si>
  <si>
    <t>092/91</t>
  </si>
  <si>
    <t>91</t>
  </si>
  <si>
    <t>MD71514</t>
  </si>
  <si>
    <t>92A.93.68.0</t>
  </si>
  <si>
    <t>Supplying or offering to supply or being concerned in supplying a controlled drug - khat</t>
  </si>
  <si>
    <t>TRAFFICKING IN CONTROLLED DRUGS</t>
  </si>
  <si>
    <t>093/68</t>
  </si>
  <si>
    <t>Misuse of Drugs Act 1971 Sec 4 (3)</t>
  </si>
  <si>
    <t>92A.93.78.0</t>
  </si>
  <si>
    <t>Possession of a controlled drug with intent to supply - Class B - Ketamine</t>
  </si>
  <si>
    <t>093/78</t>
  </si>
  <si>
    <t>78</t>
  </si>
  <si>
    <t>MD71597</t>
  </si>
  <si>
    <t>92A.93.85.0</t>
  </si>
  <si>
    <t>Produce or being concerned in the production of a drug subject of a temporary class drug order</t>
  </si>
  <si>
    <t>Scored as Class C since no class is specified</t>
  </si>
  <si>
    <t>093/85</t>
  </si>
  <si>
    <t>Misuse of Drugs Act 1091 Sec 2 (A) &amp; 25 (2B) as added by Police Reform and Social Responsibility Act 2011 Sch 17.</t>
  </si>
  <si>
    <t>MD71584</t>
  </si>
  <si>
    <t>92A.93.86.0</t>
  </si>
  <si>
    <t>Supply or being concerned in the supply of a drug subject of a temporary class drug order</t>
  </si>
  <si>
    <t>093/86</t>
  </si>
  <si>
    <t>Misue of Drugs Act 1971 Sec 2 (A) &amp; 25 (2B) as added by Police Reform and Social Responsibility Act 2011 Sch 17.</t>
  </si>
  <si>
    <t>92C.93.47.0</t>
  </si>
  <si>
    <t>Possess a psychoactive substance in a custodial institution</t>
  </si>
  <si>
    <t xml:space="preserve">Scored as class A possession with the additional factor of offence committed in custodial setting raising starting point. </t>
  </si>
  <si>
    <t>093/47</t>
  </si>
  <si>
    <t>47</t>
  </si>
  <si>
    <t>Psychoactive Substances Act 2016 Sec 9 (1)</t>
  </si>
  <si>
    <t>PS16007</t>
  </si>
  <si>
    <t>99.84.21.0</t>
  </si>
  <si>
    <t>Triable Either Way Offences under: Human Medicines Regulations 2012 CJS Ref: HM12001-6, 8-20, 23-32</t>
  </si>
  <si>
    <t xml:space="preserve">TEW offence - fine - short custodial sentence - suggest Class b drugs intent to supply. </t>
  </si>
  <si>
    <t>084/21</t>
  </si>
  <si>
    <t>Human Medicine Regulations 2012</t>
  </si>
  <si>
    <t>99.89.8.0</t>
  </si>
  <si>
    <t>Obstruction etc of officers; furnishing false information</t>
  </si>
  <si>
    <t>Used obstruct PC - Cat 1 to reflect the use of false information</t>
  </si>
  <si>
    <t>One month custody</t>
  </si>
  <si>
    <t>https://www.sentencingcouncil.org.uk/offences/magistrates-court/item/obstructresist-a-police-constable-in-execution-of-duty-revised-2017/</t>
  </si>
  <si>
    <t>089/08</t>
  </si>
  <si>
    <t>Food Safety Act 1990 Sec 33(2)</t>
  </si>
  <si>
    <t>FS90033</t>
  </si>
  <si>
    <t>99.98.6.0</t>
  </si>
  <si>
    <t>Ill treatment or neglect of a person lacking capacity by anyone responsible for that persons care</t>
  </si>
  <si>
    <t>Suggest using ill treat/neglect children sentence</t>
  </si>
  <si>
    <t>098/06</t>
  </si>
  <si>
    <t>Mental Capacity Act 2005 Sec 44</t>
  </si>
  <si>
    <t>99.98.75.0</t>
  </si>
  <si>
    <t>Encouraging or assisting in the commission of an either way offence believing it will be committed</t>
  </si>
  <si>
    <t xml:space="preserve">Offence type not specified, and offence committed would relate to severity of sentence. Suggest using TEW sentence low level community order. </t>
  </si>
  <si>
    <t>098/75</t>
  </si>
  <si>
    <t>Serios Crime Act 2007 Sec 45(pt)</t>
  </si>
  <si>
    <t>SC07007</t>
  </si>
  <si>
    <t>99.99.30.0</t>
  </si>
  <si>
    <t>Assisting offender (offence triable either-way)</t>
  </si>
  <si>
    <t>Suggest low level community order as with encouraging or assisting offender.</t>
  </si>
  <si>
    <t xml:space="preserve"> Low level community order</t>
  </si>
  <si>
    <t>7 years/5 years/3 years</t>
  </si>
  <si>
    <t>099/30</t>
  </si>
  <si>
    <t>Criminal Law Act, 1967 Sec 4(1) in part</t>
  </si>
  <si>
    <t>CL67012</t>
  </si>
  <si>
    <t>9A.125.11.0</t>
  </si>
  <si>
    <t>Fear or provocation of violence</t>
  </si>
  <si>
    <t>Sec 4 POA Fear or provocation of violence</t>
  </si>
  <si>
    <t>6 months</t>
  </si>
  <si>
    <t>PUBLIC FEAR, ALARM OR DISTRESS</t>
  </si>
  <si>
    <t>PUBLIC FEAR ALARM OR DISTRESS</t>
  </si>
  <si>
    <t>9A</t>
  </si>
  <si>
    <t>125/11</t>
  </si>
  <si>
    <t>Public Order Act 1986 Sec 4</t>
  </si>
  <si>
    <t>9A.125.11.0A</t>
  </si>
  <si>
    <t>Attempted - Fear or provocation of violence</t>
  </si>
  <si>
    <t>Attempted - Sec 4 POA Fear or provocation of violence</t>
  </si>
  <si>
    <t>9B.8.55.0</t>
  </si>
  <si>
    <t>Racially or religiously aggravated intentional harassment, alarm or distress</t>
  </si>
  <si>
    <t>008/55</t>
  </si>
  <si>
    <t>Crime &amp; Disorder Act 1998 Sec 31(1)(b) and (4) (as added to by Anti-terrorism, Crime and Security Act 2001 Sec 39).</t>
  </si>
  <si>
    <t>CD98067</t>
  </si>
  <si>
    <t>9B.8.55.0A</t>
  </si>
  <si>
    <t>Attempted - Racially or religiously aggravated intentional harassment, alarm or distress</t>
  </si>
  <si>
    <t>NN.115.46.0</t>
  </si>
  <si>
    <t>Firearms Act 1968, Person under 17 having with him an air weapon or ammunition(Group III)</t>
  </si>
  <si>
    <t>Firearms Act 1968, Person under 17 having with him an air weapon or ammunition (Group III)</t>
  </si>
  <si>
    <t>Used  firearm carrying in a public place</t>
  </si>
  <si>
    <t>12 months for imitation/air weapon</t>
  </si>
  <si>
    <t>https://www.sentencingcouncil.org.uk/offences/magistrates-court/item/firearm-carrying-in-a-public-place/</t>
  </si>
  <si>
    <t>115/46</t>
  </si>
  <si>
    <t>Firearms Act 1968 S.22(4)</t>
  </si>
  <si>
    <t>NN.138.1.0</t>
  </si>
  <si>
    <t>Police Reform Act 2002 , With intent to deceive impersonating a designated or accredited person or person assisting in the execution of his duty</t>
  </si>
  <si>
    <t>6 months/L 5 fine</t>
  </si>
  <si>
    <t>http://www.legislation.gov.uk/ukpga/2002/30/section/46?view=plain</t>
  </si>
  <si>
    <t>138/01</t>
  </si>
  <si>
    <t>138</t>
  </si>
  <si>
    <t>Police Reform Act 2002</t>
  </si>
  <si>
    <t>NN.138.2.0</t>
  </si>
  <si>
    <t>Police Reform Act 2002 - Failing to give name and address when required to do so or giving false or inaccurate name or address in response to a requirement</t>
  </si>
  <si>
    <t>138/02</t>
  </si>
  <si>
    <t>PL02001</t>
  </si>
  <si>
    <t>NN.807.1.0</t>
  </si>
  <si>
    <t>Road Traffic Act 1988 - Driving while disqualified</t>
  </si>
  <si>
    <t>Low level community order, additional 3 months DQd or 6 points</t>
  </si>
  <si>
    <t>Unlimited fine/6 months</t>
  </si>
  <si>
    <t>https://www.sentencingcouncil.org.uk/offences/magistrates-court/item/drive-whilst-disqualified-revised-2017/</t>
  </si>
  <si>
    <t>807/01</t>
  </si>
  <si>
    <t>807</t>
  </si>
  <si>
    <t>Road Traffic Act 1988</t>
  </si>
  <si>
    <t>RT88333</t>
  </si>
  <si>
    <t>26.26.0.0</t>
  </si>
  <si>
    <t>Bigamy</t>
  </si>
  <si>
    <t>Suggest Band D fine</t>
  </si>
  <si>
    <t>7 years, a fine or both</t>
  </si>
  <si>
    <t>BIGAMY</t>
  </si>
  <si>
    <t>026/00</t>
  </si>
  <si>
    <t>Offences Against the Person Act 1861 Sec 57</t>
  </si>
  <si>
    <t>86.86.12.0</t>
  </si>
  <si>
    <t>Possession of extreme pornographic images - an act which results, or is likely to result, in serious injury to a person's anus, breasts or genitals</t>
  </si>
  <si>
    <t xml:space="preserve">Used either a Band D fine or a low level community order.  </t>
  </si>
  <si>
    <t>Fine amount not specified</t>
  </si>
  <si>
    <t>https://www.cps.gov.uk/legal-guidance/extreme-pornography</t>
  </si>
  <si>
    <t>086/12</t>
  </si>
  <si>
    <t>Criminal Justice and Immigration Act 2008</t>
  </si>
  <si>
    <t>CJ08002</t>
  </si>
  <si>
    <t>86.86.14.0</t>
  </si>
  <si>
    <t>Possession of extreme pornographic image - a person performing an act of intercourse or oral sex with an animal (whether dead or alive) (bestiality)</t>
  </si>
  <si>
    <t>086/14</t>
  </si>
  <si>
    <t>CJ08004</t>
  </si>
  <si>
    <t>86.86.14.0A</t>
  </si>
  <si>
    <t>Attempted - Possession of extreme pornographic image - a person performing an act of intercourse or oral sex with an animal (whether dead or alive) (bestiality)</t>
  </si>
  <si>
    <t>126.126.0.0</t>
  </si>
  <si>
    <t>Interference with a motor vehicle</t>
  </si>
  <si>
    <t>Band C fine</t>
  </si>
  <si>
    <t>https://www.sentencingcouncil.org.uk/offences/magistrates-court/item/vehicle-interference-revised-2017/</t>
  </si>
  <si>
    <t>INTERFERING WITH A MOTOR VEHICLE</t>
  </si>
  <si>
    <t>126</t>
  </si>
  <si>
    <t>126/00</t>
  </si>
  <si>
    <t>Criminal Attempts Act 1981 Sec 9</t>
  </si>
  <si>
    <t>126.126.0.0A</t>
  </si>
  <si>
    <t>Attempted - Interference with a motor vehicle</t>
  </si>
  <si>
    <t>126.825.06.0</t>
  </si>
  <si>
    <t>Tampering with motor vehicles</t>
  </si>
  <si>
    <t>825/06</t>
  </si>
  <si>
    <t>825</t>
  </si>
  <si>
    <t>Road Traffic Act 1988 Sec 25</t>
  </si>
  <si>
    <t>RT88045</t>
  </si>
  <si>
    <t>126.825.06.0A</t>
  </si>
  <si>
    <t>Attempted - Tampering with motor vehicles</t>
  </si>
  <si>
    <t>33.33.0.0</t>
  </si>
  <si>
    <t>Going equipped for stealing etc</t>
  </si>
  <si>
    <t>https://www.sentencingcouncil.org.uk/offences/magistrates-court/item/going-equipped-for-theft-or-burglary/</t>
  </si>
  <si>
    <t>GOING EQUIPPED FOR STEALING</t>
  </si>
  <si>
    <t>033/00</t>
  </si>
  <si>
    <t>Theft Act 1968 Sec 25</t>
  </si>
  <si>
    <t>33.33.0.0A</t>
  </si>
  <si>
    <t>Attempted - Going equipped for stealing etc</t>
  </si>
  <si>
    <t>86.86.3.0</t>
  </si>
  <si>
    <t>Indecent matter publicly displayed</t>
  </si>
  <si>
    <t>Used Band C fine</t>
  </si>
  <si>
    <t>http://www.legislation.gov.uk/ukpga/1981/42/body/enacted/data.xht?wrap=true</t>
  </si>
  <si>
    <t>086/03</t>
  </si>
  <si>
    <t>Indecent Displays (Control) Act 1981 Secs 1 &amp; 5</t>
  </si>
  <si>
    <t>ID81001</t>
  </si>
  <si>
    <t>92A.92.26.0</t>
  </si>
  <si>
    <t>Produce Cannabis a Class C controlled Drug</t>
  </si>
  <si>
    <t>092/26</t>
  </si>
  <si>
    <t>S.4(2)(A) &amp; SCH.4 MISUSE OF DRUGS ACT 1971</t>
  </si>
  <si>
    <t>92A.92.29.0</t>
  </si>
  <si>
    <t>Production or being concerned in production of a controlled drug - Unspecified</t>
  </si>
  <si>
    <t xml:space="preserve">Unspecified class of drug scored as Class C. </t>
  </si>
  <si>
    <t>092/29</t>
  </si>
  <si>
    <t>92D.92.50.0</t>
  </si>
  <si>
    <t>Having possession of a controlled drug - Class A - Cocaine</t>
  </si>
  <si>
    <t>POSSESS OF CONTROL  DRUGS (EX CANNABIS)</t>
  </si>
  <si>
    <t>92D</t>
  </si>
  <si>
    <t>092/50</t>
  </si>
  <si>
    <t>50</t>
  </si>
  <si>
    <t>92D.92.50.0A</t>
  </si>
  <si>
    <t>Attempted - Having possession of a controlled drug - Class A - Cocaine</t>
  </si>
  <si>
    <t>92D.92.51.0</t>
  </si>
  <si>
    <t>Having possession of a controlled drug - Class A - Heroin</t>
  </si>
  <si>
    <t>092/51</t>
  </si>
  <si>
    <t>51</t>
  </si>
  <si>
    <t>92D.92.52.0</t>
  </si>
  <si>
    <t>Having possession of a controlled drug - Class A - LSD</t>
  </si>
  <si>
    <t>092/52</t>
  </si>
  <si>
    <t>92D.92.53.0</t>
  </si>
  <si>
    <t>Having possession of a controlled drug - Class A - MDMA</t>
  </si>
  <si>
    <t>092/53</t>
  </si>
  <si>
    <t>92D.92.54.0</t>
  </si>
  <si>
    <t>Having possession of a controlled drug - Class A - Crack</t>
  </si>
  <si>
    <t>092/54</t>
  </si>
  <si>
    <t>92D.92.55.0</t>
  </si>
  <si>
    <t>Having possession of a controlled drug - Class A - Methadone</t>
  </si>
  <si>
    <t>092/55</t>
  </si>
  <si>
    <t>92D.92.59.0</t>
  </si>
  <si>
    <t>Having possession of a controlled drug - Class A - Other</t>
  </si>
  <si>
    <t>092/59</t>
  </si>
  <si>
    <t>92D.92.59.0A</t>
  </si>
  <si>
    <t>Attempted - Having possession of a controlled drug - Class A - Other</t>
  </si>
  <si>
    <t>92D.93.67.0</t>
  </si>
  <si>
    <t>Having possession of a controlled drug - Class A - Crystal Meths</t>
  </si>
  <si>
    <t>093/67</t>
  </si>
  <si>
    <t>MD71507</t>
  </si>
  <si>
    <t>95.96.3.0</t>
  </si>
  <si>
    <t>Obtain/procure/retain personal data without consent of controller</t>
  </si>
  <si>
    <t>Fairly new introduction with the GDPR rules, cases look like they are focussed on using fines to punish previously. -&gt;  used computer misuse?/high end fine.</t>
  </si>
  <si>
    <t>CMA -&gt; 1 year/fine</t>
  </si>
  <si>
    <t>096/03</t>
  </si>
  <si>
    <t>Data Protection Act 2018 Sec 132 (3)</t>
  </si>
  <si>
    <t>96.98.95.0</t>
  </si>
  <si>
    <t>Fish / take fish by other than licensable means in circumstances where fish / taking may or may not be authorised, or possess unlicensed instrument with intent to fish / take fish or without a S27A authority</t>
  </si>
  <si>
    <t xml:space="preserve">Enforced primarily by the environmental agency - fines average £227 in 2014, appears to be similar in 2018/19 - suggest Band C fine which was approximately be £180 at the lowest. </t>
  </si>
  <si>
    <t>WILDLIFE CRIME</t>
  </si>
  <si>
    <t>098/95</t>
  </si>
  <si>
    <t>Salmon and Freshwater Fisheries Act 1975 27B (1) (a) &amp; (b) &amp; (2) (a) &amp; (b)</t>
  </si>
  <si>
    <t>9A.125.9.0</t>
  </si>
  <si>
    <t>Causing intentional harassment, alarm or distress</t>
  </si>
  <si>
    <t>Sec 4a POA Causing intentional harassment, alarm or distress</t>
  </si>
  <si>
    <t>125/09</t>
  </si>
  <si>
    <t>Public Order Act 1986 Sec 4A</t>
  </si>
  <si>
    <t>9A.125.9.0A</t>
  </si>
  <si>
    <t>Attempted - Causing intentional harassment, alarm or distress</t>
  </si>
  <si>
    <t>Attempted - Sec 4a POA Causing intentional harassment, alarm or distress</t>
  </si>
  <si>
    <t>NN.125.22.0</t>
  </si>
  <si>
    <t>Criminal Justice and Public Order Act 1994 added by Anti-Social Behaviour Act 2003, Failing to leave land as directed or returning as a trespasser within three months</t>
  </si>
  <si>
    <t>3 months prison/fine</t>
  </si>
  <si>
    <t>https://www.cps.gov.uk/sites/default/files/documents/legal_guidance/THE-CRIMINAL-JUSTICE-AND-PUBLIC-ORDER-ACT-1994.pdf</t>
  </si>
  <si>
    <t>125/22</t>
  </si>
  <si>
    <t>Criminal Justice and Public Order Act 1994 added by Anti-Social Behaviour Act 2003 S.61</t>
  </si>
  <si>
    <t>NN.125.40.0</t>
  </si>
  <si>
    <t>Terrorism Act 2000 - Wearing any item of dress in support of a proscribed organisation</t>
  </si>
  <si>
    <t xml:space="preserve">Used Band C fine. </t>
  </si>
  <si>
    <t>6 months, fine not exceeding £5,000</t>
  </si>
  <si>
    <t>https://assets.publishing.service.gov.uk/government/uploads/system/uploads/attachment_data/file/869496/20200228_Proscription.pdf</t>
  </si>
  <si>
    <t>125/40</t>
  </si>
  <si>
    <t>Terrorism Act 2000</t>
  </si>
  <si>
    <t>PT00027</t>
  </si>
  <si>
    <t>NN.195.15.0</t>
  </si>
  <si>
    <t>Political Parties, Elections and Referendums Act 2000, Summary offences</t>
  </si>
  <si>
    <t xml:space="preserve">Used a Band C fine </t>
  </si>
  <si>
    <t>Summary - max 6 months custody</t>
  </si>
  <si>
    <t>195/15</t>
  </si>
  <si>
    <t>Political Parties, Elections and Referendums Act 2000</t>
  </si>
  <si>
    <t>NN.195.2.0</t>
  </si>
  <si>
    <t>Children Act 1989, Taking, keeping, inducing, assisting or inciting a child away from the person having responsibility for care under a care order, emergency protection order or police protection</t>
  </si>
  <si>
    <t>L5 fine, 6 months or both</t>
  </si>
  <si>
    <t>195/02</t>
  </si>
  <si>
    <t>Children Act 1989 S.49</t>
  </si>
  <si>
    <t>NN.195.88.0</t>
  </si>
  <si>
    <t>Copyright, Designs &amp; Patents Act 1988, Summary offences</t>
  </si>
  <si>
    <t>Fraud</t>
  </si>
  <si>
    <t>6 months, fine not exceeding £5,000 or both</t>
  </si>
  <si>
    <t>195/88</t>
  </si>
  <si>
    <t>Copyright, Designs &amp; Patents Act 1988</t>
  </si>
  <si>
    <t>NN.803.1.0</t>
  </si>
  <si>
    <t>Road Traffic Act 1988, Driving or attempting to drive a mechanically propelled vehicle whilst unfit to drive through drink or drugs(Only to be used where it is unclear whether it is drink or drugs)</t>
  </si>
  <si>
    <t>Road Traffic Act 1988, Driving or attempting to drive a mechanically propelled vehicle whilst unfit to drive through drink or drugs (Only to be used where it is unclear whether it is drink or drugs)</t>
  </si>
  <si>
    <t>Band C fine + 12 months DQd</t>
  </si>
  <si>
    <t>https://www.sentencingcouncil.org.uk/offences/magistrates-court/item/excess-alcohol-driveattempt-to-drive-revised-2017/</t>
  </si>
  <si>
    <t>803/01</t>
  </si>
  <si>
    <t>803</t>
  </si>
  <si>
    <t>NN.803.10.0</t>
  </si>
  <si>
    <t>Road Traffic Act 1988, Driving or attempting to drive a mechanically propelled vehicle whilst unfit to drive through drink or drugs, Drugs</t>
  </si>
  <si>
    <t xml:space="preserve">No separate guidelines for drugs. However the guidance for drink/drug driving given is very similar (Max for both is unlimited fine/6 months, and minimum DQ for both is 12 months).  </t>
  </si>
  <si>
    <t>803/10</t>
  </si>
  <si>
    <t>NN.803.2.0</t>
  </si>
  <si>
    <t>Road Traffic Act 1988, Driving or attempting to drive a motor vehicle while having a breath, blood or urine alcohol concentration in excess of the prescribed limit</t>
  </si>
  <si>
    <t>803/02</t>
  </si>
  <si>
    <t>NN.803.3.0</t>
  </si>
  <si>
    <t>Road Traffic Act 1988 - Driving or attempting to drive a motor vehicle and failing to without a reasonable excuse provide a specimen for a laboratory test or 2 specimens for analysis of breath</t>
  </si>
  <si>
    <t>803/03</t>
  </si>
  <si>
    <t>RT88010</t>
  </si>
  <si>
    <t>NN.807.3.1</t>
  </si>
  <si>
    <t>Road Traffic Act 1988, Failing to produce driving licence</t>
  </si>
  <si>
    <t xml:space="preserve">Band C fine + 6 points </t>
  </si>
  <si>
    <t>https://www.sentencingcouncil.org.uk/offences/magistrates-court/item/offences-appropriate-for-imposition-of-fine-or-discharge/#Drive_otherwise_than_in_accordance_with_licence</t>
  </si>
  <si>
    <t>807/03</t>
  </si>
  <si>
    <t>NN.809.1.0</t>
  </si>
  <si>
    <t>Road Traffic Act 1988 , Using motor vehicle uninsured against third party risks</t>
  </si>
  <si>
    <t>Unlimited fine</t>
  </si>
  <si>
    <t>https://www.sentencingcouncil.org.uk/offences/magistrates-court/item/no-insurance-revised-2017/</t>
  </si>
  <si>
    <t>809/01</t>
  </si>
  <si>
    <t>809</t>
  </si>
  <si>
    <t>104.104.23.0</t>
  </si>
  <si>
    <t>Assault without injury on a constable (Police Act offence)</t>
  </si>
  <si>
    <t>band b fine</t>
  </si>
  <si>
    <t>26 weeks’ custody</t>
  </si>
  <si>
    <t>https://www.sentencingcouncil.org.uk/offences/magistrates-court/item/assault-on-a-police-constable-in-execution-of-his-duty/</t>
  </si>
  <si>
    <t>ASSAULT WITHOUT INJURY ON A CONSTABLE</t>
  </si>
  <si>
    <t>104</t>
  </si>
  <si>
    <t>104/23</t>
  </si>
  <si>
    <t>Police Act 1996 Sec 89(1)(pt).</t>
  </si>
  <si>
    <t>PL96001</t>
  </si>
  <si>
    <t>104.104.23.0A</t>
  </si>
  <si>
    <t>Attempted - Assault without injury on a constable (Police Act offence)</t>
  </si>
  <si>
    <t>104.104.25.0</t>
  </si>
  <si>
    <t>Assault without Injury on a Constable - Assaults a designated person or his assistant in the exercise of a relevant power</t>
  </si>
  <si>
    <t>104/25</t>
  </si>
  <si>
    <t>Serious Organised Crime &amp; Police Act 2005 Sec 51 (1)(4).</t>
  </si>
  <si>
    <t>SO05002</t>
  </si>
  <si>
    <t>104.104.30.0</t>
  </si>
  <si>
    <t>Assault without injury on a constable (NOT covered by the Police Act 1996)</t>
  </si>
  <si>
    <t>104/30</t>
  </si>
  <si>
    <t>Local Acts</t>
  </si>
  <si>
    <t>104.104.31.0</t>
  </si>
  <si>
    <t>Assault without Injury on a Constable - Vagrant violently resisting a constable</t>
  </si>
  <si>
    <t>104/31</t>
  </si>
  <si>
    <t>Vagrancy Act 1824 Sec 4.</t>
  </si>
  <si>
    <t>104.8.73.0</t>
  </si>
  <si>
    <t>Assault or assault by beating of a constable</t>
  </si>
  <si>
    <t>008/73</t>
  </si>
  <si>
    <t>Criminal Justice Act 1988 Sec 39 as added by Assaults on Emergency Workers (Offences) Act 2018 Sec 1.</t>
  </si>
  <si>
    <t>104.8.73.0A</t>
  </si>
  <si>
    <t>Attempted - Assault or assault by beating of a constable</t>
  </si>
  <si>
    <t>105A.105.2.0</t>
  </si>
  <si>
    <t>Assault without Injury - Assault on County Court officer</t>
  </si>
  <si>
    <t>Assault on a police constable in execution of his duty</t>
  </si>
  <si>
    <t>105/02</t>
  </si>
  <si>
    <t>105</t>
  </si>
  <si>
    <t>County Courts Act 1984 Sec 14.</t>
  </si>
  <si>
    <t>105A.105.4.1</t>
  </si>
  <si>
    <t>Assault without Injury - Assault on prison custody officer</t>
  </si>
  <si>
    <t>105/04</t>
  </si>
  <si>
    <t>Criminal Justice Act 1991 Sec 90(1).</t>
  </si>
  <si>
    <t>105A.105.4.1A</t>
  </si>
  <si>
    <t>Attempted - Assault without Injury - Assault on prison custody officer</t>
  </si>
  <si>
    <t>105A.105.6.0</t>
  </si>
  <si>
    <t>Assault without Injury - Assault on court security officer</t>
  </si>
  <si>
    <t>105/06</t>
  </si>
  <si>
    <t>Courts Act 2003 Sec 57.</t>
  </si>
  <si>
    <t>CT03001</t>
  </si>
  <si>
    <t>105A.105.8.0</t>
  </si>
  <si>
    <t>Assault without Injury - Assaulting a designated or accredited person in the execution of their duty</t>
  </si>
  <si>
    <t>105/08</t>
  </si>
  <si>
    <t>Police Reform Act 2002 Sec 46(1).</t>
  </si>
  <si>
    <t>105A.105.9.0</t>
  </si>
  <si>
    <t>Assault without Injury - Resisting or wilfully obstructing a designated or accredited person in the execution of their duty</t>
  </si>
  <si>
    <t>105/09</t>
  </si>
  <si>
    <t>Police Reform Act 2002 Sec 46(2).</t>
  </si>
  <si>
    <t>105A.8.73.0</t>
  </si>
  <si>
    <t>Assault or assault by beating of an emergency worker (except a constable)</t>
  </si>
  <si>
    <t>105A.8.73.0A</t>
  </si>
  <si>
    <t>Attempted - Assault or assault by beating of an emergency worker (except a constable)</t>
  </si>
  <si>
    <t>10B.81.77.0</t>
  </si>
  <si>
    <t>Carrying a loaded or unloaded or imitation firearm or air weapon in public place</t>
  </si>
  <si>
    <t xml:space="preserve">Draft guidelines may need to be revised when full guidelines are published. </t>
  </si>
  <si>
    <t>Band B fine</t>
  </si>
  <si>
    <t>081/77</t>
  </si>
  <si>
    <t>77</t>
  </si>
  <si>
    <t>Firearms Act 1968 as amended by Violent Crime Reduction Act 2006 Sec 19</t>
  </si>
  <si>
    <t>FI68435</t>
  </si>
  <si>
    <t>27.167.1.0</t>
  </si>
  <si>
    <t>Soliciting another for the purpose of obtaining their sexual services as a prostitute in a street or public place</t>
  </si>
  <si>
    <t>Suggest Band B fine</t>
  </si>
  <si>
    <t>a fine not exceeding level 2 on the standard scale, attendence at meetings etc</t>
  </si>
  <si>
    <t>https://www.cps.gov.uk/legal-guidance/prostitution-and-exploitation-prostitution</t>
  </si>
  <si>
    <t>SOLICITE PURPOSE OF PROSTITUTION</t>
  </si>
  <si>
    <t>167/01</t>
  </si>
  <si>
    <t>167</t>
  </si>
  <si>
    <t>Sexual Offences Act 2003 Sec51A added by policing and Crime Act 2009 Sec 19</t>
  </si>
  <si>
    <t>SX03213</t>
  </si>
  <si>
    <t>33A.53.43.0</t>
  </si>
  <si>
    <t>Possess/control article(s) for use in fraud(s)</t>
  </si>
  <si>
    <t>053/43</t>
  </si>
  <si>
    <t>43</t>
  </si>
  <si>
    <t>Fraud Act 2006 Sec 6</t>
  </si>
  <si>
    <t>FA06004</t>
  </si>
  <si>
    <t>33A.53.43.0A</t>
  </si>
  <si>
    <t>Attempted - Possess/control article(s) for use in fraud(s)</t>
  </si>
  <si>
    <t>39.39.0.0</t>
  </si>
  <si>
    <t>Theft from the person of another</t>
  </si>
  <si>
    <t>THEFT FROM THE PERSON</t>
  </si>
  <si>
    <t>039/00</t>
  </si>
  <si>
    <t>39.39.0.0A</t>
  </si>
  <si>
    <t>Attempted - Theft from the person of another</t>
  </si>
  <si>
    <t>40.40.0.0</t>
  </si>
  <si>
    <t>Theft in a dwelling other than from automatic machine or meter</t>
  </si>
  <si>
    <t xml:space="preserve"> Band B fine</t>
  </si>
  <si>
    <t>THEFT IN A DWELLING OTHER AUTO MACH</t>
  </si>
  <si>
    <t>040/00</t>
  </si>
  <si>
    <t>40.40.0.0A</t>
  </si>
  <si>
    <t>Attempted - Theft in a dwelling other than from automatic machine or meter</t>
  </si>
  <si>
    <t>42.42.0.0</t>
  </si>
  <si>
    <t>Theft of Mail</t>
  </si>
  <si>
    <t>THEFT OF MAIL</t>
  </si>
  <si>
    <t>042/00</t>
  </si>
  <si>
    <t>42.42.0.0A</t>
  </si>
  <si>
    <t>Attempted - Theft of Mail</t>
  </si>
  <si>
    <t>44.137.18.0</t>
  </si>
  <si>
    <t>Take or ride a pedal cycle without consent etc</t>
  </si>
  <si>
    <t>Theft</t>
  </si>
  <si>
    <t>BICYCLE THEFT</t>
  </si>
  <si>
    <t>THEFT OR UNAUTH TAKING OF PEDAL CYCLE</t>
  </si>
  <si>
    <t>137/18</t>
  </si>
  <si>
    <t>137</t>
  </si>
  <si>
    <t>Theft Act 1968 Sec 12(5) or By-law</t>
  </si>
  <si>
    <t>44.137.18.0A</t>
  </si>
  <si>
    <t>Attempted - Take or ride a pedal cycle without consent etc</t>
  </si>
  <si>
    <t>44.44.0.0</t>
  </si>
  <si>
    <t>Theft or Unauthorised Taking of a Pedal Cycle</t>
  </si>
  <si>
    <t>044/00</t>
  </si>
  <si>
    <t>44.44.0.0A</t>
  </si>
  <si>
    <t>Attempted - Theft or Unauthorised Taking of a Pedal Cycle</t>
  </si>
  <si>
    <t>45.45.10.0</t>
  </si>
  <si>
    <t>Theft from a motor vehicle</t>
  </si>
  <si>
    <t>THEFT FROM A VEHICLE</t>
  </si>
  <si>
    <t>THEFT FROM A MOTOR VEHICLE</t>
  </si>
  <si>
    <t>045/10</t>
  </si>
  <si>
    <t>45.45.10.0A</t>
  </si>
  <si>
    <t>Attempted - Theft from a motor vehicle</t>
  </si>
  <si>
    <t>45.45.11.0</t>
  </si>
  <si>
    <t>Theft from vehicle other than a motor vehicle</t>
  </si>
  <si>
    <t>045/11</t>
  </si>
  <si>
    <t>45.45.11.0A</t>
  </si>
  <si>
    <t>Attempted - Theft from vehicle other than a motor vehicle</t>
  </si>
  <si>
    <t>47.47.0.0</t>
  </si>
  <si>
    <t>Theft from automatic machine or meter</t>
  </si>
  <si>
    <t>THEFT FROM AN AUTO MACH OR METER</t>
  </si>
  <si>
    <t>047/00</t>
  </si>
  <si>
    <t>47.47.0.0A</t>
  </si>
  <si>
    <t>Attempted - Theft from automatic machine or meter</t>
  </si>
  <si>
    <t>49.49.10.0</t>
  </si>
  <si>
    <t>Theft if not classified elsewhere</t>
  </si>
  <si>
    <t>049/10</t>
  </si>
  <si>
    <t>49.49.10.0A</t>
  </si>
  <si>
    <t>Attempted - Theft if not classified elsewhere</t>
  </si>
  <si>
    <t>49.49.11.0</t>
  </si>
  <si>
    <t>Removal of articles from places open to the public</t>
  </si>
  <si>
    <t>049/11</t>
  </si>
  <si>
    <t>Theft Act 1968 Sec 11</t>
  </si>
  <si>
    <t>TH68049</t>
  </si>
  <si>
    <t>53C.99.99.229</t>
  </si>
  <si>
    <t>Fraud by false representation: cheque, plastic card and online bank accounts (not PSP) (outcomes only)</t>
  </si>
  <si>
    <t>(outcomes only) Fraud by false representation: cheque, plastic card and online bank accounts (not PSP)</t>
  </si>
  <si>
    <t>Band b fine</t>
  </si>
  <si>
    <t>FRAUD AND FORGERY</t>
  </si>
  <si>
    <t>FRAUD BY FALSE REP CHQ ETC OUTCOMES</t>
  </si>
  <si>
    <t>53C</t>
  </si>
  <si>
    <t>229</t>
  </si>
  <si>
    <t>53D.99.99.230</t>
  </si>
  <si>
    <t>Fraud by false representation: other frauds (outcomes only)</t>
  </si>
  <si>
    <t>(outcomes only) Fraud by false representation: other frauds</t>
  </si>
  <si>
    <t>FRAUD BY FALSE REPOTHER FRAUDS OUTCOMES</t>
  </si>
  <si>
    <t>53D</t>
  </si>
  <si>
    <t>230</t>
  </si>
  <si>
    <t>54.54.1.0</t>
  </si>
  <si>
    <t>Receiving stolen goods</t>
  </si>
  <si>
    <t>scored as a LL SG handling</t>
  </si>
  <si>
    <t>054/01</t>
  </si>
  <si>
    <t>58A.58.0.0</t>
  </si>
  <si>
    <t>Other criminal damage to a dwelling (£5,000 and over)</t>
  </si>
  <si>
    <t>https://www.sentencingcouncil.org.uk/offences/crown-court/item/criminal-damage-other-than-by-fire-value-exceeding-5000-racially-or-religiously-aggravated-criminal-damage/</t>
  </si>
  <si>
    <t>058/00</t>
  </si>
  <si>
    <t>Criminal Damage Act 1971 Sec 1(1). Explosive Substances Act 1883 Sec 2(pt). Explosive Substances Act 1883 Sec 3(pt).</t>
  </si>
  <si>
    <t>58A.58.0.0A</t>
  </si>
  <si>
    <t>Attempted - Other criminal damage to a dwelling (£5,000 and over)</t>
  </si>
  <si>
    <t>CD71038A</t>
  </si>
  <si>
    <t>58B.58.0.0</t>
  </si>
  <si>
    <t>Other criminal damage to a building other than a dwelling (£5,000 and over)</t>
  </si>
  <si>
    <t>Explosive Substances Act 1883 Sec 2(pt). Explosive Substances Act 1883 Sec 3(pt). Criminal Damage Act 1971 Sec 1(1).</t>
  </si>
  <si>
    <t>58C.58.0.0</t>
  </si>
  <si>
    <t>Other criminal damage to a vehicle (£5,000 and over)</t>
  </si>
  <si>
    <t>58C.58.0.0A</t>
  </si>
  <si>
    <t>Attempted - Other criminal damage to a vehicle (£5,000 and over)</t>
  </si>
  <si>
    <t>58D.58.0.0</t>
  </si>
  <si>
    <t>Other criminal damage, other (£5,000 and over)</t>
  </si>
  <si>
    <t>Explosive Substance Act 1883 Sec 2(pt),3(pt). Criminal Damage Act 1971 Sec 1(1). Malicious Damage Act 1861 Secs  35,36,47,48. Ancient Monuments &amp; Archaeological Areas Act1979 Sec 28(1). Post Office Act 1953 Sec 60</t>
  </si>
  <si>
    <t>58J.58.4.0</t>
  </si>
  <si>
    <t>Racially or religiously aggravated criminal damage</t>
  </si>
  <si>
    <t xml:space="preserve">Used culpability B to distinguish between normal Criminal Damage and Racially agg. </t>
  </si>
  <si>
    <t>3 months</t>
  </si>
  <si>
    <t>https://www.sentencingcouncil.org.uk/offences/crown-court/item/criminal-damage-other-than-by-fire-value-not-exceeding-5000-racially-or-religiously-aggravated-criminal-damage/</t>
  </si>
  <si>
    <t>RACE OR RELIGIOUSLY AGG CRIM DAMAGE</t>
  </si>
  <si>
    <t>58J</t>
  </si>
  <si>
    <t>058/04</t>
  </si>
  <si>
    <t>Crime &amp; Disorder Act 1998 Sec 30(1) and (2) (as added to by Anti-terrorism, Crime &amp; Security Act 2001 Sec 39).</t>
  </si>
  <si>
    <t>CD98074</t>
  </si>
  <si>
    <t>59.59.11.0</t>
  </si>
  <si>
    <t>Threats to destroy or damage property</t>
  </si>
  <si>
    <t>https://www.sentencingcouncil.org.uk/offences/crown-court/item/threats-to-destroy-or-damage-property/</t>
  </si>
  <si>
    <t>059/11</t>
  </si>
  <si>
    <t>Criminal Damage Act 1971 Sec 2</t>
  </si>
  <si>
    <t>59.59.11.0A</t>
  </si>
  <si>
    <t>Attempted - Threats to destroy or damage property</t>
  </si>
  <si>
    <t>61A.61.38.0</t>
  </si>
  <si>
    <t>Possess / control identity documents with intent</t>
  </si>
  <si>
    <t>Possess / control identity documents with intent (Indictable)</t>
  </si>
  <si>
    <t>Used Possession of articles for use in frauds</t>
  </si>
  <si>
    <t>061/38</t>
  </si>
  <si>
    <t>Identity Documents Act 2010 Sec 4</t>
  </si>
  <si>
    <t>61A.61.40.0</t>
  </si>
  <si>
    <t>Possess / control a false / improperly obtained / another persons identity document</t>
  </si>
  <si>
    <t>061/40</t>
  </si>
  <si>
    <t>Identity Documents Act 2010 Sec G3496</t>
  </si>
  <si>
    <t>ID10003</t>
  </si>
  <si>
    <t>61A.61.40.0A</t>
  </si>
  <si>
    <t>Attempted - Possess / control a false / improperly obtained / another persons identity document</t>
  </si>
  <si>
    <t>66.66.22.0</t>
  </si>
  <si>
    <t>Public Nuisance</t>
  </si>
  <si>
    <t xml:space="preserve">used Disorderly behaviour with intent to cause harassment, alarm or distress </t>
  </si>
  <si>
    <t>066/22</t>
  </si>
  <si>
    <t>67.67.1.1</t>
  </si>
  <si>
    <t>False written statements tendered in evidence</t>
  </si>
  <si>
    <t>False written statements tendered in evidence (Indictable)</t>
  </si>
  <si>
    <t>he shall be liable on summary conviction to imprisonment for a term not exceeding four months or a fine not exceeding £100 or both.</t>
  </si>
  <si>
    <t>MagistratesÃ¢â‚¬â„¢ Court Act 1980 Sec 106      Criminal Justice Act 1967 Sec 89</t>
  </si>
  <si>
    <t>814.814.2.0</t>
  </si>
  <si>
    <t>Fraud, forgery etc associated with insurance certificate</t>
  </si>
  <si>
    <t>https://www.sentencingcouncil.org.uk/offences/magistrates-court/item/vehicle-licenceregistration-fraud/</t>
  </si>
  <si>
    <t>814/02</t>
  </si>
  <si>
    <t>Road Traffic Act 1988 Sec 173(1)</t>
  </si>
  <si>
    <t>814.814.3.0</t>
  </si>
  <si>
    <t>Fraud, forgery etc associated with registration and licensing documents</t>
  </si>
  <si>
    <t>814/03</t>
  </si>
  <si>
    <t>Vehicle Excise and Registration Act 1994 Secs 44 &amp; 45.   Public Passenger Vehicles Act 1981 Sec 65(1)(b) &amp; (2)</t>
  </si>
  <si>
    <t>8L.125.68.0</t>
  </si>
  <si>
    <t>Harassment etc. of a person in his home</t>
  </si>
  <si>
    <t>Used Harassment</t>
  </si>
  <si>
    <t>125/68</t>
  </si>
  <si>
    <t>Criminal Justice and Police Act 2001 Sec 42A, Serious Organised Crime and Police Act 2005 Sec 126</t>
  </si>
  <si>
    <t>CJ01015</t>
  </si>
  <si>
    <t>8L.125.68.0A</t>
  </si>
  <si>
    <t>Attempted - Harassment etc. of a person in his home</t>
  </si>
  <si>
    <t xml:space="preserve">Used Harassment </t>
  </si>
  <si>
    <t>8N.8.20.0</t>
  </si>
  <si>
    <t>Assault with Injury - Assault with intent to resist apprehension</t>
  </si>
  <si>
    <t>Assault with intent to resist apprehension</t>
  </si>
  <si>
    <t>No not this specific wording</t>
  </si>
  <si>
    <t>Assault with intent to resist arrest</t>
  </si>
  <si>
    <t>https://www.sentencingcouncil.org.uk/offences/magistrates-court/item/assault-with-intent-to-resist-arrest/</t>
  </si>
  <si>
    <t>008/20</t>
  </si>
  <si>
    <t>Offences against the Person Act 1861 Sec 38.</t>
  </si>
  <si>
    <t>OF61095</t>
  </si>
  <si>
    <t>8N.8.20.0A</t>
  </si>
  <si>
    <t>Attempted - Assault with Injury - Assault with intent to resist apprehension</t>
  </si>
  <si>
    <t>Attempted - Assault with intent to resist apprehension</t>
  </si>
  <si>
    <t>8N.8.21.0</t>
  </si>
  <si>
    <t>Owner or person in charge allowing dog to be dangerously out of control in a public place injuring any person</t>
  </si>
  <si>
    <t>https://www.sentencingcouncil.org.uk/offences/magistrates-court/item/aab-owner-or-person-in-charge-of-a-dog-dangerously-out-of-control-in-any-place-in-england-or-wales-whether-or-not-a-public-place-where-a-person-is-injured/</t>
  </si>
  <si>
    <t>008/21</t>
  </si>
  <si>
    <t>Dangerous Dogs Act 1991 Sec 3(1).</t>
  </si>
  <si>
    <t>8N.8.21.1</t>
  </si>
  <si>
    <t>Owner or person in charge allowing dog to be dangerously out of control in any place in England or Wales (whether or not a public place) injuring any person or assistance dog</t>
  </si>
  <si>
    <t>Owner or person in charge allowing dog to be dangerously out of control injuring any person or assistance dog</t>
  </si>
  <si>
    <t>Dangerous Dogs Act 1991 Sec 3(1) as amended by Anti-Social Behaviour Crime and Policing Act 2014 Sec 106</t>
  </si>
  <si>
    <t>8N.8.21.1A</t>
  </si>
  <si>
    <t>Attempted - Owner or person in charge allowing dog to be dangerously out of control in any place in England or Wales (whether or not a public place) injuring any person or assistance dog</t>
  </si>
  <si>
    <t>Attempted - Owner or person in charge allowing dog to be dangerously out of control injuring any person or assistance dog</t>
  </si>
  <si>
    <t>8N.8.22.0</t>
  </si>
  <si>
    <t>Assault with Injury - Owner or person in charge allowing dog to enter a non-public place and injure any person</t>
  </si>
  <si>
    <t>Owner or person in charge allowing dog to enter a non-public place and injure any person</t>
  </si>
  <si>
    <t>008/22</t>
  </si>
  <si>
    <t>Dangerous Dogs Act 1991 Sec 3(3).</t>
  </si>
  <si>
    <t>DD91016</t>
  </si>
  <si>
    <t>8R.8.72.0</t>
  </si>
  <si>
    <t>Sending letters etc with intent to cause distress or anxiety</t>
  </si>
  <si>
    <t>Sending letters etc with intent to cause distress or anxiety, Malicious Communications Act 1988</t>
  </si>
  <si>
    <t>Harassment is a band B fine</t>
  </si>
  <si>
    <t>http://www.legislation.gov.uk/ukpga/1988/27/section/1</t>
  </si>
  <si>
    <t>008/72</t>
  </si>
  <si>
    <t>Malicious Communications Act 1988 Sec 1 as amended by Criminal Justice and Courts Act 2015 Sec 32</t>
  </si>
  <si>
    <t>8R.8.72.0A</t>
  </si>
  <si>
    <t>Attempted - Sending letters etc with intent to cause distress or anxiety</t>
  </si>
  <si>
    <t>Attempted - Sending letters etc with intent to cause distress or anxiety, Malicious Communications Act 1988</t>
  </si>
  <si>
    <t>92D.92.60.0</t>
  </si>
  <si>
    <t>Having possession of a controlled drug - Class B - Amphetamine</t>
  </si>
  <si>
    <t>092/60</t>
  </si>
  <si>
    <t>92D.92.60.0A</t>
  </si>
  <si>
    <t>Attempted - Having possession of a controlled drug - Class B - Amphetamine</t>
  </si>
  <si>
    <t>92D.92.62.0</t>
  </si>
  <si>
    <t>Having possession of a controlled drug - Class B - Synthetic cannabinoid receptor agonists</t>
  </si>
  <si>
    <t>092/62</t>
  </si>
  <si>
    <t>MD71552</t>
  </si>
  <si>
    <t>92D.92.62.0A</t>
  </si>
  <si>
    <t>Attempted - Having possession of a controlled drug - Class B - Synthetic cannabinoid receptor agonists</t>
  </si>
  <si>
    <t>92D.92.65.0</t>
  </si>
  <si>
    <t>Having possession of a controlled drug - Class B - Other</t>
  </si>
  <si>
    <t>092/65</t>
  </si>
  <si>
    <t>92D.93.72.0</t>
  </si>
  <si>
    <t>Having possession of a controlled drug - Class B - Ketamine</t>
  </si>
  <si>
    <t>093/72</t>
  </si>
  <si>
    <t>Misuse of Drugs Act 1971 Section 5(2) &amp; schedule 4</t>
  </si>
  <si>
    <t>MD71596</t>
  </si>
  <si>
    <t>92D.93.72.0A</t>
  </si>
  <si>
    <t>Attempted - Having possession of a controlled drug - Class B - Ketamine</t>
  </si>
  <si>
    <t>Misuse of Drugs Act 1971 Section 5(1)</t>
  </si>
  <si>
    <t>MD71596A</t>
  </si>
  <si>
    <t>92E.92.61.0</t>
  </si>
  <si>
    <t>Having possession of a controlled drug - Class B - Cannabis</t>
  </si>
  <si>
    <t>POSSESS OF CONTROL DRUGS (CANNABIS)</t>
  </si>
  <si>
    <t>92E</t>
  </si>
  <si>
    <t>092/61</t>
  </si>
  <si>
    <t>92E.92.61.0A</t>
  </si>
  <si>
    <t>Attempted - Having possession of a controlled drug - Class B - Cannabis</t>
  </si>
  <si>
    <t>99.91.14.0</t>
  </si>
  <si>
    <t>Failing to comply with an order issued under Sec 26</t>
  </si>
  <si>
    <t xml:space="preserve">Immigration offence - associated with false ID, creating false ID, failing to follow immigration proceedures. Large variety in max sentence depending on which section 26 is breached. Suggest scoring as Fraud.  </t>
  </si>
  <si>
    <t>Summary - 6 months custody/L5 fine</t>
  </si>
  <si>
    <t>https://assets.publishing.service.gov.uk/government/uploads/system/uploads/attachment_data/file/255350/sponsorguideappBfrom060412.pdf</t>
  </si>
  <si>
    <t>091/14</t>
  </si>
  <si>
    <t>Environmental Protection Act 1990 Sec 23(1)(l)</t>
  </si>
  <si>
    <t>EP90013</t>
  </si>
  <si>
    <t>99.99.56.0</t>
  </si>
  <si>
    <t>Unlawful interception of a postal public or private telecommunication scheme</t>
  </si>
  <si>
    <t xml:space="preserve">Fine </t>
  </si>
  <si>
    <t>http://www.legislation.gov.uk/ukpga/2016/25/part/1/crossheading/prohibitions-against-unlawful-interception</t>
  </si>
  <si>
    <t>099/56</t>
  </si>
  <si>
    <t>Regulation of Investigatory Powers Act 2000 Sec 1(1)(2)(7)</t>
  </si>
  <si>
    <t>99.99.90.0</t>
  </si>
  <si>
    <t>Dishonestly obtaining electronic communication services</t>
  </si>
  <si>
    <t>6 months/fine for summary</t>
  </si>
  <si>
    <t>http://www.legislation.gov.uk/ukpga/2003/21/section/125?view=plain</t>
  </si>
  <si>
    <t>099/90</t>
  </si>
  <si>
    <t>Communications Act 2003 Sec 125</t>
  </si>
  <si>
    <t>CA03001</t>
  </si>
  <si>
    <t>99.99.91.0</t>
  </si>
  <si>
    <t>Possession or supply of apparatus etc for contravening Sec 125</t>
  </si>
  <si>
    <t xml:space="preserve">Used item for use in fraud. </t>
  </si>
  <si>
    <t>Fine/imprisonment or both</t>
  </si>
  <si>
    <t>http://www.legislation.gov.uk/ukpga/2003/21/notes/division/5/2/1/95</t>
  </si>
  <si>
    <t>099/91</t>
  </si>
  <si>
    <t>Communications Act 2003 Sec 126</t>
  </si>
  <si>
    <t>99.99.99.71</t>
  </si>
  <si>
    <t>Fraud etc</t>
  </si>
  <si>
    <t>Gun Barrel Proof Act, 1868 Secs 30, 122, 141</t>
  </si>
  <si>
    <t>99.99.99.71A</t>
  </si>
  <si>
    <t>Attempted - Fraud etc</t>
  </si>
  <si>
    <t>71A</t>
  </si>
  <si>
    <t>9B.125.82.0</t>
  </si>
  <si>
    <t>Racially or religiously aggravated harassment, alarm or distress</t>
  </si>
  <si>
    <t>fine</t>
  </si>
  <si>
    <t>https://www.sentencingcouncil.org.uk/offences/magistrates-court/item/disorderly-behaviour-racially-or-religiously-aggravated-disorderly-behaviour/</t>
  </si>
  <si>
    <t>125/82</t>
  </si>
  <si>
    <t>Crime &amp; Disorder Act 1998 Sec 31(1)(c) And (4) (as added to by Anti-terrorism, Crime and Disorder Act 2001 Sec 39).</t>
  </si>
  <si>
    <t>CD98068</t>
  </si>
  <si>
    <t>9B.125.82.0A</t>
  </si>
  <si>
    <t>Attempted - Racially or religiously aggravated harassment, alarm or distress</t>
  </si>
  <si>
    <t>NFIB.53.40.0</t>
  </si>
  <si>
    <t>Fraud by False Representation</t>
  </si>
  <si>
    <t>(outcomes only) Fraud by False Representation</t>
  </si>
  <si>
    <t>053/40</t>
  </si>
  <si>
    <t>Fraud Act 2006 Sec 2</t>
  </si>
  <si>
    <t>NN.108.12.0</t>
  </si>
  <si>
    <t>Animal Health Act 1981, Cruelty to animals (offences against movement of animals)</t>
  </si>
  <si>
    <t>General animal cruelty used</t>
  </si>
  <si>
    <t>https://www.sentencingcouncil.org.uk/offences/magistrates-court/item/animal-cruelty-revised-2017/</t>
  </si>
  <si>
    <t>108/12</t>
  </si>
  <si>
    <t>Animal Health Act 1981 order made under SS.8 &amp; 37(1)</t>
  </si>
  <si>
    <t>NN.108.2.0</t>
  </si>
  <si>
    <t>Protection of Animals Act 1911, Cruelty to Animals</t>
  </si>
  <si>
    <t>108/02</t>
  </si>
  <si>
    <t>Protection of Animals Act 1911</t>
  </si>
  <si>
    <t>NN.108.23.0</t>
  </si>
  <si>
    <t>Wildlife and Countryside Act 1981, Protection of certain wild animals</t>
  </si>
  <si>
    <t>108/23</t>
  </si>
  <si>
    <t>NN.108.25.0</t>
  </si>
  <si>
    <t>Wild Mammals (Protection) Act 1996 - Offences under this act</t>
  </si>
  <si>
    <t>108/25</t>
  </si>
  <si>
    <t>Wild Mammals (Protection) Act 1996</t>
  </si>
  <si>
    <t>WM96001</t>
  </si>
  <si>
    <t>NN.108.29.0</t>
  </si>
  <si>
    <t>Animal Welfare Act 2006, Causing, permitting or failing to prevent unnecessary suffering</t>
  </si>
  <si>
    <t>108/29</t>
  </si>
  <si>
    <t>Animal Welfare Act 2006 SS.4 &amp; 32(1)</t>
  </si>
  <si>
    <t>NN.125.12.0</t>
  </si>
  <si>
    <t>Public Order Act 1986 as amended by Crime &amp; Courts Act 2013 (see SI 2981/2013), Use or display threatening behaviour, words (written or spoken) or visual representation likely to cause harassment / alarm / distress</t>
  </si>
  <si>
    <t>Public Order Act 1986 (Crime &amp; Courts Act 2013 ammended) (SI 2981/2013), Use/display threatening behaviour/words (written or spoken)/visual representation likely to cause harassment/alarm/distress</t>
  </si>
  <si>
    <t>Harrassment</t>
  </si>
  <si>
    <t>125/12</t>
  </si>
  <si>
    <t>Public Order Act 1986 as amended by Crime and Courts Act 2013 (see SI 2981/2013)</t>
  </si>
  <si>
    <t>NN.125.28.0</t>
  </si>
  <si>
    <t>Football Offences Act 1991 - Taking part in indecent or racist chanting</t>
  </si>
  <si>
    <t>Level 3 fine</t>
  </si>
  <si>
    <t>https://www.sentencingcouncil.org.uk/offences/magistrates-court/item/football-related-offences-revised-2017/</t>
  </si>
  <si>
    <t>125/28</t>
  </si>
  <si>
    <t>Football Offences Act 1991 S.3</t>
  </si>
  <si>
    <t>FO91003</t>
  </si>
  <si>
    <t>NN.130.3.0</t>
  </si>
  <si>
    <t>Theft Act 1968 - Being carried knowing vehicle to have been taken or driven away</t>
  </si>
  <si>
    <t>130/03</t>
  </si>
  <si>
    <t>Sexual Offences Act 1956 as amended by Sexual Offences Act 1967</t>
  </si>
  <si>
    <t>TH68054</t>
  </si>
  <si>
    <t>NN.137.11.0</t>
  </si>
  <si>
    <t>Road Traffic Act 1988 - Dangerous riding by pedal cyclist</t>
  </si>
  <si>
    <t>Suggest a fine? -&gt; Seems to be dealt with mostly as a warning. But this offence specifies dangerous riding.</t>
  </si>
  <si>
    <t>£2,500 fine</t>
  </si>
  <si>
    <t>137/11</t>
  </si>
  <si>
    <t>RT88134</t>
  </si>
  <si>
    <t>NN.175.4.0</t>
  </si>
  <si>
    <t>Sexual Offences Act 2003 - Sexual activity in a public lavatory</t>
  </si>
  <si>
    <t>https://www.sentencingcouncil.org.uk/offences/magistrates-court/item/sexual-activity-in-a-public-lavatory/</t>
  </si>
  <si>
    <t>175/04</t>
  </si>
  <si>
    <t>175</t>
  </si>
  <si>
    <t>Sexual Offences Act 2003</t>
  </si>
  <si>
    <t>SX03180</t>
  </si>
  <si>
    <t>NN.188.5.0</t>
  </si>
  <si>
    <t>Vagrancy Act 1824 - Collecting alms or endeavouring to procure charitable contributions by fraudulent pretence</t>
  </si>
  <si>
    <t>188/05</t>
  </si>
  <si>
    <t>188</t>
  </si>
  <si>
    <t>Vagrancy Act 1824</t>
  </si>
  <si>
    <t>VG24021</t>
  </si>
  <si>
    <t>NN.190.1.0</t>
  </si>
  <si>
    <t>Wildlife and Countryside Act 1981, Protection of wild birds</t>
  </si>
  <si>
    <t>Animal cruelty</t>
  </si>
  <si>
    <t>190/01</t>
  </si>
  <si>
    <t>NN.190.2.0</t>
  </si>
  <si>
    <t>Wildlife and Countryside Act 1981, Protection of nests and eggs of wild birds</t>
  </si>
  <si>
    <t>190/02</t>
  </si>
  <si>
    <t>NN.195.24.0</t>
  </si>
  <si>
    <t>Postal Services Act 2000 S84, Delaying or opening postal packet or mailbag by non-operator; opening incorrectly delivered postal packet</t>
  </si>
  <si>
    <t xml:space="preserve">Attempted theft. </t>
  </si>
  <si>
    <t>195/24</t>
  </si>
  <si>
    <t>Postal Services Act 2000 S.84</t>
  </si>
  <si>
    <t>NN.195.40.1</t>
  </si>
  <si>
    <t>Telecommunications Act 1984, Offences against the Telecommunications Code</t>
  </si>
  <si>
    <t>195/40</t>
  </si>
  <si>
    <t>Telecommunications Act 1984</t>
  </si>
  <si>
    <t>NN.195.51.0</t>
  </si>
  <si>
    <t>Telecommunications Act 1984 as amended by Criminal Justice &amp; Public Order Act 1994 , Improper use of public Telecommunication system</t>
  </si>
  <si>
    <t>195/51</t>
  </si>
  <si>
    <t>Telecommunications Act 1984 as amended by Criminal Justice &amp; Public Order Act 1994</t>
  </si>
  <si>
    <t>NN.195.8.0</t>
  </si>
  <si>
    <t>Criminal Justice and Public Order Act 1994, Failure to stop a vehicle when required to do so by a constable in the exercise of his powers under this section of the Act</t>
  </si>
  <si>
    <t>Level 5 fine</t>
  </si>
  <si>
    <t>https://www.sentencingcouncil.org.uk/offences/magistrates-court/item/offences-appropriate-for-imposition-of-fine-or-discharge/3-offences-appropriate-for-imposition-of-fine-or-discharge/#Fail_to_stop_when_required_by_police_constable</t>
  </si>
  <si>
    <t>195/08</t>
  </si>
  <si>
    <t>Criminal Justice and Public Order Act 1994 S.60</t>
  </si>
  <si>
    <t>NN.195.91.0</t>
  </si>
  <si>
    <t>Police Act 1996, Impersonation of member of police force or special constable</t>
  </si>
  <si>
    <t xml:space="preserve">From cases examples a fine is suggested to be an appropriate starting point. </t>
  </si>
  <si>
    <t>195/91</t>
  </si>
  <si>
    <t>Police Act 1996</t>
  </si>
  <si>
    <t>NN.196.31.0</t>
  </si>
  <si>
    <t>Traffic Management Act 2004, Impersonating a traffic officer</t>
  </si>
  <si>
    <t>196/31</t>
  </si>
  <si>
    <t>Traffic Management Act 2004</t>
  </si>
  <si>
    <t>NN.196.7.0</t>
  </si>
  <si>
    <t>Communications Act 2003, Sending or causing sending of grossly offensive / indecent / obscene / menacing or false message / matter by electronic communications network</t>
  </si>
  <si>
    <t>6 months/L5 fine or both</t>
  </si>
  <si>
    <t>https://www.legislation.gov.uk/ukpga/2003/21/section/127?view=plain</t>
  </si>
  <si>
    <t>196/07</t>
  </si>
  <si>
    <t>Communications Act 2003 S.127</t>
  </si>
  <si>
    <t>NN.803.11.0</t>
  </si>
  <si>
    <t>Road Traffic Act 1988 - Being in charge of mechanically propelled vehicle whilst unfit to drive through drink or drugs - Drink</t>
  </si>
  <si>
    <t>Band B fine + 10 points</t>
  </si>
  <si>
    <t>https://www.sentencingcouncil.org.uk/offences/magistrates-court/item/excess-alcohol-in-charge-revised-2017/</t>
  </si>
  <si>
    <t>803/11</t>
  </si>
  <si>
    <t>RT88347</t>
  </si>
  <si>
    <t>NN.803.12.0</t>
  </si>
  <si>
    <t>Road Traffic Act 1988 - Being in charge of mechanically propelled vehicle whilst unfit to drive through drink or drugs - Drugs</t>
  </si>
  <si>
    <t>803/12</t>
  </si>
  <si>
    <t>RT88348</t>
  </si>
  <si>
    <t>NN.803.4.0</t>
  </si>
  <si>
    <t>Road Traffic Act 1988, Being in charge of mechanically propelled vehicle whilst unfit to drive through drink or drugs (Only to be used where it is unclear whether it is drink or drugs)</t>
  </si>
  <si>
    <t>803/04</t>
  </si>
  <si>
    <t>NN.803.5.0</t>
  </si>
  <si>
    <t>Road Traffic Act 1988 - In charge of a motor vehicle while having a breath, blood or urine alcohol concentration in excess of the prescribed limit</t>
  </si>
  <si>
    <t>803/05</t>
  </si>
  <si>
    <t>RT88008</t>
  </si>
  <si>
    <t>NN.803.6.0</t>
  </si>
  <si>
    <t>Road Traffic Act 1988 - In charge of a motor vehicle and failing without reasonable excuse to provide a specimen for a laboratory test or two specimens for analysis of breath</t>
  </si>
  <si>
    <t>https://www.sentencingcouncil.org.uk/offences/magistrates-court/item/fail-to-provide-specimen-for-analysis-in-charge-revised-2017/</t>
  </si>
  <si>
    <t>803/06</t>
  </si>
  <si>
    <t>RT88011</t>
  </si>
  <si>
    <t>NN.803.7.0</t>
  </si>
  <si>
    <t>Road Traffic Act 1988 - Failing without reasonable excuse to provide a specimen of breath for a preliminary test</t>
  </si>
  <si>
    <t>Band B fine + 4 points</t>
  </si>
  <si>
    <t>https://www.sentencingcouncil.org.uk/offences/magistrates-court/item/offences-appropriate-for-imposition-of-fine-or-discharge/#fail-to-co-operate-with-preliminary-roadside-breath-test</t>
  </si>
  <si>
    <t>803/07</t>
  </si>
  <si>
    <t>RT88496</t>
  </si>
  <si>
    <t>NN.803.9.0</t>
  </si>
  <si>
    <t>Road Traffic Act 1988, Driving or attempting to drive a mechanically propelled vehicle whilst unfit to drive through drink or drugs, Drink</t>
  </si>
  <si>
    <t>803/09</t>
  </si>
  <si>
    <t>NN.804.2.0</t>
  </si>
  <si>
    <t>Police Reform Act 2002 - Failure to comply with an order to stop a moving vehicle</t>
  </si>
  <si>
    <t>804/02</t>
  </si>
  <si>
    <t>804</t>
  </si>
  <si>
    <t>PL02009</t>
  </si>
  <si>
    <t>NN.805.1.0</t>
  </si>
  <si>
    <t>Road Traffic Act 1988 - Failing to stop after accident</t>
  </si>
  <si>
    <t>Band B fine + 5 points</t>
  </si>
  <si>
    <t>https://www.sentencingcouncil.org.uk/offences/magistrates-court/item/fail-to-stopreport-road-accident-revised-2017/</t>
  </si>
  <si>
    <t>805/01</t>
  </si>
  <si>
    <t>805</t>
  </si>
  <si>
    <t>RT88218</t>
  </si>
  <si>
    <t>NN.805.2.0</t>
  </si>
  <si>
    <t>Road Traffic Act 1988, Failing to report accident within 24 hours</t>
  </si>
  <si>
    <t>805/02</t>
  </si>
  <si>
    <t>NN.805.3.0</t>
  </si>
  <si>
    <t>Road Traffic Act 1988 - Failing to give name and address after accident</t>
  </si>
  <si>
    <t>805/03</t>
  </si>
  <si>
    <t>RT88221</t>
  </si>
  <si>
    <t>NN.810.90.0</t>
  </si>
  <si>
    <t>Road Vehicles (Registration and Licensing) Regulations 2002, Driving with excess passengers when vehicle used under trade licence</t>
  </si>
  <si>
    <t>Band B fine + 3 points</t>
  </si>
  <si>
    <t>https://www.sentencingcouncil.org.uk/offences/magistrates-court/item/offences-appropriate-for-imposition-of-fine-or-discharge/3-offences-appropriate-for-imposition-of-fine-or-discharge/</t>
  </si>
  <si>
    <t>810/90</t>
  </si>
  <si>
    <t>810</t>
  </si>
  <si>
    <t>Road Vehicles (Registration and Licensing) Regulations 2002</t>
  </si>
  <si>
    <t>NN.815.4.0</t>
  </si>
  <si>
    <t>Road Traffic Act 1988 added by Road Traffic Act 1991 , Using vehicle in dangerous condition etc</t>
  </si>
  <si>
    <t xml:space="preserve">Depends on precise defect, went for the average </t>
  </si>
  <si>
    <t>https://www.sentencingcouncil.org.uk/offences/magistrates-court/item/offences-appropriate-for-imposition-of-fine-or-discharge/part-2-offences-concerning-the-vehicle/#condition_of_vehicle</t>
  </si>
  <si>
    <t>815/04</t>
  </si>
  <si>
    <t>815</t>
  </si>
  <si>
    <t>Road Traffic Act 1988 added byRoad Traffic Act 1991</t>
  </si>
  <si>
    <t>NN.818.90.2</t>
  </si>
  <si>
    <t>Road Traffic Act 1988, Neglect or refusal to stop when directed by a constable/traffic officer:</t>
  </si>
  <si>
    <t>818/90</t>
  </si>
  <si>
    <t>818</t>
  </si>
  <si>
    <t>NN.818.90.5</t>
  </si>
  <si>
    <t>Road Traffic Act 1988 , Failing to stop motor vehicle when required by police officer in uniform</t>
  </si>
  <si>
    <t>NN.825.8.0</t>
  </si>
  <si>
    <t>Road Traffic Act 1988, Person keeping vehicle failing to give driver's name and address on demand</t>
  </si>
  <si>
    <t>825/08</t>
  </si>
  <si>
    <t>NN.825.90.14</t>
  </si>
  <si>
    <t>Road Traffic Act 1988 added by Road Vehicles (Powers to Stop) Regulations 2011 - Impersonating or making statement or doing an act to falsely suggest being a stopping officer</t>
  </si>
  <si>
    <t>Used impersonate PO</t>
  </si>
  <si>
    <t>825/90</t>
  </si>
  <si>
    <t>Road Traffic Act 1988 added by Road Vehicles (Powers to Stop) Regulations 2011</t>
  </si>
  <si>
    <t>RT88522</t>
  </si>
  <si>
    <t>NN.99.71.0</t>
  </si>
  <si>
    <t>Telecommunications Act 1984, Modification etc of messages</t>
  </si>
  <si>
    <t>099/71</t>
  </si>
  <si>
    <t>105A.105.1.0</t>
  </si>
  <si>
    <t>Assault without Injury - Common assault and battery</t>
  </si>
  <si>
    <t>Band A Fine</t>
  </si>
  <si>
    <t>105/01</t>
  </si>
  <si>
    <t>Criminal Justice Act 1988 Sec 39.</t>
  </si>
  <si>
    <t>105A.105.1.0A</t>
  </si>
  <si>
    <t>Attempted - Assault without Injury - Common assault and battery</t>
  </si>
  <si>
    <t>CJ88001A</t>
  </si>
  <si>
    <t>10B.81.37.0</t>
  </si>
  <si>
    <t>Possession of firearms by persons previously convicted of crime (Group III)</t>
  </si>
  <si>
    <t>Band A fine</t>
  </si>
  <si>
    <t>081/37</t>
  </si>
  <si>
    <t>43.43.0.0</t>
  </si>
  <si>
    <t>Abstracting electricity</t>
  </si>
  <si>
    <t>https://www.sentencingcouncil.org.uk/offences/magistrates-court/item/abstracting-electricity/</t>
  </si>
  <si>
    <t>DISHONEST USE OF ELECTRICITY</t>
  </si>
  <si>
    <t>043/00</t>
  </si>
  <si>
    <t>Theft Act 1968 Sec 13.</t>
  </si>
  <si>
    <t>TH68058</t>
  </si>
  <si>
    <t>46.46.0.0</t>
  </si>
  <si>
    <t>Theft from shops and stalls</t>
  </si>
  <si>
    <t>https://www.sentencingcouncil.org.uk/offences/magistrates-court/item/theft-from-a-shop-or-stall/</t>
  </si>
  <si>
    <t>SHOPLIFTING</t>
  </si>
  <si>
    <t>046/00</t>
  </si>
  <si>
    <t>46.46.0.0A</t>
  </si>
  <si>
    <t>Attempted - Theft from shops and stalls</t>
  </si>
  <si>
    <t>49A.53.25.0</t>
  </si>
  <si>
    <t>Making off without payment</t>
  </si>
  <si>
    <t>https://www.sentencingcouncil.org.uk/offences/magistrates-court/item/making-off-without-payment-2/</t>
  </si>
  <si>
    <t>MAKING OFF WITHOUT PAYMENT</t>
  </si>
  <si>
    <t>49A</t>
  </si>
  <si>
    <t>053/25</t>
  </si>
  <si>
    <t>Theft Act 1978 Sec 3</t>
  </si>
  <si>
    <t>49A.53.25.0A</t>
  </si>
  <si>
    <t>Attempted - Making off without payment</t>
  </si>
  <si>
    <t>58A.149.0.0</t>
  </si>
  <si>
    <t>Other criminal damage to a dwelling (Under £5,000)</t>
  </si>
  <si>
    <t>https://www.sentencingcouncil.org.uk/offences/magistrates-court/item/criminal-damage-other-than-by-fire-value-not-exceeding-5000-racially-or-religiously-aggravated-criminal-damage/</t>
  </si>
  <si>
    <t>149/00</t>
  </si>
  <si>
    <t>149</t>
  </si>
  <si>
    <t>58A.149.0.0A</t>
  </si>
  <si>
    <t>Attempted - Other criminal damage to a dwelling (Under £5,000)</t>
  </si>
  <si>
    <t>CD71039A</t>
  </si>
  <si>
    <t>58B.149.0.0</t>
  </si>
  <si>
    <t>Other criminal damage to a building other than a dwelling (Under £5,000)</t>
  </si>
  <si>
    <t>58B.149.0.0A</t>
  </si>
  <si>
    <t>Attempted - Other criminal damage to a building other than a dwelling (Under £5,000)</t>
  </si>
  <si>
    <t>58C.149.0.0</t>
  </si>
  <si>
    <t>Other criminal damage to a vehicle (Under £5,000)</t>
  </si>
  <si>
    <t>58C.149.0.0A</t>
  </si>
  <si>
    <t>Attempted - Other criminal damage to a vehicle (Under £5,000)</t>
  </si>
  <si>
    <t>58D.149.0.0</t>
  </si>
  <si>
    <t>Other criminal damage, other (Under £5,000)</t>
  </si>
  <si>
    <t>Explosive Substance Act 1883 Sec 2(pt),3(pt). Criminal Damage Act 1971 Sec 1(1). Malicious Damage Act 1861 Secs 35, 36, 47,48. Ancient Monuments &amp; Archaeological Areas Act1979 Sec 28(1). Post Office Act 1953 Sec 60</t>
  </si>
  <si>
    <t>58D.149.0.0A</t>
  </si>
  <si>
    <t>Attempted - Other criminal damage, other (Under £5,000)</t>
  </si>
  <si>
    <t>83.83.8.0</t>
  </si>
  <si>
    <t>Offence of breach of pre-charge bail conditions relating to travel</t>
  </si>
  <si>
    <t>Fail to surrender to bail</t>
  </si>
  <si>
    <t>12 months</t>
  </si>
  <si>
    <t>https://www.sentencingcouncil.org.uk/offences/magistrates-court/item/failure-to-surrender-to-bail/</t>
  </si>
  <si>
    <t>BAIL OFFENCES</t>
  </si>
  <si>
    <t>83</t>
  </si>
  <si>
    <t>083/08</t>
  </si>
  <si>
    <t>Policing and Crime Act 2017 Sec 68</t>
  </si>
  <si>
    <t>92A.93.89.0</t>
  </si>
  <si>
    <t>Obstructing a PC in exercise of a S23A (6) power to detain or search a person, vehicle or vessel regrding a drug the subject of a temporary class drug order</t>
  </si>
  <si>
    <t>Used obstruct PC</t>
  </si>
  <si>
    <t>1 month</t>
  </si>
  <si>
    <t>093/89</t>
  </si>
  <si>
    <t>Misuse of Drugs At 1971 Sec 23 A (6) &amp; 25 (3A)</t>
  </si>
  <si>
    <t>MD71076</t>
  </si>
  <si>
    <t>92C.93.30.0</t>
  </si>
  <si>
    <t>Obstructing powers of search etc or concealing drugs etc</t>
  </si>
  <si>
    <t>093/30</t>
  </si>
  <si>
    <t>Misuse of Drugs Act 1971 Sec 23(4)</t>
  </si>
  <si>
    <t>92D.92.68.0</t>
  </si>
  <si>
    <t>Having possession of a controlled drug - Class C - Other</t>
  </si>
  <si>
    <t>092/68</t>
  </si>
  <si>
    <t>MD71022</t>
  </si>
  <si>
    <t>92D.92.69.0</t>
  </si>
  <si>
    <t>Having possession of a controlled drug - Class unspecified</t>
  </si>
  <si>
    <t>092/69</t>
  </si>
  <si>
    <t>92E.92.66.0</t>
  </si>
  <si>
    <t>POSSESS CANNABIS A CLASS C CONTROLLED DRUG</t>
  </si>
  <si>
    <t>092/66</t>
  </si>
  <si>
    <t>S.5(2) &amp; SCH.4 MISUSE OF DRUGS ACT 1971</t>
  </si>
  <si>
    <t>99.78.7.0</t>
  </si>
  <si>
    <t>Obtain benefits or advantage for himself or anyone else by making dishonest representations</t>
  </si>
  <si>
    <t xml:space="preserve">tariff varies significantly depending on amount defrauded. </t>
  </si>
  <si>
    <t>https://www.sentencingcouncil.org.uk/offences/magistrates-court/item/benefit-fraud/</t>
  </si>
  <si>
    <t>078/07</t>
  </si>
  <si>
    <t>Immigration and Asylum Act 1999 Sec 102(1), (2)</t>
  </si>
  <si>
    <t>99.825.24.1</t>
  </si>
  <si>
    <t>Without lawful authority immobilise a motor vehicle by the attachment to or part of it an immobilising device</t>
  </si>
  <si>
    <t xml:space="preserve">Guidelines in law are for a fine. Suggest Band A fine. </t>
  </si>
  <si>
    <t>http://www.legislation.gov.uk/ukpga/2012/9/part/3/chapter/2/enacted?view=plain</t>
  </si>
  <si>
    <t>825/24</t>
  </si>
  <si>
    <t>Protection of Freedom Act 2012 Sec 54 (1) (a) 5</t>
  </si>
  <si>
    <t>9A.125.12.0</t>
  </si>
  <si>
    <t>Harassment, alarm or distress (S5 POA)</t>
  </si>
  <si>
    <t>Sec 5 POA Harassment, alarm or distress</t>
  </si>
  <si>
    <t>9A.125.12.0A</t>
  </si>
  <si>
    <t>Attempted - Harassment, alarm or distress (S5 POA)</t>
  </si>
  <si>
    <t>Attempted - Sec 5 POA Harassment, alarm or distress</t>
  </si>
  <si>
    <t>Public Order Act 1986 Sec 5</t>
  </si>
  <si>
    <t>NN.104.33.0</t>
  </si>
  <si>
    <t>Police Act 1996 - Resisting or obstructing a constable in execution of duty</t>
  </si>
  <si>
    <t>one month custody</t>
  </si>
  <si>
    <t>104/33</t>
  </si>
  <si>
    <t>PL96003</t>
  </si>
  <si>
    <t>NN.104.40.0</t>
  </si>
  <si>
    <t>Resisting or obstructing constables; offences against provisions in Local Acts (other than 104/31, 33 &amp; 34) - Resisting or obstructing constables in execution of duty</t>
  </si>
  <si>
    <t>104/40</t>
  </si>
  <si>
    <t>Resisting or obstructing constables; offences against provisions in Local Acts (other than 104/31, 33 &amp; 34)</t>
  </si>
  <si>
    <t>PH98020</t>
  </si>
  <si>
    <t>NN.111.17.0</t>
  </si>
  <si>
    <t>Dangerous Dogs Act 1991 - Possession, without exemption, of a Pit Bull Terrier, Japanese Tosa or other designated fighting dog</t>
  </si>
  <si>
    <t>https://www.sentencingcouncil.org.uk/offences/magistrates-court/item/possession-of-a-prohibited-dog-breeding-selling-exchanging-or-advertising-a-prohibited-dog/</t>
  </si>
  <si>
    <t>111/17</t>
  </si>
  <si>
    <t>Dangerous Dogs Act 1991 S.1(3)</t>
  </si>
  <si>
    <t>DD91013</t>
  </si>
  <si>
    <t>NN.111.18.0</t>
  </si>
  <si>
    <t>Dangerous Dogs Act 1991, Owner or person in charge allowing dog to be dangerously out of control in a public place, no injury being caused</t>
  </si>
  <si>
    <t>111/18</t>
  </si>
  <si>
    <t>Dangerous Dogs Act 1991 S.3 (1)</t>
  </si>
  <si>
    <t>DD91015</t>
  </si>
  <si>
    <t>NN.111.19.0</t>
  </si>
  <si>
    <t>Dangerous Dogs Act 1991, Owner or person in charge allowing dog to enter a non- public place causing reasonable apprehension of injury to a person</t>
  </si>
  <si>
    <t>111/19</t>
  </si>
  <si>
    <t>Dangerous Dogs Act 1991 S.3(3)</t>
  </si>
  <si>
    <t>DD91017</t>
  </si>
  <si>
    <t>NN.111.2.2</t>
  </si>
  <si>
    <t>Dangerous Dogs Act 1989 - Having custody of dog in breach of disqualification order</t>
  </si>
  <si>
    <t>https://www.sentencingcouncil.org.uk/offences/magistrates-court/item/breach-of-disqualification-from-keeping-an-animal/</t>
  </si>
  <si>
    <t>111/02</t>
  </si>
  <si>
    <t>Dangerous Dogs Act 1989 S.1(6)</t>
  </si>
  <si>
    <t>DD89003</t>
  </si>
  <si>
    <t>NN.111.25.0</t>
  </si>
  <si>
    <t>Owner / person in charge of a dog dangerously out of control - no injury</t>
  </si>
  <si>
    <t>111/25</t>
  </si>
  <si>
    <t>Dangerous Dogs Act 1991</t>
  </si>
  <si>
    <t>DD91033</t>
  </si>
  <si>
    <t>NN.111.5.0</t>
  </si>
  <si>
    <t>Dogs (Protection of Livestock) Act 1953, Dogs worrying livestock on agricultural land</t>
  </si>
  <si>
    <t>Dog out of control  (no injury)</t>
  </si>
  <si>
    <t>111/05</t>
  </si>
  <si>
    <t>Dogs (Protection of Livestock) Act 1953</t>
  </si>
  <si>
    <t>NN.119.1.0</t>
  </si>
  <si>
    <t>Game Act 1831 as amended by Criminal Justice and Public order Act 1994, Game Act 1831 : Day poaching</t>
  </si>
  <si>
    <t>Law = fine -&gt; suggest starting at a band A</t>
  </si>
  <si>
    <t xml:space="preserve">Fine not exceeding L5 </t>
  </si>
  <si>
    <t>119/01</t>
  </si>
  <si>
    <t>Game Act 1831 as amended by Criminal Justice and Public order Act 1994 S.30 - S.32</t>
  </si>
  <si>
    <t>NN.120.1.1</t>
  </si>
  <si>
    <t>Poaching Prevention Act 1862, Coming from land in possession of game which has been unlawfully obtained or with gun or net</t>
  </si>
  <si>
    <t>120/01</t>
  </si>
  <si>
    <t>Poaching Prevention Act 1862</t>
  </si>
  <si>
    <t>NN.121.16.0</t>
  </si>
  <si>
    <t>Hunting Act 2004 - Participating in a hare coursing event</t>
  </si>
  <si>
    <t>121/16</t>
  </si>
  <si>
    <t>Hunting Act 2004 SS.5(1)(a) &amp; 6</t>
  </si>
  <si>
    <t>HA04004</t>
  </si>
  <si>
    <t>NN.122.7.1</t>
  </si>
  <si>
    <t>Highways Act 1980 , Obstructions other than those caused by vehicles</t>
  </si>
  <si>
    <t>Fine not exceeding L3</t>
  </si>
  <si>
    <t>http://www.legislation.gov.uk/ukpga/1980/66/part/IX/crossheading/obstruction-of-highways-and-streets</t>
  </si>
  <si>
    <t>122/07</t>
  </si>
  <si>
    <t>Highways Act 1980  S.137 (1)</t>
  </si>
  <si>
    <t>NN.123.1.0</t>
  </si>
  <si>
    <t>Explosives Act 1875 - Throwing, casting or firing any fireworks in or into any highway, street, public place etc</t>
  </si>
  <si>
    <t>https://www.legislation.gov.uk/ukpga/Vict/38-39/17/section/80?view=plain</t>
  </si>
  <si>
    <t>123/01</t>
  </si>
  <si>
    <t>Explosives Act 1875 S.80*</t>
  </si>
  <si>
    <t>EP75005</t>
  </si>
  <si>
    <t>NN.125.34.0</t>
  </si>
  <si>
    <t>Criminal Justice and Public Order Act 1994, Failure to leave land when directed or returning within three months of the direction (Aggravated Trespass)</t>
  </si>
  <si>
    <t>3 months, Level 4 fine or both</t>
  </si>
  <si>
    <t>http://www.legislation.gov.uk/ukpga/1994/33/section/68</t>
  </si>
  <si>
    <t>125/34</t>
  </si>
  <si>
    <t>Criminal Justice and Public Order Act 1994 S.69</t>
  </si>
  <si>
    <t>NN.125.39.0</t>
  </si>
  <si>
    <t>Criminal Justice and Immigration Act 2008 - Without reasonable excuse causing a nuisance or disturbance on NHS premises</t>
  </si>
  <si>
    <t>https://www.legislation.gov.uk/ukpga/2008/4/part/8/crossheading/nuisance-or-disturbance-on-hospital-premises?view=plain</t>
  </si>
  <si>
    <t>125/39</t>
  </si>
  <si>
    <t>Criminal Justice and Immigration Act 2008 S.119</t>
  </si>
  <si>
    <t>CJ08012</t>
  </si>
  <si>
    <t>NN.137.12.0</t>
  </si>
  <si>
    <t>Road Traffic Act 1988 , Careless riding by pedal cyclist</t>
  </si>
  <si>
    <t>Suggest a fine? -&gt; Seems to be dealt with mostly as a warning and FPN</t>
  </si>
  <si>
    <t>Band A fine/FPN</t>
  </si>
  <si>
    <t>£1,000 fine</t>
  </si>
  <si>
    <t>137/12</t>
  </si>
  <si>
    <t>NN.137.6.0</t>
  </si>
  <si>
    <t>Road Traffic Act 1988 , Bicycle, more than one person carried</t>
  </si>
  <si>
    <t>137/06</t>
  </si>
  <si>
    <t>NN.141.1.0</t>
  </si>
  <si>
    <t>Criminal Justice Act 1967 - Being guilty of disorderly behaviour in any public place while drunk (PENALTY OFFENCE under S1 Criminal Justice and Police Act 2001)</t>
  </si>
  <si>
    <t>Drunk and disorderly in a public place</t>
  </si>
  <si>
    <t>https://www.sentencingcouncil.org.uk/offences/magistrates-court/item/drunk-and-disorderly-in-a-public-place-revised-2017/</t>
  </si>
  <si>
    <t>141/01</t>
  </si>
  <si>
    <t>141</t>
  </si>
  <si>
    <t>Criminal Justice Act 1967 S.91 (1)</t>
  </si>
  <si>
    <t>CJ67002</t>
  </si>
  <si>
    <t>NN.141.12.0</t>
  </si>
  <si>
    <t>Licensing Act 1902 - Being drunk in any Highway or other public place or on licensed premises while having charge of a child under seven years</t>
  </si>
  <si>
    <t xml:space="preserve">Suggest a fine? </t>
  </si>
  <si>
    <t>1 month/L2 fine</t>
  </si>
  <si>
    <t>http://www.legislation.gov.uk/ukpga/Edw7/2/28/section/2/enacted/data.xht?wrap=true</t>
  </si>
  <si>
    <t>141/12</t>
  </si>
  <si>
    <t>Licensing Act 1902</t>
  </si>
  <si>
    <t>LG02001</t>
  </si>
  <si>
    <t>NN.156.11.0</t>
  </si>
  <si>
    <t>Wildlife and Countryside Act 1981 added by Natural Environment and Rural Communities Act 2006 - Change of owner or occupier in area of special scientific interest failing to with requirements</t>
  </si>
  <si>
    <t>Predominantly dealt with through warnings - then fines if the error isn't remedied. Suggest Band A fine</t>
  </si>
  <si>
    <t>https://assets.publishing.service.gov.uk/government/uploads/system/uploads/attachment_data/file/769268/enforcement-annual-report-2017-18.pdf</t>
  </si>
  <si>
    <t>156/11</t>
  </si>
  <si>
    <t>156</t>
  </si>
  <si>
    <t>Wildlife and Countryside Act 1981 added by Natural Environment and Rural Communities Act 2006</t>
  </si>
  <si>
    <t>WC81278</t>
  </si>
  <si>
    <t>NN.162.10.1</t>
  </si>
  <si>
    <t>Local Government Act 1972, Offences against Byelaws made under these sections (except Public Health and Highways Byelaws):-Disorderly behaviour</t>
  </si>
  <si>
    <t xml:space="preserve">Used Drunk and disorderly </t>
  </si>
  <si>
    <t>162/10</t>
  </si>
  <si>
    <t>162</t>
  </si>
  <si>
    <t>Local Government Act 1972 SS.235 &amp; 237</t>
  </si>
  <si>
    <t>NN.164.3.0</t>
  </si>
  <si>
    <t>Town Police Clauses Act 1847 - Indecent behaviour in police station</t>
  </si>
  <si>
    <t xml:space="preserve">Suggest minor public order offence? </t>
  </si>
  <si>
    <t>fine of 40 shillings or 7 days jail</t>
  </si>
  <si>
    <t>164/03</t>
  </si>
  <si>
    <t>164</t>
  </si>
  <si>
    <t>Town Police Clauses Act 1847</t>
  </si>
  <si>
    <t>TP47015</t>
  </si>
  <si>
    <t>NN.169.1.5</t>
  </si>
  <si>
    <t>Regulation of Railways Act 1868 - Trespassing on railway</t>
  </si>
  <si>
    <t>Appears to be dealt with through FPN, suggest Band A fine</t>
  </si>
  <si>
    <t>1 month/L3 fine/£1000</t>
  </si>
  <si>
    <t>169/01</t>
  </si>
  <si>
    <t>169</t>
  </si>
  <si>
    <t>Regulation of Railways Act 1868</t>
  </si>
  <si>
    <t>RW68001</t>
  </si>
  <si>
    <t>NN.182.0.1</t>
  </si>
  <si>
    <t>Vagrancy Act 1824 - Begging: second conviction as an idle and disorderly person</t>
  </si>
  <si>
    <t xml:space="preserve">Public order offence </t>
  </si>
  <si>
    <t>182/00</t>
  </si>
  <si>
    <t>182</t>
  </si>
  <si>
    <t>VG24013</t>
  </si>
  <si>
    <t>NN.185.1.0</t>
  </si>
  <si>
    <t>Vagrancy Act 1824 - Being on enclosed premises for an unlawful purpose</t>
  </si>
  <si>
    <t>http://www.legislation.gov.uk/ukpga/Geo4/5/83/section/4</t>
  </si>
  <si>
    <t>185/01</t>
  </si>
  <si>
    <t>185</t>
  </si>
  <si>
    <t>VG24018</t>
  </si>
  <si>
    <t>NN.188.99.0</t>
  </si>
  <si>
    <t>Vagrancy Act 1824, Peddlers; trading prostitutes; begging alms; idle and disorderly persons</t>
  </si>
  <si>
    <t>One month (with hard labour)</t>
  </si>
  <si>
    <t>188/99</t>
  </si>
  <si>
    <t>NN.194.1.0</t>
  </si>
  <si>
    <t>Immigration Act 1971, Non-citizen entering UK in breach of a deportation order</t>
  </si>
  <si>
    <t>Suggest a fine? -&gt; Probable action appears to be deportation</t>
  </si>
  <si>
    <t>194/01</t>
  </si>
  <si>
    <t>194</t>
  </si>
  <si>
    <t>Immigration Act 1971 S.24(1)(a)</t>
  </si>
  <si>
    <t>NN.194.2.0</t>
  </si>
  <si>
    <t>Immigration Act 1971 - Non citizen entering UK without leave</t>
  </si>
  <si>
    <t>194/02</t>
  </si>
  <si>
    <t>Immigration Act 1971 S.24 (1) (a)</t>
  </si>
  <si>
    <t>IM71002</t>
  </si>
  <si>
    <t>NN.195.46.1</t>
  </si>
  <si>
    <t>Prison Act 1952 added by Offender Management Act 2007, Conveyance etc of List C articles into or out of prison</t>
  </si>
  <si>
    <t>http://www.legislation.gov.uk/ukpga/2007/21/section/22</t>
  </si>
  <si>
    <t>195/46</t>
  </si>
  <si>
    <t>Prison Act 1952 added by Offender Management Act 2007</t>
  </si>
  <si>
    <t>NN.195.50.0</t>
  </si>
  <si>
    <t>Refuse Disposal (Amenity) Act 1978 , Dumping</t>
  </si>
  <si>
    <t xml:space="preserve">Fine L4/3 months </t>
  </si>
  <si>
    <t>http://www.legislation.gov.uk/ukpga/1978/3</t>
  </si>
  <si>
    <t>195/50</t>
  </si>
  <si>
    <t>Refuse Disposal (Amenity) Act 1978</t>
  </si>
  <si>
    <t>RD78005</t>
  </si>
  <si>
    <t>NN.195.53.0</t>
  </si>
  <si>
    <t>Criminal Law Act 1967 - Causing wasteful employment of the police etc</t>
  </si>
  <si>
    <t>Obstruct PC</t>
  </si>
  <si>
    <t>L4 fine, 6 months or both</t>
  </si>
  <si>
    <t>http://www.legislation.gov.uk/ukpga/1967/58/section/5</t>
  </si>
  <si>
    <t>195/53</t>
  </si>
  <si>
    <t>Criminal Law Act 1967 S.5(2)</t>
  </si>
  <si>
    <t>CL67008</t>
  </si>
  <si>
    <t>RL89210</t>
  </si>
  <si>
    <t>RL89301</t>
  </si>
  <si>
    <t>RL89302</t>
  </si>
  <si>
    <t>RL89306</t>
  </si>
  <si>
    <t>RL89375</t>
  </si>
  <si>
    <t>RL89376</t>
  </si>
  <si>
    <t>RL89377</t>
  </si>
  <si>
    <t>RL89378</t>
  </si>
  <si>
    <t>RL89379</t>
  </si>
  <si>
    <t>RL89423</t>
  </si>
  <si>
    <t>RL89424</t>
  </si>
  <si>
    <t>RL89425</t>
  </si>
  <si>
    <t>RL89426</t>
  </si>
  <si>
    <t>RL89442</t>
  </si>
  <si>
    <t>RL89445</t>
  </si>
  <si>
    <t>RL89451</t>
  </si>
  <si>
    <t>RL89458</t>
  </si>
  <si>
    <t>RL89459</t>
  </si>
  <si>
    <t>RL89460</t>
  </si>
  <si>
    <t>RL89461</t>
  </si>
  <si>
    <t>RL89462</t>
  </si>
  <si>
    <t>RL89463</t>
  </si>
  <si>
    <t>RL89464</t>
  </si>
  <si>
    <t>RL89465</t>
  </si>
  <si>
    <t>RL89466</t>
  </si>
  <si>
    <t>RL89467</t>
  </si>
  <si>
    <t>RL89468</t>
  </si>
  <si>
    <t>RL89469</t>
  </si>
  <si>
    <t>RL89470</t>
  </si>
  <si>
    <t>RL89601</t>
  </si>
  <si>
    <t>RL89602</t>
  </si>
  <si>
    <t>RL89606</t>
  </si>
  <si>
    <t>RL89675</t>
  </si>
  <si>
    <t>RL89676</t>
  </si>
  <si>
    <t>RL89677</t>
  </si>
  <si>
    <t>RL89678</t>
  </si>
  <si>
    <t>RL89679</t>
  </si>
  <si>
    <t>RL89723</t>
  </si>
  <si>
    <t>RL89724</t>
  </si>
  <si>
    <t>RL89725</t>
  </si>
  <si>
    <t>RL89726</t>
  </si>
  <si>
    <t>RL89742</t>
  </si>
  <si>
    <t>RL89745</t>
  </si>
  <si>
    <t>RL89751</t>
  </si>
  <si>
    <t>RL89758</t>
  </si>
  <si>
    <t>RL89759</t>
  </si>
  <si>
    <t>RL89760</t>
  </si>
  <si>
    <t>RL89761</t>
  </si>
  <si>
    <t>RL89762</t>
  </si>
  <si>
    <t>RL89763</t>
  </si>
  <si>
    <t>RL89764</t>
  </si>
  <si>
    <t>RL89765</t>
  </si>
  <si>
    <t>RL89766</t>
  </si>
  <si>
    <t>RL89767</t>
  </si>
  <si>
    <t>RL89768</t>
  </si>
  <si>
    <t>VE94096</t>
  </si>
  <si>
    <t>VE94097</t>
  </si>
  <si>
    <t>VE94098</t>
  </si>
  <si>
    <t>NN.195.78.0</t>
  </si>
  <si>
    <t>Treasure Act 1996 , Failure by person finding an object which he believes or has reasonable grounds for believing is treasure to notify coroner for the district in which the object was found before the end of the notice period</t>
  </si>
  <si>
    <t>Treasure Act 1996, Failure by person finding an object which he believes or has reasonable grounds for believing is treasure to notify coroner for the district in which the object was found before the end of the notice period</t>
  </si>
  <si>
    <t xml:space="preserve">Fine L5/3 months </t>
  </si>
  <si>
    <t>https://www.legislation.gov.uk/ukpga/1996/24/section/8?view=plain</t>
  </si>
  <si>
    <t>195/78</t>
  </si>
  <si>
    <t>Treasure Act 1996</t>
  </si>
  <si>
    <t>NN.195.93.0</t>
  </si>
  <si>
    <t>Police Act 1996 - Person not being a member of police force or special constable having in possession any article of police uniform gained unlawfully (impersonation)</t>
  </si>
  <si>
    <t>Suggest fine?</t>
  </si>
  <si>
    <t xml:space="preserve">6 months, L5 fine or both or L1 fine if the offence is just possession of an article. </t>
  </si>
  <si>
    <t>195/93</t>
  </si>
  <si>
    <t>PL96007</t>
  </si>
  <si>
    <t>NN.195.99.130</t>
  </si>
  <si>
    <t>Representation of the People Act 1983, Other voting offences</t>
  </si>
  <si>
    <t>Mostly dealt with via police caution/NFA. Suggest Band A fine</t>
  </si>
  <si>
    <t>https://www.electoralcommission.org.uk/sites/default/files/pdf_file/Fraud-allegations-data-report-2017.pdf</t>
  </si>
  <si>
    <t>195/99</t>
  </si>
  <si>
    <t>Representation of the People Act 1983</t>
  </si>
  <si>
    <t>NN.195.99.137</t>
  </si>
  <si>
    <t>Tattooing of Minors Act 1969 - Tattooing person under eighteen other than for medical reasons</t>
  </si>
  <si>
    <t>Suggest Fine?</t>
  </si>
  <si>
    <t>L 3 fine</t>
  </si>
  <si>
    <t>http://www.legislation.gov.uk/ukpga/1969/24</t>
  </si>
  <si>
    <t>Tattooing of Minors Act 1969</t>
  </si>
  <si>
    <t>TM69001</t>
  </si>
  <si>
    <t>NN.195.99.71</t>
  </si>
  <si>
    <t>Gender Recognition Act 2004 - Having acquired protected information in an official capacity disclosing that information</t>
  </si>
  <si>
    <t>http://www.legislation.gov.uk/ukpga/2004/7/section/22</t>
  </si>
  <si>
    <t>Gender Recognition Act 2004</t>
  </si>
  <si>
    <t>GR04001</t>
  </si>
  <si>
    <t>NN.196.73.0</t>
  </si>
  <si>
    <t>Emergency Workers (Obstruction) Act 2006, Obstructing or hindering another while he or she is responding to or assisting a third person responding in S1(2) capacity to emergency circumstances</t>
  </si>
  <si>
    <t>L5 fine</t>
  </si>
  <si>
    <t>http://www.legislation.gov.uk/ukpga/2006/39</t>
  </si>
  <si>
    <t>196/73</t>
  </si>
  <si>
    <t>Emergency Workers (Obstruction) Act 2006 SS.1, 2 &amp; 4</t>
  </si>
  <si>
    <t>NN.804.1.0</t>
  </si>
  <si>
    <t>Road Traffic Act 1988, Careless driving, without due care or attention</t>
  </si>
  <si>
    <t>804/01</t>
  </si>
  <si>
    <t>NN.804.3.0</t>
  </si>
  <si>
    <t>Road Vehicles (Construction &amp; Use) Regulations 1986 - Using hand held mobile phone while driving</t>
  </si>
  <si>
    <t>Band A fine + 6 points</t>
  </si>
  <si>
    <t>804/03</t>
  </si>
  <si>
    <t>Road Vehicles (Construction &amp; Use) Regulations 1986</t>
  </si>
  <si>
    <t>RC86321</t>
  </si>
  <si>
    <t>NN.807.2.0</t>
  </si>
  <si>
    <t>Road Traffic Act 1988 as amended by Road Traffic Act 1991, Motor Vehicles (Driving Licences) Regulations 1999 , Driving, causing or permitting a person to drive other than in accordance with a licence (full or provisional) (except HGV)</t>
  </si>
  <si>
    <t>Road Traffic Act 1988 as amended by Road Traffic Act 1991, Motor Vehicles (Driving Licences) Regulations 1999, Driving, causing or permitting a person to drive other than in accordance with a licence (full or provisional) (except HGV)</t>
  </si>
  <si>
    <t>Band A fine + 3 points</t>
  </si>
  <si>
    <t>L3 fine/ 6 points</t>
  </si>
  <si>
    <t>807/02</t>
  </si>
  <si>
    <t>Road Traffic Act 1988 as amended by Road Traffic Act 1991 - Motor Vehicles (Driving Licences) Regulations 1999</t>
  </si>
  <si>
    <t>NN.809.3.0</t>
  </si>
  <si>
    <t>Road Traffic Act 1988 added by Road Safety Act 2006 - Keeping vehicle which does not meet insurance requirements</t>
  </si>
  <si>
    <t>FPN £100</t>
  </si>
  <si>
    <t>http://www.legislation.gov.uk/ukpga/2006/49/section/22</t>
  </si>
  <si>
    <t>809/03</t>
  </si>
  <si>
    <t>Road Traffic Act 1988 added by Road Safety Act 2006</t>
  </si>
  <si>
    <t>RT88569</t>
  </si>
  <si>
    <t>NN.809.90.1</t>
  </si>
  <si>
    <t>Road Traffic Act 1988, Failing to produce insurance certificate (not after accident)</t>
  </si>
  <si>
    <t>https://www.sentencingcouncil.org.uk/offences/magistrates-court/item/offences-appropriate-for-imposition-of-fine-or-discharge/</t>
  </si>
  <si>
    <t>809/90</t>
  </si>
  <si>
    <t>NN.809.90.6</t>
  </si>
  <si>
    <t>Road Traffic Act 1988 - Failing to produce certificate of insurance after accident</t>
  </si>
  <si>
    <t>RT88223</t>
  </si>
  <si>
    <t>NN.810.90.9</t>
  </si>
  <si>
    <t>Vehicle Excise and Registration Act 1994 , Contravention of regulations made under this Act other than regulations made under Sections 24, 26, 27 &amp; 28</t>
  </si>
  <si>
    <t>Vehicle registration</t>
  </si>
  <si>
    <t>https://www.sentencingcouncil.org.uk/offences/magistrates-court/item/offences-appropriate-for-imposition-of-fine-or-discharge/part-2-offences-concerning-the-vehicle/</t>
  </si>
  <si>
    <t>Vehicle Excise and Registration Act 1994</t>
  </si>
  <si>
    <t>NN.813.0.14</t>
  </si>
  <si>
    <t>Road Traffic Act 1988, Using vehicle without test certificate</t>
  </si>
  <si>
    <t>813/00</t>
  </si>
  <si>
    <t>813</t>
  </si>
  <si>
    <t>NN.818.1.0</t>
  </si>
  <si>
    <t>Road Traffic Act 1988 , Failing to comply with traffic signals/signs (motor vehicles), offences NOT detected by camera devices</t>
  </si>
  <si>
    <t>818/01</t>
  </si>
  <si>
    <t>NN.821.0.1</t>
  </si>
  <si>
    <t>Road Vehicle Lighting Regulations 1989, All lighting offences and all rear marking offences in respect of motor vehicles</t>
  </si>
  <si>
    <t>821/00</t>
  </si>
  <si>
    <t>821</t>
  </si>
  <si>
    <t>Road Vehicle Lighting Regulations 1989</t>
  </si>
  <si>
    <t>NN.820.90.0</t>
  </si>
  <si>
    <t>Highway Act 1835 (as amended), Wilful or unnecessary obstruction</t>
  </si>
  <si>
    <t xml:space="preserve">FPN - range from £30-50 </t>
  </si>
  <si>
    <t>https://www.legislation.gov.uk/ukpga/1980/66/part/IX/crossheading/obstruction-of-highways-and-streets/enacted?view=plain</t>
  </si>
  <si>
    <t>820/90</t>
  </si>
  <si>
    <t>820</t>
  </si>
  <si>
    <t>Highway Act 1835 (as amended) SS.72 &amp; 78</t>
  </si>
  <si>
    <t>NN.820.90.1</t>
  </si>
  <si>
    <t>Highways Act 1980 - Wilful or unnecessary obstruction by motor vehicles</t>
  </si>
  <si>
    <t>HY80020</t>
  </si>
  <si>
    <t>NN.195.21.0</t>
  </si>
  <si>
    <t>Common Law, Breach of the Peace</t>
  </si>
  <si>
    <t xml:space="preserve">Bind a PIC to "keep the peace" -&gt; if they don't then there is a monetary penalty. There is no initial penalty attached to this but to the breach. Suggest 0.1?  </t>
  </si>
  <si>
    <t>https://www.sentencingcouncil.org.uk/explanatory-material/magistrates-court/item/ancillary-orders/3-binding-over-orders/</t>
  </si>
  <si>
    <t>195/21</t>
  </si>
  <si>
    <t>Common Law COML060-61</t>
  </si>
  <si>
    <t>NN.195.79.0</t>
  </si>
  <si>
    <t>Criminal Justice Act 1991added by Crime and Disorder Act 1998, Failure to comply with conditions specified on licence (release following recall to prison)</t>
  </si>
  <si>
    <t>Breaking the conditions may not mean technically a criminal offence has been committed. The PIC may receive a warning or immediate recall to prison.</t>
  </si>
  <si>
    <t>195/79</t>
  </si>
  <si>
    <t>Criminal Justice Act 1991added byCrime and Disorder Act 1998 S.40A</t>
  </si>
  <si>
    <t>COML025C</t>
  </si>
  <si>
    <t>COML026C</t>
  </si>
  <si>
    <t>IC01001B</t>
  </si>
  <si>
    <t>IC01001C</t>
  </si>
  <si>
    <t>IC01002B</t>
  </si>
  <si>
    <t>IC01002C</t>
  </si>
  <si>
    <t>OF61003</t>
  </si>
  <si>
    <t>OF61003A</t>
  </si>
  <si>
    <t>IC01001</t>
  </si>
  <si>
    <t>IC01002</t>
  </si>
  <si>
    <t>COML025A</t>
  </si>
  <si>
    <t>COML026A</t>
  </si>
  <si>
    <t>SX03013</t>
  </si>
  <si>
    <t>SX03013B</t>
  </si>
  <si>
    <t>SX03014B</t>
  </si>
  <si>
    <t>SX03001A</t>
  </si>
  <si>
    <t>SX03001B</t>
  </si>
  <si>
    <t>SX56070A</t>
  </si>
  <si>
    <t>SX03001</t>
  </si>
  <si>
    <t>SX03001C</t>
  </si>
  <si>
    <t>SX56070</t>
  </si>
  <si>
    <t>SX56070B</t>
  </si>
  <si>
    <t>SX56070C</t>
  </si>
  <si>
    <t>SX03003A</t>
  </si>
  <si>
    <t>SX56072A</t>
  </si>
  <si>
    <t>SX03003</t>
  </si>
  <si>
    <t>SX56072</t>
  </si>
  <si>
    <t>SX03002</t>
  </si>
  <si>
    <t>SX03002C</t>
  </si>
  <si>
    <t>SX56071C</t>
  </si>
  <si>
    <t>SX03065</t>
  </si>
  <si>
    <t>SX03065C</t>
  </si>
  <si>
    <t>SX03021</t>
  </si>
  <si>
    <t>SX03021A</t>
  </si>
  <si>
    <t>AS14012</t>
  </si>
  <si>
    <t>AS14013</t>
  </si>
  <si>
    <t>AT01018</t>
  </si>
  <si>
    <t>AT01019</t>
  </si>
  <si>
    <t>AT01020</t>
  </si>
  <si>
    <t>AT01022</t>
  </si>
  <si>
    <t>AT01034</t>
  </si>
  <si>
    <t>OF61022</t>
  </si>
  <si>
    <t>OF61031</t>
  </si>
  <si>
    <t>OF61051</t>
  </si>
  <si>
    <t>OF61058</t>
  </si>
  <si>
    <t>OF61059</t>
  </si>
  <si>
    <t>OF61063</t>
  </si>
  <si>
    <t>OF61073</t>
  </si>
  <si>
    <t>OF61074</t>
  </si>
  <si>
    <t>OF61075</t>
  </si>
  <si>
    <t>OF61076</t>
  </si>
  <si>
    <t>OF61128</t>
  </si>
  <si>
    <t>OF61129</t>
  </si>
  <si>
    <t>OF61130</t>
  </si>
  <si>
    <t>FI68068</t>
  </si>
  <si>
    <t>FI68069</t>
  </si>
  <si>
    <t>FI68072</t>
  </si>
  <si>
    <t>FI68073</t>
  </si>
  <si>
    <t>FI68076</t>
  </si>
  <si>
    <t>FI68077</t>
  </si>
  <si>
    <t>FI68080</t>
  </si>
  <si>
    <t>FI68081</t>
  </si>
  <si>
    <t>FI68084</t>
  </si>
  <si>
    <t>FI68085</t>
  </si>
  <si>
    <t>FI68320</t>
  </si>
  <si>
    <t>FI68320A</t>
  </si>
  <si>
    <t>FI68321</t>
  </si>
  <si>
    <t>FI68036</t>
  </si>
  <si>
    <t>FI68037</t>
  </si>
  <si>
    <t>FI68039</t>
  </si>
  <si>
    <t>FI68040</t>
  </si>
  <si>
    <t>FI68042</t>
  </si>
  <si>
    <t>FI68043</t>
  </si>
  <si>
    <t>FI68045</t>
  </si>
  <si>
    <t>FI68046</t>
  </si>
  <si>
    <t>FI68229</t>
  </si>
  <si>
    <t>FI68230</t>
  </si>
  <si>
    <t>FI68232</t>
  </si>
  <si>
    <t>FI68233</t>
  </si>
  <si>
    <t>FI68235</t>
  </si>
  <si>
    <t>FI68236</t>
  </si>
  <si>
    <t>FI68238</t>
  </si>
  <si>
    <t>FI68239</t>
  </si>
  <si>
    <t>FI68241</t>
  </si>
  <si>
    <t>FI68242</t>
  </si>
  <si>
    <t>FI68244</t>
  </si>
  <si>
    <t>FI68245</t>
  </si>
  <si>
    <t>FI68253</t>
  </si>
  <si>
    <t>FI68254</t>
  </si>
  <si>
    <t>FI68255</t>
  </si>
  <si>
    <t>FI68328</t>
  </si>
  <si>
    <t>FI68329</t>
  </si>
  <si>
    <t>FI68330</t>
  </si>
  <si>
    <t>FI68331</t>
  </si>
  <si>
    <t>FI68332</t>
  </si>
  <si>
    <t>FI68333</t>
  </si>
  <si>
    <t>FI68334</t>
  </si>
  <si>
    <t>FI68335</t>
  </si>
  <si>
    <t>FI68336</t>
  </si>
  <si>
    <t>FI68337</t>
  </si>
  <si>
    <t>FI68338</t>
  </si>
  <si>
    <t>SX03002A</t>
  </si>
  <si>
    <t>SX56071A</t>
  </si>
  <si>
    <t>SX03004</t>
  </si>
  <si>
    <t>SX56073</t>
  </si>
  <si>
    <t>SX03004A</t>
  </si>
  <si>
    <t>SX56073A</t>
  </si>
  <si>
    <t>TH68091</t>
  </si>
  <si>
    <t>TH68092</t>
  </si>
  <si>
    <t>TH68093</t>
  </si>
  <si>
    <t>TH68162</t>
  </si>
  <si>
    <t>TH68163</t>
  </si>
  <si>
    <t>TH68164</t>
  </si>
  <si>
    <t>FI68059</t>
  </si>
  <si>
    <t>FI68059C</t>
  </si>
  <si>
    <t>FI68063</t>
  </si>
  <si>
    <t>OF61016</t>
  </si>
  <si>
    <t>OF61016A</t>
  </si>
  <si>
    <t>OF61017</t>
  </si>
  <si>
    <t>OF61017A</t>
  </si>
  <si>
    <t>OF61017C</t>
  </si>
  <si>
    <t>OF61018</t>
  </si>
  <si>
    <t>OF61019</t>
  </si>
  <si>
    <t>CH84003</t>
  </si>
  <si>
    <t>CH84003A</t>
  </si>
  <si>
    <t>CH84004</t>
  </si>
  <si>
    <t>CH84005</t>
  </si>
  <si>
    <t>CH84006</t>
  </si>
  <si>
    <t>OF61107</t>
  </si>
  <si>
    <t>OF61108</t>
  </si>
  <si>
    <t>SX03015</t>
  </si>
  <si>
    <t>SX03015A</t>
  </si>
  <si>
    <t>COML020</t>
  </si>
  <si>
    <t>COML020A</t>
  </si>
  <si>
    <t>COML020C</t>
  </si>
  <si>
    <t>EX83009</t>
  </si>
  <si>
    <t>EX83010</t>
  </si>
  <si>
    <t>OF61115</t>
  </si>
  <si>
    <t>OF61116</t>
  </si>
  <si>
    <t>FG03001</t>
  </si>
  <si>
    <t>FG03002</t>
  </si>
  <si>
    <t>FG03003</t>
  </si>
  <si>
    <t>SX03068</t>
  </si>
  <si>
    <t>SX03068C</t>
  </si>
  <si>
    <t>RT88025</t>
  </si>
  <si>
    <t>RT88500</t>
  </si>
  <si>
    <t>FI68088</t>
  </si>
  <si>
    <t>FI68377</t>
  </si>
  <si>
    <t>SX03006</t>
  </si>
  <si>
    <t>SX03006B</t>
  </si>
  <si>
    <t>SX03005</t>
  </si>
  <si>
    <t>SX03005B</t>
  </si>
  <si>
    <t>SX03019</t>
  </si>
  <si>
    <t>SX03019A</t>
  </si>
  <si>
    <t>SX03019C</t>
  </si>
  <si>
    <t>SX03020</t>
  </si>
  <si>
    <t>SX03020C</t>
  </si>
  <si>
    <t>TH68038</t>
  </si>
  <si>
    <t>TH68039</t>
  </si>
  <si>
    <t>TH68040</t>
  </si>
  <si>
    <t>TH68041</t>
  </si>
  <si>
    <t>TH68044</t>
  </si>
  <si>
    <t>TH68045</t>
  </si>
  <si>
    <t>TH68045A</t>
  </si>
  <si>
    <t>TH68046</t>
  </si>
  <si>
    <t>TH68047</t>
  </si>
  <si>
    <t>TH68048</t>
  </si>
  <si>
    <t>SU61003</t>
  </si>
  <si>
    <t>SU61004</t>
  </si>
  <si>
    <t>ML17001</t>
  </si>
  <si>
    <t>ML17004</t>
  </si>
  <si>
    <t>ML17005</t>
  </si>
  <si>
    <t>ML17002</t>
  </si>
  <si>
    <t>ML17003</t>
  </si>
  <si>
    <t>ML17007</t>
  </si>
  <si>
    <t>CJ09002</t>
  </si>
  <si>
    <t>CJ09002C</t>
  </si>
  <si>
    <t>CJ88147</t>
  </si>
  <si>
    <t>CJ88147B</t>
  </si>
  <si>
    <t>CJ88146</t>
  </si>
  <si>
    <t>CJ88146B</t>
  </si>
  <si>
    <t>PK78001</t>
  </si>
  <si>
    <t>PK78002</t>
  </si>
  <si>
    <t>PK78003</t>
  </si>
  <si>
    <t>PK78003A</t>
  </si>
  <si>
    <t>PK78004</t>
  </si>
  <si>
    <t>PK78005</t>
  </si>
  <si>
    <t>PK78006</t>
  </si>
  <si>
    <t>PK78007</t>
  </si>
  <si>
    <t>PK78008</t>
  </si>
  <si>
    <t>SX03048</t>
  </si>
  <si>
    <t>SX03210</t>
  </si>
  <si>
    <t>SX03210A</t>
  </si>
  <si>
    <t>SX03049</t>
  </si>
  <si>
    <t>SX03211</t>
  </si>
  <si>
    <t>SX03211A</t>
  </si>
  <si>
    <t>OF61131A</t>
  </si>
  <si>
    <t>MD71090</t>
  </si>
  <si>
    <t>MD71110</t>
  </si>
  <si>
    <t>MD71091</t>
  </si>
  <si>
    <t>MD71111</t>
  </si>
  <si>
    <t>MD71094</t>
  </si>
  <si>
    <t>MD71114</t>
  </si>
  <si>
    <t>MD71095</t>
  </si>
  <si>
    <t>MD71115</t>
  </si>
  <si>
    <t>MD71099</t>
  </si>
  <si>
    <t>MD71099C</t>
  </si>
  <si>
    <t>MD71119</t>
  </si>
  <si>
    <t>MD71029</t>
  </si>
  <si>
    <t>MD71101</t>
  </si>
  <si>
    <t>MD71104</t>
  </si>
  <si>
    <t>MD71121</t>
  </si>
  <si>
    <t>MD71124</t>
  </si>
  <si>
    <t>MD71440</t>
  </si>
  <si>
    <t>MD71520</t>
  </si>
  <si>
    <t>MD71522</t>
  </si>
  <si>
    <t>MD71522C</t>
  </si>
  <si>
    <t>MD71529</t>
  </si>
  <si>
    <t>MD71531</t>
  </si>
  <si>
    <t>MD71531A</t>
  </si>
  <si>
    <t>MD71531C</t>
  </si>
  <si>
    <t>MD71105</t>
  </si>
  <si>
    <t>MD71105B</t>
  </si>
  <si>
    <t>MD71105C</t>
  </si>
  <si>
    <t>MD71125</t>
  </si>
  <si>
    <t>MD71130</t>
  </si>
  <si>
    <t>MD71130A</t>
  </si>
  <si>
    <t>MD71130C</t>
  </si>
  <si>
    <t>MD71150</t>
  </si>
  <si>
    <t>MD71170</t>
  </si>
  <si>
    <t>MD71190</t>
  </si>
  <si>
    <t>MD71131</t>
  </si>
  <si>
    <t>MD71131A</t>
  </si>
  <si>
    <t>MD71131C</t>
  </si>
  <si>
    <t>MD71133A</t>
  </si>
  <si>
    <t>MD71151</t>
  </si>
  <si>
    <t>MD71171</t>
  </si>
  <si>
    <t>MD71191</t>
  </si>
  <si>
    <t>MD71133</t>
  </si>
  <si>
    <t>MD71133C</t>
  </si>
  <si>
    <t>MD71153</t>
  </si>
  <si>
    <t>MD71173</t>
  </si>
  <si>
    <t>MD71193</t>
  </si>
  <si>
    <t>MD71134</t>
  </si>
  <si>
    <t>MD71134A</t>
  </si>
  <si>
    <t>MD71134C</t>
  </si>
  <si>
    <t>MD71154</t>
  </si>
  <si>
    <t>MD71174</t>
  </si>
  <si>
    <t>MD71194</t>
  </si>
  <si>
    <t>MD71139</t>
  </si>
  <si>
    <t>MD71139A</t>
  </si>
  <si>
    <t>MD71139C</t>
  </si>
  <si>
    <t>MD71159</t>
  </si>
  <si>
    <t>MD71179</t>
  </si>
  <si>
    <t>MD71199</t>
  </si>
  <si>
    <t>MD71230</t>
  </si>
  <si>
    <t>MD71230A</t>
  </si>
  <si>
    <t>MD71231</t>
  </si>
  <si>
    <t>MD71231A</t>
  </si>
  <si>
    <t>MD71233</t>
  </si>
  <si>
    <t>MD71233A</t>
  </si>
  <si>
    <t>MD71234</t>
  </si>
  <si>
    <t>MD71234A</t>
  </si>
  <si>
    <t>MD71234B</t>
  </si>
  <si>
    <t>MD71235</t>
  </si>
  <si>
    <t>MD71235A</t>
  </si>
  <si>
    <t>MD71239</t>
  </si>
  <si>
    <t>MD71239A</t>
  </si>
  <si>
    <t>MD71239B</t>
  </si>
  <si>
    <t>MD71215</t>
  </si>
  <si>
    <t>MD71215A</t>
  </si>
  <si>
    <t>MD71503</t>
  </si>
  <si>
    <t>MD71504</t>
  </si>
  <si>
    <t>MD71504A</t>
  </si>
  <si>
    <t>MD71504C</t>
  </si>
  <si>
    <t>MD71505</t>
  </si>
  <si>
    <t>FI68099</t>
  </si>
  <si>
    <t>FI68103</t>
  </si>
  <si>
    <t>FI68302</t>
  </si>
  <si>
    <t>FI68305</t>
  </si>
  <si>
    <t>FI68247</t>
  </si>
  <si>
    <t>FI68248</t>
  </si>
  <si>
    <t>FI68250</t>
  </si>
  <si>
    <t>FI68251</t>
  </si>
  <si>
    <t>FI68262</t>
  </si>
  <si>
    <t>FI68263</t>
  </si>
  <si>
    <t>FI68264</t>
  </si>
  <si>
    <t>FI68265</t>
  </si>
  <si>
    <t>FI68266</t>
  </si>
  <si>
    <t>FI68267</t>
  </si>
  <si>
    <t>FI68268</t>
  </si>
  <si>
    <t>FI68269</t>
  </si>
  <si>
    <t>FI68270</t>
  </si>
  <si>
    <t>FI68271</t>
  </si>
  <si>
    <t>FI68272</t>
  </si>
  <si>
    <t>FI68273</t>
  </si>
  <si>
    <t>FI68274</t>
  </si>
  <si>
    <t>FI68275</t>
  </si>
  <si>
    <t>FI68276</t>
  </si>
  <si>
    <t>FI68277</t>
  </si>
  <si>
    <t>FI68278</t>
  </si>
  <si>
    <t>FI68279</t>
  </si>
  <si>
    <t>FI68363</t>
  </si>
  <si>
    <t>FI68364</t>
  </si>
  <si>
    <t>FI68365</t>
  </si>
  <si>
    <t>SX03025</t>
  </si>
  <si>
    <t>SX03025C</t>
  </si>
  <si>
    <t>SX03029</t>
  </si>
  <si>
    <t>SX03029A</t>
  </si>
  <si>
    <t>SX03062</t>
  </si>
  <si>
    <t>SX03062C</t>
  </si>
  <si>
    <t>TH68026</t>
  </si>
  <si>
    <t>TH68026A</t>
  </si>
  <si>
    <t>TH68026C</t>
  </si>
  <si>
    <t>TH68036</t>
  </si>
  <si>
    <t>TH68023</t>
  </si>
  <si>
    <t>TH68023A</t>
  </si>
  <si>
    <t>TH68023C</t>
  </si>
  <si>
    <t>TH68071</t>
  </si>
  <si>
    <t>TH68071A</t>
  </si>
  <si>
    <t>TH68071C</t>
  </si>
  <si>
    <t>RT88526</t>
  </si>
  <si>
    <t>RT88526B</t>
  </si>
  <si>
    <t>RT88526C</t>
  </si>
  <si>
    <t>CD71003</t>
  </si>
  <si>
    <t>CD71003C</t>
  </si>
  <si>
    <t>CD71016</t>
  </si>
  <si>
    <t>CD71016C</t>
  </si>
  <si>
    <t>CD71017</t>
  </si>
  <si>
    <t>CD71003A</t>
  </si>
  <si>
    <t>CD71016A</t>
  </si>
  <si>
    <t>CD71041</t>
  </si>
  <si>
    <t>CD71042</t>
  </si>
  <si>
    <t>EX83026</t>
  </si>
  <si>
    <t>EX83027</t>
  </si>
  <si>
    <t>EX83028</t>
  </si>
  <si>
    <t>MD61013</t>
  </si>
  <si>
    <t>MD61017</t>
  </si>
  <si>
    <t>MD61020</t>
  </si>
  <si>
    <t>MD61021</t>
  </si>
  <si>
    <t>MD61022</t>
  </si>
  <si>
    <t>MD61023</t>
  </si>
  <si>
    <t>MD61024</t>
  </si>
  <si>
    <t>MD61025</t>
  </si>
  <si>
    <t>MD61026</t>
  </si>
  <si>
    <t>MD61027</t>
  </si>
  <si>
    <t>MD61028</t>
  </si>
  <si>
    <t>SX03230</t>
  </si>
  <si>
    <t>SX03113</t>
  </si>
  <si>
    <t>SX03113A</t>
  </si>
  <si>
    <t>CM90002</t>
  </si>
  <si>
    <t>CM90003</t>
  </si>
  <si>
    <t>CM90006</t>
  </si>
  <si>
    <t>FI68410</t>
  </si>
  <si>
    <t>FI68411</t>
  </si>
  <si>
    <t>FI68412</t>
  </si>
  <si>
    <t>PC53002</t>
  </si>
  <si>
    <t>PC53002B</t>
  </si>
  <si>
    <t>CJ88148</t>
  </si>
  <si>
    <t>CJ88148B</t>
  </si>
  <si>
    <t>MC80001</t>
  </si>
  <si>
    <t>PJ11012</t>
  </si>
  <si>
    <t>CJ67001</t>
  </si>
  <si>
    <t>PR52024</t>
  </si>
  <si>
    <t>PR52024A</t>
  </si>
  <si>
    <t>PR52024C</t>
  </si>
  <si>
    <t>PR52025</t>
  </si>
  <si>
    <t>PR52026</t>
  </si>
  <si>
    <t>PR52027</t>
  </si>
  <si>
    <t>SX03047</t>
  </si>
  <si>
    <t>SX03047A</t>
  </si>
  <si>
    <t>SX03051</t>
  </si>
  <si>
    <t>SX03190</t>
  </si>
  <si>
    <t>SX03055</t>
  </si>
  <si>
    <t>SX03194</t>
  </si>
  <si>
    <t>COML005</t>
  </si>
  <si>
    <t>COML006</t>
  </si>
  <si>
    <t>COML016</t>
  </si>
  <si>
    <t>COML016A</t>
  </si>
  <si>
    <t>COML016B</t>
  </si>
  <si>
    <t>COML016C</t>
  </si>
  <si>
    <t>OF61102</t>
  </si>
  <si>
    <t>OF61102B</t>
  </si>
  <si>
    <t>OF61102C</t>
  </si>
  <si>
    <t>AN05001</t>
  </si>
  <si>
    <t>AN09004</t>
  </si>
  <si>
    <t>FI68095</t>
  </si>
  <si>
    <t>FI68096</t>
  </si>
  <si>
    <t>SX03018</t>
  </si>
  <si>
    <t>SX03018B</t>
  </si>
  <si>
    <t>SX03017</t>
  </si>
  <si>
    <t>SX03017B</t>
  </si>
  <si>
    <t>ID10002</t>
  </si>
  <si>
    <t>ID10002C</t>
  </si>
  <si>
    <t>PU86002</t>
  </si>
  <si>
    <t>PU86002C</t>
  </si>
  <si>
    <t>COML056</t>
  </si>
  <si>
    <t>COML057</t>
  </si>
  <si>
    <t>RP83001</t>
  </si>
  <si>
    <t>RP83002</t>
  </si>
  <si>
    <t>TH68027</t>
  </si>
  <si>
    <t>TH68027A</t>
  </si>
  <si>
    <t>TH68027B</t>
  </si>
  <si>
    <t>TH68027C</t>
  </si>
  <si>
    <t>COML027</t>
  </si>
  <si>
    <t>COML027C</t>
  </si>
  <si>
    <t>COML030</t>
  </si>
  <si>
    <t>COML030C</t>
  </si>
  <si>
    <t>OF61089</t>
  </si>
  <si>
    <t>OF61090</t>
  </si>
  <si>
    <t>OF61091</t>
  </si>
  <si>
    <t>OF61092</t>
  </si>
  <si>
    <t>CJ94005</t>
  </si>
  <si>
    <t>CJ94005A</t>
  </si>
  <si>
    <t>CJ94006</t>
  </si>
  <si>
    <t>CJ94006C</t>
  </si>
  <si>
    <t>CJ94007</t>
  </si>
  <si>
    <t>CJ88136</t>
  </si>
  <si>
    <t>CJ88145</t>
  </si>
  <si>
    <t>CH84001</t>
  </si>
  <si>
    <t>CH84002</t>
  </si>
  <si>
    <t>SX03008</t>
  </si>
  <si>
    <t>SX03008A</t>
  </si>
  <si>
    <t>SX03007</t>
  </si>
  <si>
    <t>SX03007A</t>
  </si>
  <si>
    <t>TH68003</t>
  </si>
  <si>
    <t>TH68003A</t>
  </si>
  <si>
    <t>TH68003C</t>
  </si>
  <si>
    <t>SX03145</t>
  </si>
  <si>
    <t>SX03146</t>
  </si>
  <si>
    <t>SX03147</t>
  </si>
  <si>
    <t>SX03148</t>
  </si>
  <si>
    <t>SX03206</t>
  </si>
  <si>
    <t>CL77010</t>
  </si>
  <si>
    <t>CL77011</t>
  </si>
  <si>
    <t>CJ88115</t>
  </si>
  <si>
    <t>CJ88115A</t>
  </si>
  <si>
    <t>SX03233</t>
  </si>
  <si>
    <t xml:space="preserve"> SX03234</t>
  </si>
  <si>
    <t>IM71104</t>
  </si>
  <si>
    <t>IM71104C</t>
  </si>
  <si>
    <t>IA99028</t>
  </si>
  <si>
    <t>IA99029</t>
  </si>
  <si>
    <t>IA99030</t>
  </si>
  <si>
    <t>IA99031</t>
  </si>
  <si>
    <t>IA99032</t>
  </si>
  <si>
    <t>WC81178</t>
  </si>
  <si>
    <t>WC81179</t>
  </si>
  <si>
    <t>WC81180</t>
  </si>
  <si>
    <t>WC81181</t>
  </si>
  <si>
    <t>WC81182</t>
  </si>
  <si>
    <t>WC81183</t>
  </si>
  <si>
    <t>WC81184</t>
  </si>
  <si>
    <t>WC81185</t>
  </si>
  <si>
    <t>WC81186</t>
  </si>
  <si>
    <t>WC81187</t>
  </si>
  <si>
    <t>WC81188</t>
  </si>
  <si>
    <t>WC81189</t>
  </si>
  <si>
    <t>WC81190</t>
  </si>
  <si>
    <t>WC81191</t>
  </si>
  <si>
    <t>WC81229</t>
  </si>
  <si>
    <t>WC81072</t>
  </si>
  <si>
    <t>WC81192</t>
  </si>
  <si>
    <t>WC81193</t>
  </si>
  <si>
    <t>WC81194</t>
  </si>
  <si>
    <t>WC81195</t>
  </si>
  <si>
    <t>WC81196</t>
  </si>
  <si>
    <t>WC81197</t>
  </si>
  <si>
    <t>WC81198</t>
  </si>
  <si>
    <t>WC81199</t>
  </si>
  <si>
    <t>WC81200</t>
  </si>
  <si>
    <t>WC81201</t>
  </si>
  <si>
    <t>WC81202</t>
  </si>
  <si>
    <t>WC81203</t>
  </si>
  <si>
    <t>WC81204</t>
  </si>
  <si>
    <t>WC81205</t>
  </si>
  <si>
    <t>WC81206</t>
  </si>
  <si>
    <t>WC81207</t>
  </si>
  <si>
    <t>WC81208</t>
  </si>
  <si>
    <t>WC81209</t>
  </si>
  <si>
    <t>WC81210</t>
  </si>
  <si>
    <t>WC81211</t>
  </si>
  <si>
    <t>WC81212</t>
  </si>
  <si>
    <t>WC81213</t>
  </si>
  <si>
    <t>WC81214</t>
  </si>
  <si>
    <t>WC81215</t>
  </si>
  <si>
    <t>WC81216</t>
  </si>
  <si>
    <t>WC81217</t>
  </si>
  <si>
    <t>WC81218</t>
  </si>
  <si>
    <t>WC81219</t>
  </si>
  <si>
    <t>WC81220</t>
  </si>
  <si>
    <t>WC81221</t>
  </si>
  <si>
    <t>FI68001</t>
  </si>
  <si>
    <t>FI68001C</t>
  </si>
  <si>
    <t>FI68002</t>
  </si>
  <si>
    <t>FI68004</t>
  </si>
  <si>
    <t>FI68005</t>
  </si>
  <si>
    <t>FI68007</t>
  </si>
  <si>
    <t>FI68008</t>
  </si>
  <si>
    <t>FI68010</t>
  </si>
  <si>
    <t>FI68011</t>
  </si>
  <si>
    <t>FI68101</t>
  </si>
  <si>
    <t>FI68105</t>
  </si>
  <si>
    <t>FI68303</t>
  </si>
  <si>
    <t>FI68306</t>
  </si>
  <si>
    <t>FI68014</t>
  </si>
  <si>
    <t>FI68015</t>
  </si>
  <si>
    <t>CY33049</t>
  </si>
  <si>
    <t>CY33050</t>
  </si>
  <si>
    <t>SX03031</t>
  </si>
  <si>
    <t>SX03031B</t>
  </si>
  <si>
    <t>SX03033</t>
  </si>
  <si>
    <t>SX03033A</t>
  </si>
  <si>
    <t>SX03032</t>
  </si>
  <si>
    <t>SX03032A</t>
  </si>
  <si>
    <t>SX03034</t>
  </si>
  <si>
    <t>SX03034A</t>
  </si>
  <si>
    <t>SX03158</t>
  </si>
  <si>
    <t>SX03158A</t>
  </si>
  <si>
    <t>SX03162</t>
  </si>
  <si>
    <t>SX03162A</t>
  </si>
  <si>
    <t>SX03170</t>
  </si>
  <si>
    <t>SX03170A</t>
  </si>
  <si>
    <t>SX03066</t>
  </si>
  <si>
    <t>SX03066C</t>
  </si>
  <si>
    <t>TH68037</t>
  </si>
  <si>
    <t>TH68037B</t>
  </si>
  <si>
    <t>FA06005</t>
  </si>
  <si>
    <t>FA06005B</t>
  </si>
  <si>
    <t>FA06005C</t>
  </si>
  <si>
    <t>CM90007</t>
  </si>
  <si>
    <t>CM90008</t>
  </si>
  <si>
    <t>CM90009</t>
  </si>
  <si>
    <t xml:space="preserve"> TH68146</t>
  </si>
  <si>
    <t xml:space="preserve"> TH68150</t>
  </si>
  <si>
    <t xml:space="preserve"> TH68152</t>
  </si>
  <si>
    <t xml:space="preserve"> TH68156</t>
  </si>
  <si>
    <t xml:space="preserve"> TH68158</t>
  </si>
  <si>
    <t xml:space="preserve"> TH68159</t>
  </si>
  <si>
    <t xml:space="preserve"> TH68160</t>
  </si>
  <si>
    <t xml:space="preserve"> TH68161</t>
  </si>
  <si>
    <t>TH68141</t>
  </si>
  <si>
    <t>TH68142</t>
  </si>
  <si>
    <t>TH68143</t>
  </si>
  <si>
    <t>TH68145</t>
  </si>
  <si>
    <t>TH68146</t>
  </si>
  <si>
    <t>TH68147</t>
  </si>
  <si>
    <t>TH68148</t>
  </si>
  <si>
    <t>TH68149</t>
  </si>
  <si>
    <t>TH68150</t>
  </si>
  <si>
    <t>TH68151</t>
  </si>
  <si>
    <t>TH68152</t>
  </si>
  <si>
    <t>TH68153</t>
  </si>
  <si>
    <t>TH68154</t>
  </si>
  <si>
    <t>TH68155</t>
  </si>
  <si>
    <t>TH68156</t>
  </si>
  <si>
    <t>TH68157</t>
  </si>
  <si>
    <t>TH68158</t>
  </si>
  <si>
    <t>TH68159</t>
  </si>
  <si>
    <t>TH68160</t>
  </si>
  <si>
    <t>TH68161</t>
  </si>
  <si>
    <t>CJ88124</t>
  </si>
  <si>
    <t>CJ88125</t>
  </si>
  <si>
    <t>CJ88126</t>
  </si>
  <si>
    <t>CJ88127</t>
  </si>
  <si>
    <t>CJ88128</t>
  </si>
  <si>
    <t>CJ88130</t>
  </si>
  <si>
    <t>CJ88131</t>
  </si>
  <si>
    <t>CJ88132</t>
  </si>
  <si>
    <t>PC02001</t>
  </si>
  <si>
    <t>PC02002</t>
  </si>
  <si>
    <t>PC02003</t>
  </si>
  <si>
    <t>PC02004</t>
  </si>
  <si>
    <t>PC02004C</t>
  </si>
  <si>
    <t>PC02005</t>
  </si>
  <si>
    <t>PC02020</t>
  </si>
  <si>
    <t>PC02020A</t>
  </si>
  <si>
    <t>PC02020C</t>
  </si>
  <si>
    <t>CJ88121</t>
  </si>
  <si>
    <t>CJ88122</t>
  </si>
  <si>
    <t>CJ88123</t>
  </si>
  <si>
    <t>PC02007</t>
  </si>
  <si>
    <t>PC02008</t>
  </si>
  <si>
    <t>PC02009</t>
  </si>
  <si>
    <t>PC02021</t>
  </si>
  <si>
    <t>PC02021A</t>
  </si>
  <si>
    <t>PC02021C</t>
  </si>
  <si>
    <t>RT88565</t>
  </si>
  <si>
    <t>RT88565B</t>
  </si>
  <si>
    <t>TH68013</t>
  </si>
  <si>
    <t>TH68013A</t>
  </si>
  <si>
    <t>TH68013C</t>
  </si>
  <si>
    <t>TH68050C</t>
  </si>
  <si>
    <t>TH68015</t>
  </si>
  <si>
    <t>TH68015A</t>
  </si>
  <si>
    <t>RT88042</t>
  </si>
  <si>
    <t>RT88043</t>
  </si>
  <si>
    <t>RT88044</t>
  </si>
  <si>
    <t>FC81002</t>
  </si>
  <si>
    <t>FC81002C</t>
  </si>
  <si>
    <t>FC81004</t>
  </si>
  <si>
    <t>FC81006</t>
  </si>
  <si>
    <t>FC81008</t>
  </si>
  <si>
    <t>FC81048</t>
  </si>
  <si>
    <t>FC81049</t>
  </si>
  <si>
    <t>FC81015</t>
  </si>
  <si>
    <t>FC81015C</t>
  </si>
  <si>
    <t>FC81016</t>
  </si>
  <si>
    <t>FC81017</t>
  </si>
  <si>
    <t>FC81018</t>
  </si>
  <si>
    <t>FC81019</t>
  </si>
  <si>
    <t>FC81020</t>
  </si>
  <si>
    <t>FC81021</t>
  </si>
  <si>
    <t>FC81022</t>
  </si>
  <si>
    <t>FC81024</t>
  </si>
  <si>
    <t>FC81025</t>
  </si>
  <si>
    <t>FC81039</t>
  </si>
  <si>
    <t>FC81040</t>
  </si>
  <si>
    <t>FC81026</t>
  </si>
  <si>
    <t>FC81026C</t>
  </si>
  <si>
    <t>FC81027</t>
  </si>
  <si>
    <t>FC81028</t>
  </si>
  <si>
    <t>FC81029</t>
  </si>
  <si>
    <t>PU86003</t>
  </si>
  <si>
    <t>PU86003B</t>
  </si>
  <si>
    <t>SX03223</t>
  </si>
  <si>
    <t>SX03222</t>
  </si>
  <si>
    <t>SX03221</t>
  </si>
  <si>
    <t>SX03220</t>
  </si>
  <si>
    <t>CD98002</t>
  </si>
  <si>
    <t>CD98057</t>
  </si>
  <si>
    <t>CJ94020</t>
  </si>
  <si>
    <t>CJ94021</t>
  </si>
  <si>
    <t>CJ94022</t>
  </si>
  <si>
    <t>CJ94023</t>
  </si>
  <si>
    <t>PJ11003</t>
  </si>
  <si>
    <t>PJ11004</t>
  </si>
  <si>
    <t>PJ11008</t>
  </si>
  <si>
    <t>PJ11009</t>
  </si>
  <si>
    <t>PJ11010</t>
  </si>
  <si>
    <t>PJ11011</t>
  </si>
  <si>
    <t>PJ11013</t>
  </si>
  <si>
    <t>PJ11014</t>
  </si>
  <si>
    <t>PJ11015</t>
  </si>
  <si>
    <t>PJ11016</t>
  </si>
  <si>
    <t>PJ11017</t>
  </si>
  <si>
    <t>PJ11018</t>
  </si>
  <si>
    <t>PJ11019</t>
  </si>
  <si>
    <t>PJ11020</t>
  </si>
  <si>
    <t>PJ11021</t>
  </si>
  <si>
    <t>PJ11022</t>
  </si>
  <si>
    <t>PJ11023</t>
  </si>
  <si>
    <t>PJ11024</t>
  </si>
  <si>
    <t>PJ11025</t>
  </si>
  <si>
    <t>CJ25001</t>
  </si>
  <si>
    <t>PR52028</t>
  </si>
  <si>
    <t>PR52028A</t>
  </si>
  <si>
    <t>PR52029</t>
  </si>
  <si>
    <t>PR52030</t>
  </si>
  <si>
    <t>PR52031</t>
  </si>
  <si>
    <t>PR52039</t>
  </si>
  <si>
    <t>PR52040</t>
  </si>
  <si>
    <t>PR52041</t>
  </si>
  <si>
    <t>PR52042</t>
  </si>
  <si>
    <t>SX03100</t>
  </si>
  <si>
    <t>SX03209</t>
  </si>
  <si>
    <t>SX03057</t>
  </si>
  <si>
    <t>SX03196</t>
  </si>
  <si>
    <t>SX03052</t>
  </si>
  <si>
    <t>SX03191</t>
  </si>
  <si>
    <t>SX03192</t>
  </si>
  <si>
    <t>SX03056</t>
  </si>
  <si>
    <t>SX03195</t>
  </si>
  <si>
    <t>RT88026</t>
  </si>
  <si>
    <t>RT88026B</t>
  </si>
  <si>
    <t>RT88227</t>
  </si>
  <si>
    <t>RT88231</t>
  </si>
  <si>
    <t>RT88235</t>
  </si>
  <si>
    <t>RT88239</t>
  </si>
  <si>
    <t>RT88243</t>
  </si>
  <si>
    <t>RT88247</t>
  </si>
  <si>
    <t>RT88321</t>
  </si>
  <si>
    <t>TR68201B</t>
  </si>
  <si>
    <t>TR68202</t>
  </si>
  <si>
    <t>GV06005</t>
  </si>
  <si>
    <t>GV06006</t>
  </si>
  <si>
    <t>GV06007</t>
  </si>
  <si>
    <t>GV06008</t>
  </si>
  <si>
    <t>GV06009</t>
  </si>
  <si>
    <t>GV06010</t>
  </si>
  <si>
    <t>GV06011</t>
  </si>
  <si>
    <t>GV06012</t>
  </si>
  <si>
    <t>GV06013</t>
  </si>
  <si>
    <t>GV06014</t>
  </si>
  <si>
    <t>GV06015</t>
  </si>
  <si>
    <t>GV06020</t>
  </si>
  <si>
    <t>GV06021</t>
  </si>
  <si>
    <t>GV06025</t>
  </si>
  <si>
    <t>GV06026</t>
  </si>
  <si>
    <t>GV06027</t>
  </si>
  <si>
    <t>GV06028</t>
  </si>
  <si>
    <t>GV06029</t>
  </si>
  <si>
    <t>GV06030</t>
  </si>
  <si>
    <t>GV06031</t>
  </si>
  <si>
    <t>GV06032</t>
  </si>
  <si>
    <t>GV06033</t>
  </si>
  <si>
    <t>TR68061</t>
  </si>
  <si>
    <t>TR68062</t>
  </si>
  <si>
    <t>TR68063</t>
  </si>
  <si>
    <t>TR68068B</t>
  </si>
  <si>
    <t>TR68069</t>
  </si>
  <si>
    <t>TR68069B</t>
  </si>
  <si>
    <t>TR68201</t>
  </si>
  <si>
    <t>TR68204</t>
  </si>
  <si>
    <t>TR68205</t>
  </si>
  <si>
    <t>TR68206</t>
  </si>
  <si>
    <t>TR68207</t>
  </si>
  <si>
    <t>TR68215</t>
  </si>
  <si>
    <t>SX03129</t>
  </si>
  <si>
    <t>SX03129A</t>
  </si>
  <si>
    <t>SX03130</t>
  </si>
  <si>
    <t>SX03131</t>
  </si>
  <si>
    <t>SX03132</t>
  </si>
  <si>
    <t>EC08001</t>
  </si>
  <si>
    <t>PH97004</t>
  </si>
  <si>
    <t>MD71344</t>
  </si>
  <si>
    <t>MD71357</t>
  </si>
  <si>
    <t>MD71347</t>
  </si>
  <si>
    <t>MD71360</t>
  </si>
  <si>
    <t>MA09005</t>
  </si>
  <si>
    <t>MA09006</t>
  </si>
  <si>
    <t>MA09007</t>
  </si>
  <si>
    <t>CE79070</t>
  </si>
  <si>
    <t>CE79072</t>
  </si>
  <si>
    <t>HC79001</t>
  </si>
  <si>
    <t>HC79002</t>
  </si>
  <si>
    <t>HC79003</t>
  </si>
  <si>
    <t>HC79004</t>
  </si>
  <si>
    <t>HC79005</t>
  </si>
  <si>
    <t>HC79006</t>
  </si>
  <si>
    <t>HC79007</t>
  </si>
  <si>
    <t>HC79008</t>
  </si>
  <si>
    <t>HC79009</t>
  </si>
  <si>
    <t>HC79010</t>
  </si>
  <si>
    <t>HC79011</t>
  </si>
  <si>
    <t>TC02002</t>
  </si>
  <si>
    <t>VA94001</t>
  </si>
  <si>
    <t>VA94002</t>
  </si>
  <si>
    <t>VA94003</t>
  </si>
  <si>
    <t>VA94004</t>
  </si>
  <si>
    <t>HS74031</t>
  </si>
  <si>
    <t>HS74032</t>
  </si>
  <si>
    <t>HS74034</t>
  </si>
  <si>
    <t>HS74035</t>
  </si>
  <si>
    <t>HS74036</t>
  </si>
  <si>
    <t>CE79037</t>
  </si>
  <si>
    <t>CE79046</t>
  </si>
  <si>
    <t>CE79049</t>
  </si>
  <si>
    <t>CE79152</t>
  </si>
  <si>
    <t>CE79153</t>
  </si>
  <si>
    <t>CE79158</t>
  </si>
  <si>
    <t>CE79158C</t>
  </si>
  <si>
    <t>CE79159</t>
  </si>
  <si>
    <t>CE79160</t>
  </si>
  <si>
    <t>CE79161</t>
  </si>
  <si>
    <t>CE79164</t>
  </si>
  <si>
    <t>CE79165</t>
  </si>
  <si>
    <t>CE79166</t>
  </si>
  <si>
    <t>CE79167</t>
  </si>
  <si>
    <t>CE79176</t>
  </si>
  <si>
    <t>CE79177</t>
  </si>
  <si>
    <t>CE79178</t>
  </si>
  <si>
    <t>CE79179</t>
  </si>
  <si>
    <t>CE79180</t>
  </si>
  <si>
    <t>CE79183</t>
  </si>
  <si>
    <t>CE79184</t>
  </si>
  <si>
    <t>CE79185</t>
  </si>
  <si>
    <t>CE79231</t>
  </si>
  <si>
    <t>CE79232</t>
  </si>
  <si>
    <t>CE79233</t>
  </si>
  <si>
    <t>CE79234</t>
  </si>
  <si>
    <t>CE79235</t>
  </si>
  <si>
    <t>CE79238</t>
  </si>
  <si>
    <t>CE79239</t>
  </si>
  <si>
    <t>CE79240</t>
  </si>
  <si>
    <t>CE79243</t>
  </si>
  <si>
    <t>CE79244</t>
  </si>
  <si>
    <t>CE79245</t>
  </si>
  <si>
    <t>CE79248</t>
  </si>
  <si>
    <t>FA06003</t>
  </si>
  <si>
    <t>FA06003A</t>
  </si>
  <si>
    <t>FA06003B</t>
  </si>
  <si>
    <t>FA06003C</t>
  </si>
  <si>
    <t>FA06007</t>
  </si>
  <si>
    <t>FA06007A</t>
  </si>
  <si>
    <t>FA06007C</t>
  </si>
  <si>
    <t>CL77001</t>
  </si>
  <si>
    <t>CL77002</t>
  </si>
  <si>
    <t>PE77001</t>
  </si>
  <si>
    <t>PE77009</t>
  </si>
  <si>
    <t>PE77002</t>
  </si>
  <si>
    <t>PE77004</t>
  </si>
  <si>
    <t>PE77005</t>
  </si>
  <si>
    <t>PE77006</t>
  </si>
  <si>
    <t>PE77007</t>
  </si>
  <si>
    <t>PE77008</t>
  </si>
  <si>
    <t>PE77010</t>
  </si>
  <si>
    <t>PC53001</t>
  </si>
  <si>
    <t>PC53001B</t>
  </si>
  <si>
    <t>CJ88117</t>
  </si>
  <si>
    <t>CJ88144</t>
  </si>
  <si>
    <t>TH68050</t>
  </si>
  <si>
    <t>TH68052</t>
  </si>
  <si>
    <t>TH68051</t>
  </si>
  <si>
    <t>TH68053</t>
  </si>
  <si>
    <t>TH68055</t>
  </si>
  <si>
    <t>TH68073</t>
  </si>
  <si>
    <t>TH68073A</t>
  </si>
  <si>
    <t>TH68074</t>
  </si>
  <si>
    <t>CD71015</t>
  </si>
  <si>
    <t>CD71015B</t>
  </si>
  <si>
    <t>CD71015C</t>
  </si>
  <si>
    <t>SX03138</t>
  </si>
  <si>
    <t>SX03139</t>
  </si>
  <si>
    <t>SX03140</t>
  </si>
  <si>
    <t>SX03141</t>
  </si>
  <si>
    <t>SX03142</t>
  </si>
  <si>
    <t>SX03143</t>
  </si>
  <si>
    <t>SX03144</t>
  </si>
  <si>
    <t>SX03204</t>
  </si>
  <si>
    <t>SX03205</t>
  </si>
  <si>
    <t>SX03207</t>
  </si>
  <si>
    <t>COML051</t>
  </si>
  <si>
    <t>COML062</t>
  </si>
  <si>
    <t>PU86021</t>
  </si>
  <si>
    <t>PU86022</t>
  </si>
  <si>
    <t>PU86023</t>
  </si>
  <si>
    <t>PU86024</t>
  </si>
  <si>
    <t>FL96001</t>
  </si>
  <si>
    <t>FL96001A</t>
  </si>
  <si>
    <t>PU86120</t>
  </si>
  <si>
    <t>PU86121</t>
  </si>
  <si>
    <t>PU86135</t>
  </si>
  <si>
    <t>PU86136</t>
  </si>
  <si>
    <t>PU86122</t>
  </si>
  <si>
    <t>PU86123</t>
  </si>
  <si>
    <t>PU86137</t>
  </si>
  <si>
    <t>PU86138</t>
  </si>
  <si>
    <t>PU86126</t>
  </si>
  <si>
    <t>PU86127</t>
  </si>
  <si>
    <t>PU86141</t>
  </si>
  <si>
    <t>PU86142</t>
  </si>
  <si>
    <t>PH97003</t>
  </si>
  <si>
    <t>PH97003A</t>
  </si>
  <si>
    <t>MD71140</t>
  </si>
  <si>
    <t>MD71140A</t>
  </si>
  <si>
    <t>MD71140C</t>
  </si>
  <si>
    <t>MD71160</t>
  </si>
  <si>
    <t>MD71180</t>
  </si>
  <si>
    <t>MD71200</t>
  </si>
  <si>
    <t>MD71141</t>
  </si>
  <si>
    <t>MD71141C</t>
  </si>
  <si>
    <t>MD71144</t>
  </si>
  <si>
    <t>MD71144C</t>
  </si>
  <si>
    <t>MD71161</t>
  </si>
  <si>
    <t>MD71164</t>
  </si>
  <si>
    <t>MD71181</t>
  </si>
  <si>
    <t>MD71184</t>
  </si>
  <si>
    <t>MD71201</t>
  </si>
  <si>
    <t>MD71204</t>
  </si>
  <si>
    <t>MD71519</t>
  </si>
  <si>
    <t>MD71523</t>
  </si>
  <si>
    <t>MD71524</t>
  </si>
  <si>
    <t>MD71524A</t>
  </si>
  <si>
    <t>MD71524C</t>
  </si>
  <si>
    <t>MD71525</t>
  </si>
  <si>
    <t>MD71528</t>
  </si>
  <si>
    <t>MD71532</t>
  </si>
  <si>
    <t>MD71532A</t>
  </si>
  <si>
    <t>MD71533</t>
  </si>
  <si>
    <t>MD71534</t>
  </si>
  <si>
    <t>MD71145</t>
  </si>
  <si>
    <t>MD71145A</t>
  </si>
  <si>
    <t>MD71145C</t>
  </si>
  <si>
    <t>MD71165</t>
  </si>
  <si>
    <t>MD71185</t>
  </si>
  <si>
    <t>MD71205</t>
  </si>
  <si>
    <t>MD71407</t>
  </si>
  <si>
    <t>MD71415</t>
  </si>
  <si>
    <t>MD71457</t>
  </si>
  <si>
    <t>MD71458</t>
  </si>
  <si>
    <t>MD71459</t>
  </si>
  <si>
    <t>MD71462</t>
  </si>
  <si>
    <t>MD71462C</t>
  </si>
  <si>
    <t>MD71463</t>
  </si>
  <si>
    <t>MD71464</t>
  </si>
  <si>
    <t>MD71009</t>
  </si>
  <si>
    <t>MD71009C</t>
  </si>
  <si>
    <t>MD71013</t>
  </si>
  <si>
    <t>MD71016</t>
  </si>
  <si>
    <t>MD71019</t>
  </si>
  <si>
    <t>MD71445</t>
  </si>
  <si>
    <t>MD71445A</t>
  </si>
  <si>
    <t>MD71445C</t>
  </si>
  <si>
    <t>MD71446</t>
  </si>
  <si>
    <t>MD71447</t>
  </si>
  <si>
    <t>MD71448</t>
  </si>
  <si>
    <t>MD71240</t>
  </si>
  <si>
    <t>MD71240A</t>
  </si>
  <si>
    <t>MD71241</t>
  </si>
  <si>
    <t>MD71244</t>
  </si>
  <si>
    <t>MD71517</t>
  </si>
  <si>
    <t>MD71517A</t>
  </si>
  <si>
    <t>MD71526</t>
  </si>
  <si>
    <t>MD71526A</t>
  </si>
  <si>
    <t>MD71245</t>
  </si>
  <si>
    <t>MD71245A</t>
  </si>
  <si>
    <t>MD71583</t>
  </si>
  <si>
    <t>MD71026</t>
  </si>
  <si>
    <t>MD71442</t>
  </si>
  <si>
    <t>MD71442A</t>
  </si>
  <si>
    <t>MD71601</t>
  </si>
  <si>
    <t>MD71601A</t>
  </si>
  <si>
    <t>MD71601C</t>
  </si>
  <si>
    <t>MD71602</t>
  </si>
  <si>
    <t>MD71603</t>
  </si>
  <si>
    <t>MD71604</t>
  </si>
  <si>
    <t>MD71585</t>
  </si>
  <si>
    <t>MD71586</t>
  </si>
  <si>
    <t>MD71589</t>
  </si>
  <si>
    <t>MD71590</t>
  </si>
  <si>
    <t>HM12001</t>
  </si>
  <si>
    <t>HM12001C</t>
  </si>
  <si>
    <t>HM12002</t>
  </si>
  <si>
    <t>HM12002C</t>
  </si>
  <si>
    <t>HM12003</t>
  </si>
  <si>
    <t>HM12003C</t>
  </si>
  <si>
    <t>HM12004</t>
  </si>
  <si>
    <t>HM12004C</t>
  </si>
  <si>
    <t>HM12005</t>
  </si>
  <si>
    <t>HM12006</t>
  </si>
  <si>
    <t>HM12008</t>
  </si>
  <si>
    <t>HM12009</t>
  </si>
  <si>
    <t>HM12010</t>
  </si>
  <si>
    <t>HM12010C</t>
  </si>
  <si>
    <t>HM12011</t>
  </si>
  <si>
    <t>HM12012</t>
  </si>
  <si>
    <t>HM12013</t>
  </si>
  <si>
    <t>HM12014</t>
  </si>
  <si>
    <t>HM12015</t>
  </si>
  <si>
    <t>HM12016</t>
  </si>
  <si>
    <t>HM12017</t>
  </si>
  <si>
    <t>HM12018</t>
  </si>
  <si>
    <t>HM12018C</t>
  </si>
  <si>
    <t>HM12019</t>
  </si>
  <si>
    <t>HM12020</t>
  </si>
  <si>
    <t>HM12020C</t>
  </si>
  <si>
    <t>HM12023</t>
  </si>
  <si>
    <t>HM12024</t>
  </si>
  <si>
    <t>HM12025</t>
  </si>
  <si>
    <t>HM12026</t>
  </si>
  <si>
    <t>HM12027</t>
  </si>
  <si>
    <t>HM12028</t>
  </si>
  <si>
    <t>HM12029</t>
  </si>
  <si>
    <t>HM12030</t>
  </si>
  <si>
    <t>MC05001</t>
  </si>
  <si>
    <t>MC05002</t>
  </si>
  <si>
    <t>PU86004</t>
  </si>
  <si>
    <t>PU86106</t>
  </si>
  <si>
    <t>FI68119</t>
  </si>
  <si>
    <t>FI68193</t>
  </si>
  <si>
    <t>FI68194</t>
  </si>
  <si>
    <t>FI68195</t>
  </si>
  <si>
    <t>PL02006</t>
  </si>
  <si>
    <t>PL02007</t>
  </si>
  <si>
    <t>PL02008</t>
  </si>
  <si>
    <t>OF61106</t>
  </si>
  <si>
    <t>OF61106A</t>
  </si>
  <si>
    <t>CA81001</t>
  </si>
  <si>
    <t>CA81002</t>
  </si>
  <si>
    <t>TH68078</t>
  </si>
  <si>
    <t>TH68079</t>
  </si>
  <si>
    <t>TH68080</t>
  </si>
  <si>
    <t>TH68081</t>
  </si>
  <si>
    <t>TH68082</t>
  </si>
  <si>
    <t>MD71405</t>
  </si>
  <si>
    <t>MD71414</t>
  </si>
  <si>
    <t>MD71424</t>
  </si>
  <si>
    <t>MD71437</t>
  </si>
  <si>
    <t>MD71438</t>
  </si>
  <si>
    <t>MD71439</t>
  </si>
  <si>
    <t>MD71439C</t>
  </si>
  <si>
    <t>MD71476</t>
  </si>
  <si>
    <t>MD71477</t>
  </si>
  <si>
    <t>MD71480</t>
  </si>
  <si>
    <t>MD71481</t>
  </si>
  <si>
    <t>MD71485</t>
  </si>
  <si>
    <t>MD71210</t>
  </si>
  <si>
    <t>MD71210A</t>
  </si>
  <si>
    <t>MD71210B</t>
  </si>
  <si>
    <t>MD71211</t>
  </si>
  <si>
    <t>MD71211A</t>
  </si>
  <si>
    <t>MD71212</t>
  </si>
  <si>
    <t>MD71212A</t>
  </si>
  <si>
    <t>MD71213</t>
  </si>
  <si>
    <t>MD71213A</t>
  </si>
  <si>
    <t>MD71214</t>
  </si>
  <si>
    <t>MD71214A</t>
  </si>
  <si>
    <t>MD71219</t>
  </si>
  <si>
    <t>MD71219A</t>
  </si>
  <si>
    <t>DN18005</t>
  </si>
  <si>
    <t xml:space="preserve"> DN18006</t>
  </si>
  <si>
    <t xml:space="preserve"> DN18007</t>
  </si>
  <si>
    <t>PU86116</t>
  </si>
  <si>
    <t>PU86117</t>
  </si>
  <si>
    <t>CJ94010</t>
  </si>
  <si>
    <t>CJ94011</t>
  </si>
  <si>
    <t>PP00001</t>
  </si>
  <si>
    <t>PP00002</t>
  </si>
  <si>
    <t>PP00005</t>
  </si>
  <si>
    <t>PP00006</t>
  </si>
  <si>
    <t>CH89001</t>
  </si>
  <si>
    <t>CH89002</t>
  </si>
  <si>
    <t>CH89003</t>
  </si>
  <si>
    <t>CH89004</t>
  </si>
  <si>
    <t>CH89005</t>
  </si>
  <si>
    <t>CP88003</t>
  </si>
  <si>
    <t>CP88015</t>
  </si>
  <si>
    <t>CP88016</t>
  </si>
  <si>
    <t>CP88017</t>
  </si>
  <si>
    <t>CP88018</t>
  </si>
  <si>
    <t>CP88020</t>
  </si>
  <si>
    <t>CP88021</t>
  </si>
  <si>
    <t>CP88022</t>
  </si>
  <si>
    <t>CP88023</t>
  </si>
  <si>
    <t>CP88024</t>
  </si>
  <si>
    <t>CP88025</t>
  </si>
  <si>
    <t>CP88026</t>
  </si>
  <si>
    <t>CP88027</t>
  </si>
  <si>
    <t>CP88028</t>
  </si>
  <si>
    <t>CP88029</t>
  </si>
  <si>
    <t>CP88030</t>
  </si>
  <si>
    <t>CP88041</t>
  </si>
  <si>
    <t>CP88042</t>
  </si>
  <si>
    <t>CP88043</t>
  </si>
  <si>
    <t>CP88044</t>
  </si>
  <si>
    <t>CP88045</t>
  </si>
  <si>
    <t>RT88340</t>
  </si>
  <si>
    <t>RT88344</t>
  </si>
  <si>
    <t>RT88007</t>
  </si>
  <si>
    <t>RT88326</t>
  </si>
  <si>
    <t>RT88191</t>
  </si>
  <si>
    <t>RT88319</t>
  </si>
  <si>
    <t>CJ88149</t>
  </si>
  <si>
    <t xml:space="preserve"> CJ88150</t>
  </si>
  <si>
    <t>CL77019</t>
  </si>
  <si>
    <t>CU84001</t>
  </si>
  <si>
    <t>CJ91009</t>
  </si>
  <si>
    <t>CJ91010</t>
  </si>
  <si>
    <t>CJ91015</t>
  </si>
  <si>
    <t>CJ91016</t>
  </si>
  <si>
    <t>CJ91017</t>
  </si>
  <si>
    <t>CJ91018</t>
  </si>
  <si>
    <t>CJ91019</t>
  </si>
  <si>
    <t>CJ91021</t>
  </si>
  <si>
    <t>CJ91022</t>
  </si>
  <si>
    <t>CJ91023</t>
  </si>
  <si>
    <t>CJ91024</t>
  </si>
  <si>
    <t>CJ91025</t>
  </si>
  <si>
    <t>CJ91034</t>
  </si>
  <si>
    <t>CJ94002</t>
  </si>
  <si>
    <t>PL02002</t>
  </si>
  <si>
    <t>PL02003</t>
  </si>
  <si>
    <t>PL02004</t>
  </si>
  <si>
    <t>PL02005</t>
  </si>
  <si>
    <t>TH68001</t>
  </si>
  <si>
    <t>TH68001A</t>
  </si>
  <si>
    <t>TH68001C</t>
  </si>
  <si>
    <t>TH68002</t>
  </si>
  <si>
    <t>TH68002A</t>
  </si>
  <si>
    <t>TH68004</t>
  </si>
  <si>
    <t>TH68004A</t>
  </si>
  <si>
    <t>TH68056</t>
  </si>
  <si>
    <t>TH68056A</t>
  </si>
  <si>
    <t>TH68057</t>
  </si>
  <si>
    <t>TH68006</t>
  </si>
  <si>
    <t>TH68006A</t>
  </si>
  <si>
    <t>TH68007</t>
  </si>
  <si>
    <t>TH68007A</t>
  </si>
  <si>
    <t>TH68007C</t>
  </si>
  <si>
    <t>TH68009</t>
  </si>
  <si>
    <t>TH68009A</t>
  </si>
  <si>
    <t>TH68012</t>
  </si>
  <si>
    <t>TH68012A</t>
  </si>
  <si>
    <t>TH68016</t>
  </si>
  <si>
    <t>TH68017</t>
  </si>
  <si>
    <t>TH68018</t>
  </si>
  <si>
    <t>TH68019</t>
  </si>
  <si>
    <t>TH68020</t>
  </si>
  <si>
    <t>TH68020A</t>
  </si>
  <si>
    <t>TH68020C</t>
  </si>
  <si>
    <t>TH68072</t>
  </si>
  <si>
    <t>TH68072A</t>
  </si>
  <si>
    <t>TH68072C</t>
  </si>
  <si>
    <t>CD71038</t>
  </si>
  <si>
    <t>CD71038B</t>
  </si>
  <si>
    <t>CD71040</t>
  </si>
  <si>
    <t>CD71040C</t>
  </si>
  <si>
    <t>MD61015</t>
  </si>
  <si>
    <t>MD61019</t>
  </si>
  <si>
    <t>AN79004</t>
  </si>
  <si>
    <t>AN79005</t>
  </si>
  <si>
    <t>AN79006</t>
  </si>
  <si>
    <t>AN79007</t>
  </si>
  <si>
    <t>CD71043</t>
  </si>
  <si>
    <t>CD71044</t>
  </si>
  <si>
    <t>CD71048</t>
  </si>
  <si>
    <t>ID10001</t>
  </si>
  <si>
    <t>ID10001C</t>
  </si>
  <si>
    <t>COML032</t>
  </si>
  <si>
    <t>COML032C</t>
  </si>
  <si>
    <t>RT88228</t>
  </si>
  <si>
    <t>RT88232</t>
  </si>
  <si>
    <t>RT88236</t>
  </si>
  <si>
    <t>RT88240</t>
  </si>
  <si>
    <t>RT88244</t>
  </si>
  <si>
    <t>RT88248</t>
  </si>
  <si>
    <t>RT88322</t>
  </si>
  <si>
    <t>RV02033</t>
  </si>
  <si>
    <t>RV02040</t>
  </si>
  <si>
    <t>VE94025</t>
  </si>
  <si>
    <t>VE94026</t>
  </si>
  <si>
    <t>VE94027</t>
  </si>
  <si>
    <t>VE94028</t>
  </si>
  <si>
    <t>VE94029</t>
  </si>
  <si>
    <t>VE94042</t>
  </si>
  <si>
    <t>VE94043</t>
  </si>
  <si>
    <t>VE94044</t>
  </si>
  <si>
    <t>VE94048</t>
  </si>
  <si>
    <t>VE94049</t>
  </si>
  <si>
    <t>VE94075</t>
  </si>
  <si>
    <t>VE94083</t>
  </si>
  <si>
    <t>VE94084</t>
  </si>
  <si>
    <t>VE94085</t>
  </si>
  <si>
    <t>VE94086</t>
  </si>
  <si>
    <t>VE94087</t>
  </si>
  <si>
    <t>DD91022</t>
  </si>
  <si>
    <t>DD91024</t>
  </si>
  <si>
    <t>DD91035</t>
  </si>
  <si>
    <t>DD91034</t>
  </si>
  <si>
    <t>DD91036</t>
  </si>
  <si>
    <t>MT88005</t>
  </si>
  <si>
    <t>MT88006</t>
  </si>
  <si>
    <t>MT88007</t>
  </si>
  <si>
    <t>MT88008</t>
  </si>
  <si>
    <t>MD71220</t>
  </si>
  <si>
    <t>MD71220A</t>
  </si>
  <si>
    <t>MD71225</t>
  </si>
  <si>
    <t>MD71225A</t>
  </si>
  <si>
    <t>MD71221</t>
  </si>
  <si>
    <t>MD71224</t>
  </si>
  <si>
    <t>MD71521</t>
  </si>
  <si>
    <t>MD71530</t>
  </si>
  <si>
    <t>MD71530A</t>
  </si>
  <si>
    <t>RP00001</t>
  </si>
  <si>
    <t>RP00002</t>
  </si>
  <si>
    <t>CA03002</t>
  </si>
  <si>
    <t>CA03003</t>
  </si>
  <si>
    <t>CA03004</t>
  </si>
  <si>
    <t>FA06001</t>
  </si>
  <si>
    <t>FA06001A</t>
  </si>
  <si>
    <t>FA06001B</t>
  </si>
  <si>
    <t>FA06001C</t>
  </si>
  <si>
    <t>AN81007</t>
  </si>
  <si>
    <t>AN81008</t>
  </si>
  <si>
    <t>AN81009</t>
  </si>
  <si>
    <t>AN81010</t>
  </si>
  <si>
    <t>AN81013</t>
  </si>
  <si>
    <t>AN81014</t>
  </si>
  <si>
    <t>AN81015</t>
  </si>
  <si>
    <t>AN81016</t>
  </si>
  <si>
    <t>AN81017</t>
  </si>
  <si>
    <t>AN81018</t>
  </si>
  <si>
    <t>WC81084</t>
  </si>
  <si>
    <t>WC81085</t>
  </si>
  <si>
    <t>WC81086</t>
  </si>
  <si>
    <t>WC81093</t>
  </si>
  <si>
    <t>WC81231</t>
  </si>
  <si>
    <t>WC81232</t>
  </si>
  <si>
    <t>WC81233</t>
  </si>
  <si>
    <t>WC81234</t>
  </si>
  <si>
    <t>WC81235</t>
  </si>
  <si>
    <t>WC81236</t>
  </si>
  <si>
    <t>WC81237</t>
  </si>
  <si>
    <t>WC81238</t>
  </si>
  <si>
    <t>WC81239</t>
  </si>
  <si>
    <t>WC81291</t>
  </si>
  <si>
    <t>WC81305</t>
  </si>
  <si>
    <t>AW06001</t>
  </si>
  <si>
    <t>AW06002</t>
  </si>
  <si>
    <t>PU86107</t>
  </si>
  <si>
    <t>PU86108</t>
  </si>
  <si>
    <t>PU86134</t>
  </si>
  <si>
    <t>WC81001</t>
  </si>
  <si>
    <t>WC81002</t>
  </si>
  <si>
    <t>WC81003</t>
  </si>
  <si>
    <t>WC81023</t>
  </si>
  <si>
    <t>WC81162</t>
  </si>
  <si>
    <t>WC81163</t>
  </si>
  <si>
    <t>WC81164</t>
  </si>
  <si>
    <t>WC81173</t>
  </si>
  <si>
    <t>WC81174</t>
  </si>
  <si>
    <t>WC81165</t>
  </si>
  <si>
    <t>WC81166</t>
  </si>
  <si>
    <t>WC81167</t>
  </si>
  <si>
    <t>WC81168</t>
  </si>
  <si>
    <t>WC81169</t>
  </si>
  <si>
    <t>WC81170</t>
  </si>
  <si>
    <t>WC81171</t>
  </si>
  <si>
    <t>WC81172</t>
  </si>
  <si>
    <t>WC81175</t>
  </si>
  <si>
    <t>WC81176</t>
  </si>
  <si>
    <t>WC81177</t>
  </si>
  <si>
    <t>PS00009</t>
  </si>
  <si>
    <t>PS00010</t>
  </si>
  <si>
    <t>CJ94008</t>
  </si>
  <si>
    <t>CJ94009</t>
  </si>
  <si>
    <t>PL96005</t>
  </si>
  <si>
    <t>PL96012</t>
  </si>
  <si>
    <t>PL96013</t>
  </si>
  <si>
    <t>RT88339</t>
  </si>
  <si>
    <t>RT88343</t>
  </si>
  <si>
    <t>RT88022B</t>
  </si>
  <si>
    <t>RT88023B</t>
  </si>
  <si>
    <t>RT88033B</t>
  </si>
  <si>
    <t>RT88253</t>
  </si>
  <si>
    <t>RT88457</t>
  </si>
  <si>
    <t>RT88458</t>
  </si>
  <si>
    <t>RT88459</t>
  </si>
  <si>
    <t>RT88474B</t>
  </si>
  <si>
    <t>RT88504</t>
  </si>
  <si>
    <t>RT88553</t>
  </si>
  <si>
    <t>RT88636</t>
  </si>
  <si>
    <t>RT88853</t>
  </si>
  <si>
    <t>RT88856</t>
  </si>
  <si>
    <t>RT88857</t>
  </si>
  <si>
    <t>RT88858</t>
  </si>
  <si>
    <t>RT88936</t>
  </si>
  <si>
    <t>RT88076</t>
  </si>
  <si>
    <t>RT88082</t>
  </si>
  <si>
    <t>CJ88001</t>
  </si>
  <si>
    <t>CJ88001B</t>
  </si>
  <si>
    <t>CJ88116</t>
  </si>
  <si>
    <t>FI68102</t>
  </si>
  <si>
    <t>FI68106</t>
  </si>
  <si>
    <t>FI68304</t>
  </si>
  <si>
    <t>FI68307</t>
  </si>
  <si>
    <t>TH68005</t>
  </si>
  <si>
    <t>TH68010</t>
  </si>
  <si>
    <t>TH68010A</t>
  </si>
  <si>
    <t>TH68010B</t>
  </si>
  <si>
    <t>TH68010C</t>
  </si>
  <si>
    <t>TH78011</t>
  </si>
  <si>
    <t>TH78011A</t>
  </si>
  <si>
    <t>TH78012</t>
  </si>
  <si>
    <t>CD71039</t>
  </si>
  <si>
    <t>CD71047</t>
  </si>
  <si>
    <t>PC17002</t>
  </si>
  <si>
    <t>PC17003</t>
  </si>
  <si>
    <t>MD71070</t>
  </si>
  <si>
    <t>MD71071</t>
  </si>
  <si>
    <t>MD71072</t>
  </si>
  <si>
    <t>MD71413</t>
  </si>
  <si>
    <t>MD71413C</t>
  </si>
  <si>
    <t>MD71404</t>
  </si>
  <si>
    <t>MD71404C</t>
  </si>
  <si>
    <t>IA99012</t>
  </si>
  <si>
    <t>IA99013</t>
  </si>
  <si>
    <t>IA99014</t>
  </si>
  <si>
    <t>IA99015</t>
  </si>
  <si>
    <t>IA99016</t>
  </si>
  <si>
    <t>PF12001</t>
  </si>
  <si>
    <t>PF12002</t>
  </si>
  <si>
    <t>PU86149</t>
  </si>
  <si>
    <t>PU86150</t>
  </si>
  <si>
    <t>DP53001</t>
  </si>
  <si>
    <t>DP53002</t>
  </si>
  <si>
    <t>GM31050</t>
  </si>
  <si>
    <t>GM31051</t>
  </si>
  <si>
    <t>GM31052</t>
  </si>
  <si>
    <t>PP62001</t>
  </si>
  <si>
    <t>PP62002</t>
  </si>
  <si>
    <t>HY80025</t>
  </si>
  <si>
    <t>HY80043</t>
  </si>
  <si>
    <t>HY80047</t>
  </si>
  <si>
    <t>HY80048</t>
  </si>
  <si>
    <t>HY80049</t>
  </si>
  <si>
    <t>HY80050</t>
  </si>
  <si>
    <t>HY80051</t>
  </si>
  <si>
    <t>HY80089</t>
  </si>
  <si>
    <t>HY80107</t>
  </si>
  <si>
    <t>CJ94017</t>
  </si>
  <si>
    <t>CJ94018</t>
  </si>
  <si>
    <t>RT88056</t>
  </si>
  <si>
    <t>RT88057</t>
  </si>
  <si>
    <t>RT88406</t>
  </si>
  <si>
    <t>RT88041</t>
  </si>
  <si>
    <t>BL00001</t>
  </si>
  <si>
    <t>BL00002</t>
  </si>
  <si>
    <t>PR52032</t>
  </si>
  <si>
    <t>PR52033</t>
  </si>
  <si>
    <t>PR52034</t>
  </si>
  <si>
    <t>PR52035</t>
  </si>
  <si>
    <t>PR52036</t>
  </si>
  <si>
    <t>PR52037</t>
  </si>
  <si>
    <t>EW06001</t>
  </si>
  <si>
    <t>EW06002</t>
  </si>
  <si>
    <t>RT88003</t>
  </si>
  <si>
    <t>RT88575</t>
  </si>
  <si>
    <t>RT88575B</t>
  </si>
  <si>
    <t>RT88576</t>
  </si>
  <si>
    <t>RT88576B</t>
  </si>
  <si>
    <t>RT88327</t>
  </si>
  <si>
    <t>RT88328</t>
  </si>
  <si>
    <t>RT88334</t>
  </si>
  <si>
    <t>RT88334B</t>
  </si>
  <si>
    <t>RT88507</t>
  </si>
  <si>
    <t>RT88507B</t>
  </si>
  <si>
    <t>RT88524</t>
  </si>
  <si>
    <t>RT88525</t>
  </si>
  <si>
    <t>RT88202</t>
  </si>
  <si>
    <t>RT88389</t>
  </si>
  <si>
    <t>RT88096</t>
  </si>
  <si>
    <t>RT88291</t>
  </si>
  <si>
    <t>RT88292</t>
  </si>
  <si>
    <t>RL89001</t>
  </si>
  <si>
    <t>RL89002</t>
  </si>
  <si>
    <t>RL89006</t>
  </si>
  <si>
    <t>RL89075</t>
  </si>
  <si>
    <t>RL89076</t>
  </si>
  <si>
    <t>RL89077</t>
  </si>
  <si>
    <t>RL89078</t>
  </si>
  <si>
    <t>RL89079</t>
  </si>
  <si>
    <t>RL89117</t>
  </si>
  <si>
    <t>RL89123</t>
  </si>
  <si>
    <t>RL89124</t>
  </si>
  <si>
    <t>RL89125</t>
  </si>
  <si>
    <t>RL89126</t>
  </si>
  <si>
    <t>RL89142</t>
  </si>
  <si>
    <t>RL89145</t>
  </si>
  <si>
    <t>RL89151</t>
  </si>
  <si>
    <t>RL89158</t>
  </si>
  <si>
    <t>RL89159</t>
  </si>
  <si>
    <t>RL89160</t>
  </si>
  <si>
    <t>RL89161</t>
  </si>
  <si>
    <t>RL89162</t>
  </si>
  <si>
    <t>RL89165</t>
  </si>
  <si>
    <t>RL89166</t>
  </si>
  <si>
    <t>RL89167</t>
  </si>
  <si>
    <t>RL89168</t>
  </si>
  <si>
    <t>RL89171</t>
  </si>
  <si>
    <t>RL89172</t>
  </si>
  <si>
    <t>RL89175</t>
  </si>
  <si>
    <t>RL89176</t>
  </si>
  <si>
    <t>RL89177</t>
  </si>
  <si>
    <t>RL89178</t>
  </si>
  <si>
    <t>RL89205</t>
  </si>
  <si>
    <t>RL89208</t>
  </si>
  <si>
    <t>RL89209</t>
  </si>
  <si>
    <t>COML060</t>
  </si>
  <si>
    <t>COML061</t>
  </si>
  <si>
    <t>CJS Codes</t>
  </si>
  <si>
    <t xml:space="preserve">To request additional offences to be added to the index, or for any queries please contact eleanorneyroud@cambridge-ebp.co.uk </t>
  </si>
  <si>
    <t xml:space="preserve">The CCHI values are calculated by taking the number of days in prison suggested in England and Wales sentencing guidelines for the starting point sentence for that offence, and turning it into a number of days in prison. For example for murder the minimum sentence is 15 years - 15 X 365 = 5475 CCHI points. For offences where the starting point is either a community sentence or a fine, scores based on the number of hours needed to complete the unpaid work requirement of the community sentence or hours needed to work to pay off the fine are calculated (please see document calculating harm scores for non custodial offences for more detail). Where offences have no sentencing guidelines the closest type of offence with a sentencing guidline has been used to provide an approximate sentence. </t>
  </si>
  <si>
    <t>099.94.14.0</t>
  </si>
  <si>
    <t>Intentionally interfere with performance of aircraft crew member’s duty</t>
  </si>
  <si>
    <t>094/14</t>
  </si>
  <si>
    <t>Air Navigation Order 2016 Article 242 (1) and 265 (7)</t>
  </si>
  <si>
    <t>AN16270</t>
  </si>
  <si>
    <t>099.94.15.0</t>
  </si>
  <si>
    <t>Recklessly/negligently act in manner likely to endanger aircraft/person in an aircraft</t>
  </si>
  <si>
    <t>094/15</t>
  </si>
  <si>
    <t>AN16286</t>
  </si>
  <si>
    <t>105A.105.11.0</t>
  </si>
  <si>
    <t>Assault without Injury - Resisting or wilfully obstructing a traffic officer in the execution of their duties</t>
  </si>
  <si>
    <t>105/11</t>
  </si>
  <si>
    <t>Traffic Management Act 2004 Sec 10(2).</t>
  </si>
  <si>
    <t>105A.8.67.0A</t>
  </si>
  <si>
    <t>Attempted - Engage in controlling/coercive behaviour in an intimate / family relationship.</t>
  </si>
  <si>
    <t>CONTROLLING OR COERCIVE BEHAVIOUR</t>
  </si>
  <si>
    <t>8U</t>
  </si>
  <si>
    <t>106.36.06.0</t>
  </si>
  <si>
    <t>Hold person in slavery or servitude</t>
  </si>
  <si>
    <t>18 yrs</t>
  </si>
  <si>
    <t>https://www.sentencingcouncil.org.uk/offences/magistrates-court/item/slavery-servitude-and-forced-or-compulsory-labour-human-trafficking/</t>
  </si>
  <si>
    <t>106</t>
  </si>
  <si>
    <t>036/06</t>
  </si>
  <si>
    <t>Modern Slavery Act 2015 Sec 1 (1) (a) &amp; 5 (1)</t>
  </si>
  <si>
    <t>MS15001</t>
  </si>
  <si>
    <t>106.36.07.0</t>
  </si>
  <si>
    <t>Require person to perform forced or compulsory labour</t>
  </si>
  <si>
    <t>18 years</t>
  </si>
  <si>
    <t>036/07</t>
  </si>
  <si>
    <t>Modern Slavery Act 2015 Sec 1 (1) (b) &amp; 5 (1)</t>
  </si>
  <si>
    <t>MS15002</t>
  </si>
  <si>
    <t>106.36.07.0A</t>
  </si>
  <si>
    <t>Attempted - Require person to perform forced or compulsory labour</t>
  </si>
  <si>
    <t>106.36.08.0</t>
  </si>
  <si>
    <t>Arrange or facilitate travel of another person with a view to exploitation</t>
  </si>
  <si>
    <t>https://www.sentencingcouncil.org.uk/offences/magistrates-court/item/trafficking/</t>
  </si>
  <si>
    <t>036/08</t>
  </si>
  <si>
    <t>Modern Slavery Act 2015 Sec 2 (1) &amp; 5 (1)</t>
  </si>
  <si>
    <t>MS15003</t>
  </si>
  <si>
    <t>106.36.10.0</t>
  </si>
  <si>
    <t>Commit offence other than kidnapping or false imprisonment with intention of arranging travel with view to exploitation</t>
  </si>
  <si>
    <t>036/10</t>
  </si>
  <si>
    <t>Modern Slavery Act 2015 Sec 4 &amp; 5 (2)</t>
  </si>
  <si>
    <t>MS15005</t>
  </si>
  <si>
    <t>106.36.11.0</t>
  </si>
  <si>
    <t>Commit offence of kidnapping or false imprisonment with intention of arranging travel with view to exploitation</t>
  </si>
  <si>
    <t>036/11</t>
  </si>
  <si>
    <t>Modern Slavery Act 2015 Sec 4 &amp; 5 (3)</t>
  </si>
  <si>
    <t>MS15006</t>
  </si>
  <si>
    <t>106.36.11.0A</t>
  </si>
  <si>
    <t>Attempted - Commit offence of kidnapping or false imprisonment with intention of arranging travel with view to exploitation</t>
  </si>
  <si>
    <t>Used the harm score to reflect abduction/kidnapping</t>
  </si>
  <si>
    <t>106.36.12.0</t>
  </si>
  <si>
    <t>Do act prohibited by slavery and trafficking risk or prevention order</t>
  </si>
  <si>
    <t>Maximum on summary conviction =6 months. Suggest high level comm order to start with</t>
  </si>
  <si>
    <t>https://assets.publishing.service.gov.uk/government/uploads/system/uploads/attachment_data/file/610015/110417_-_statutory_guidance_part_2_-_GLAA_updates-_Final.pdf</t>
  </si>
  <si>
    <t>036/12</t>
  </si>
  <si>
    <t>Modern Slavery Act 2015 Sec 30 (1) &amp; (3)</t>
  </si>
  <si>
    <t>MS15007</t>
  </si>
  <si>
    <t>10A.8.23.0A</t>
  </si>
  <si>
    <t>Attempted - Possessing firearm or imitation firearm with intent to cause fear of violence</t>
  </si>
  <si>
    <t>Attempted - Possessing firearm or imitation firearm with intent to cause fear of violence (Indictable)</t>
  </si>
  <si>
    <t>FI68320,FI68320A,FI68321</t>
  </si>
  <si>
    <t>10A.8.24.0</t>
  </si>
  <si>
    <t>Possessing shotgun or imitation firearm with intent to cause fear of violence</t>
  </si>
  <si>
    <t>Possessing shotgun or imitation firearm with intent to cause fear of violence (Indictable)</t>
  </si>
  <si>
    <t>008/24</t>
  </si>
  <si>
    <t>FI68322</t>
  </si>
  <si>
    <t>10B.81.26.0A</t>
  </si>
  <si>
    <t>Attempted - Carrying loaded firearm or any other firearm (whether loaded or not) together with ammunition suitable for use in that firearm in a public place etc</t>
  </si>
  <si>
    <t>FI68088,FI68377</t>
  </si>
  <si>
    <t>10B.81.27.0A</t>
  </si>
  <si>
    <t>10C.8.61.0A</t>
  </si>
  <si>
    <t>Attempted - Threaten with an offensive weapon in a public place</t>
  </si>
  <si>
    <t>PC53002,PC53002B</t>
  </si>
  <si>
    <t>10D.8.64.0A</t>
  </si>
  <si>
    <t>Attempted - Threaten with a blade or sharply pointed article in a public place</t>
  </si>
  <si>
    <t>CJ88148,CJ88148B</t>
  </si>
  <si>
    <t>11A.109.7.0A</t>
  </si>
  <si>
    <t>Attempted - Cruelty to Children/Young Persons - Neglecting to provide for safety at children's entertainment</t>
  </si>
  <si>
    <t>15.15.1.0</t>
  </si>
  <si>
    <t>Concealment of birth</t>
  </si>
  <si>
    <t xml:space="preserve">Tricky. This is quite an old offence in the legislation. Max sentence stated to be imprisonment 2 year with hard labour. Suggest high level community order? </t>
  </si>
  <si>
    <t>2 years plus hard labour.</t>
  </si>
  <si>
    <t xml:space="preserve">If any Woman shall be delivered of a Child, every Person who shall, by any secret Disposition of the dead Body of the said Child, whether such Child died before, at, or after its Birth, endeavour to conceal the Birth thereof, shall be guilty of a Misdemeanor, and being convicted thereof shall be liable, at the Discretion of the Court, to be imprisoned for any Term not exceeding Two Years, with or without Hard Labour: Provided that if any Person tried for the Murder of any Child shall be acquitted thereof, it shall be lawful for the Jury by whose Verdict such Person shall be acquitted to find, in case it shall so appear in Evidence, that the Child had recently been born, and that such Person did, by some secret Disposition of the dead Body of such Child, endeavour to conceal the Birth thereof, and thereupon the Court may pass such Sentence as if such Person had been convicted upon an Indictment for the Concealment of the Birth. </t>
  </si>
  <si>
    <t>CONCEAL AN INFANT DEATH CLOSE TO BIRTH</t>
  </si>
  <si>
    <t>015/00</t>
  </si>
  <si>
    <t>Offences against the Person Act 1861 Sec 60</t>
  </si>
  <si>
    <t>17A.17.13.0A</t>
  </si>
  <si>
    <t>Attempted - Assault on a male by penetration</t>
  </si>
  <si>
    <t>Attempted - Assault on a male by penetration (Indictable)</t>
  </si>
  <si>
    <t>SX03006,SX03006B</t>
  </si>
  <si>
    <t>17B.17.14.0A</t>
  </si>
  <si>
    <t>Attempted - Assault of a male child under 13 by penetration</t>
  </si>
  <si>
    <t>Attempted - Assault of a male child under 13 by penetration (Indictable)</t>
  </si>
  <si>
    <t>19J.19.11.0</t>
  </si>
  <si>
    <t>Multiple Undefined Offenders Rape of a female aged under 16</t>
  </si>
  <si>
    <t>Multiple Undefined Offenders Rape of a female aged under 16. (Indictable)</t>
  </si>
  <si>
    <t>Used additional culpability plus harm to reflect that the offender had multiple offenders.</t>
  </si>
  <si>
    <t>SX03001,SX03001C,SX56070,SX56070B,SX56070C</t>
  </si>
  <si>
    <t>19J.19.16.0</t>
  </si>
  <si>
    <t>Multiple Undefined Offenders Rape of a female child under 13</t>
  </si>
  <si>
    <t>Multiple Undefined Offenders Rape of a female under 13 (Indictable)</t>
  </si>
  <si>
    <t>13 years</t>
  </si>
  <si>
    <t>SX03013,SX03013B,SX03014B</t>
  </si>
  <si>
    <t>19J.19.7.0</t>
  </si>
  <si>
    <t>19K.19.10.0</t>
  </si>
  <si>
    <t>Multiple Undefined Offenders Rape of a male aged 16 or over</t>
  </si>
  <si>
    <t>Multiple Undefined Offenders Rape of a male (16 or over) (Indictable)</t>
  </si>
  <si>
    <t>19K</t>
  </si>
  <si>
    <t>SX03004,SX56073</t>
  </si>
  <si>
    <t>20A.20.3.0A</t>
  </si>
  <si>
    <t>Attempted - Assault on a female by penetration</t>
  </si>
  <si>
    <t>Attempted - Assault on a female by penetration (Indictable)</t>
  </si>
  <si>
    <t>SX03005,SX03005B</t>
  </si>
  <si>
    <t>21.21.14.0A</t>
  </si>
  <si>
    <t>Attempted - Causing or inciting a child under 13 to engage in sexual activity by an offender under 18 years of age: Female child - penetration</t>
  </si>
  <si>
    <t>21.21.17.0</t>
  </si>
  <si>
    <t>Causing a child under 13 to watch a sexual act by an offender under 18 years of age</t>
  </si>
  <si>
    <t>021/17</t>
  </si>
  <si>
    <t>SX03045</t>
  </si>
  <si>
    <t>21.21.24.0A</t>
  </si>
  <si>
    <t>Attempted - Causing or inciting a child under 13 to engage in sexual activity by an offender under 18 years of age: Female child  no penetration</t>
  </si>
  <si>
    <t>21.21.4.0</t>
  </si>
  <si>
    <t>Causing or inciting a child under 13 to engage in sexual activity: Male child - penetration</t>
  </si>
  <si>
    <t>Causing or inciting a child under 13 to engage in sexual activity: Male child - penetration (Indictable)</t>
  </si>
  <si>
    <t>021/04</t>
  </si>
  <si>
    <t>SX03022</t>
  </si>
  <si>
    <t>22B.22.11.0A</t>
  </si>
  <si>
    <t>Attempted - Causing a child under 16 to watch a sexual act - Offender aged 18 or over</t>
  </si>
  <si>
    <t>SX03034,SX03034A</t>
  </si>
  <si>
    <t>22B.22.14.0A</t>
  </si>
  <si>
    <t>Attempted - Causing or inciting a female child under 16 to engage in sexual activity by Penetration - Offender Under 18</t>
  </si>
  <si>
    <t>22B.22.16.0</t>
  </si>
  <si>
    <t>Engaging in sexual activity in the presence of a child under 16 - Offender aged Under 18</t>
  </si>
  <si>
    <t>022/16</t>
  </si>
  <si>
    <t>SX03044</t>
  </si>
  <si>
    <t>22B.22.17.0A</t>
  </si>
  <si>
    <t>Attempted - Causing a child under 16 to watch a sexual act - Offender aged Under 18</t>
  </si>
  <si>
    <t>22B.22.19.0A</t>
  </si>
  <si>
    <t>Attempted - Sexual activity with a male child under 16 No penetration - Offender 18 or over</t>
  </si>
  <si>
    <t>22B.22.9.0</t>
  </si>
  <si>
    <t>Causing or inciting a male child under 16 to engage in sexual activity by Penetration - Offender 18 or over</t>
  </si>
  <si>
    <t>Causing or inciting a male child under 16 to engage in sexual activity by Penetration - Offender 18 or over (Indictable)</t>
  </si>
  <si>
    <t>022/09</t>
  </si>
  <si>
    <t>SX03030,SX03030A</t>
  </si>
  <si>
    <t>22B.22.9.0A</t>
  </si>
  <si>
    <t>Attempted - Causing or inciting a male child under 16 to engage in sexual activity by Penetration - Offender 18 or over</t>
  </si>
  <si>
    <t>Attempted - Causing or inciting a male child under 16 to engage in sexual activity by Penetration - Offender 18 or over (Indictable)</t>
  </si>
  <si>
    <t>23.23.10.0</t>
  </si>
  <si>
    <t>Inciting a child family member to engage in sexual activity - Female - Victim aged 13-20 - Under 18 - no penetration</t>
  </si>
  <si>
    <t>23.23.17.0</t>
  </si>
  <si>
    <t>Sexual activity with a child family member - Male - Victim Under 13 - Under 18 - no penetration</t>
  </si>
  <si>
    <t>Sexual activity with a child family member - Male - Victim Under 13 - Under 18 -no penetration no penetration</t>
  </si>
  <si>
    <t>023/17</t>
  </si>
  <si>
    <t>SX03063,SX03063C</t>
  </si>
  <si>
    <t>23.23.20.0</t>
  </si>
  <si>
    <t>Inciting a child family member to engage in sexual activity - Female - Victim Under 13 - Under 18 - no penetration</t>
  </si>
  <si>
    <t>023/20</t>
  </si>
  <si>
    <t>SX03070</t>
  </si>
  <si>
    <t>23.23.22.0</t>
  </si>
  <si>
    <t>Sexual activity with a child family member - Female - Victim aged 13-18 - 18 or over - no penetration</t>
  </si>
  <si>
    <t>023/22</t>
  </si>
  <si>
    <t>SX03174,SX03174C</t>
  </si>
  <si>
    <t>23.23.24.0</t>
  </si>
  <si>
    <t>Sexual activity with a child family member - Female - Victim Under 13 - 18 or over - no penetration</t>
  </si>
  <si>
    <t>023/24</t>
  </si>
  <si>
    <t>SX03172,SX03172C</t>
  </si>
  <si>
    <t>23.23.25.0</t>
  </si>
  <si>
    <t>Sexual activity with a child family member - Male - Victim Under 13 - 18 or over - no penetration</t>
  </si>
  <si>
    <t>023/25</t>
  </si>
  <si>
    <t>SX03173,SX03173C</t>
  </si>
  <si>
    <t>23.23.30.0</t>
  </si>
  <si>
    <t>Sexual activity with a child family member - Female - Victim Under 13 - Under 18 - penetration</t>
  </si>
  <si>
    <t>023/30</t>
  </si>
  <si>
    <t>SX03181,SX03181C</t>
  </si>
  <si>
    <t>23.23.7.0</t>
  </si>
  <si>
    <t>Sexual activity with a child family member - Male - Victim aged 13-20 - Under 18 - no penetration</t>
  </si>
  <si>
    <t>023/07</t>
  </si>
  <si>
    <t>SX03067,SX03067C</t>
  </si>
  <si>
    <t>27.167.2.0</t>
  </si>
  <si>
    <t>Paying or promising to pay a person to provide sexual services, where that person is subject to exploitative conduct to induce or encourage them to provide those services</t>
  </si>
  <si>
    <t>Paying or promising to pay a person to provide sexual services, who is subject to exploitative conduct to induce or encourage them to provide those services</t>
  </si>
  <si>
    <t>167/02</t>
  </si>
  <si>
    <t>Sexual Offences Act 2003 Sec 53A. Added by Policing and Crime Act 2009 Sec 14</t>
  </si>
  <si>
    <t>SX03212</t>
  </si>
  <si>
    <t>28A.28.1.0</t>
  </si>
  <si>
    <t>EXPIRED – NOT FOR USE AFTER 31/03/17 – Burglary in a dwelling with intent to commit an offence</t>
  </si>
  <si>
    <t>EXPIRED – NOT FOR USE AFTER 31/03/17 – (Indictable) Dwelling Burglary with intent to commit indictable offence</t>
  </si>
  <si>
    <t>BURGLARY IN A DWELLING</t>
  </si>
  <si>
    <t>28A</t>
  </si>
  <si>
    <t>028/01</t>
  </si>
  <si>
    <t>TH68030,TH68030A,TH68030C</t>
  </si>
  <si>
    <t>29A.29.0.4A</t>
  </si>
  <si>
    <t>Attempted Aggravated Burglary - Residential - Non-Dwelling</t>
  </si>
  <si>
    <t>TH68039,TH68040,TH68041,TH68044,TH68045,TH68045A,TH68046,TH68047,TH68048</t>
  </si>
  <si>
    <t>37.2.131.3.0A</t>
  </si>
  <si>
    <t>Attempted Aggravated vehicle taking (driving / being carried) offences causing damage to vehicle and / or property under £5000</t>
  </si>
  <si>
    <t>TH68144, TH68146, TH68150, TH68152, TH68156, TH68158, TH68159, TH68160, TH68161,</t>
  </si>
  <si>
    <t>38.38.2.0</t>
  </si>
  <si>
    <t>Arrangements - concerned in arrangement, knows or suspects, facilitates acquisition, retention, use or control of criminal property by, or on behalf of another person</t>
  </si>
  <si>
    <t>Concerned in arrangement, knows or suspects, facilitates acquisition, retention, use or control of criminal property by, or on behalf of another person</t>
  </si>
  <si>
    <t>038/02</t>
  </si>
  <si>
    <t>Proceeds of Crime Act 2002 Sec 328</t>
  </si>
  <si>
    <t>CJ88119,CJ88120,PC02006,PC02006C</t>
  </si>
  <si>
    <t>4.6.4.13.0</t>
  </si>
  <si>
    <t>Cause death by driving without due care/consideration while over prescribed limit - specified controlled drug</t>
  </si>
  <si>
    <t>Cause death by driving without due care/consideration while over prescribed limit - specified controlled drug (Indictable)</t>
  </si>
  <si>
    <t>DEATH BY CARELESS DRIVING  D AND D</t>
  </si>
  <si>
    <t>4/6</t>
  </si>
  <si>
    <t>004/13</t>
  </si>
  <si>
    <t>Road Traffic Act 1988 3A 1(b)</t>
  </si>
  <si>
    <t>RT88527</t>
  </si>
  <si>
    <t>4.6.4.6.0</t>
  </si>
  <si>
    <t>Causing death by careless driving when under the influence of drink or drugs</t>
  </si>
  <si>
    <t>Causing death by careless driving when under the influence of drink or drugs (Indictable)</t>
  </si>
  <si>
    <t>004/06</t>
  </si>
  <si>
    <t>Road Traffic Act 1988 Sec 3A (as added by the Road Traffic Act 1991 Sec 3 and amended by Criminal Justice Act 1993 Sec 67)</t>
  </si>
  <si>
    <t>RT88501,RT88502,RT88554,RT88583</t>
  </si>
  <si>
    <t>4.7.4.7.0</t>
  </si>
  <si>
    <t>Cause or allow the death of a child or vulnerable person</t>
  </si>
  <si>
    <t>Cause or allow the death of a child or vulnerable person (Indictable)</t>
  </si>
  <si>
    <t>004/07</t>
  </si>
  <si>
    <t>Domestic Violence, Crime and Victims Act 2004 Sec 5.</t>
  </si>
  <si>
    <t>DV04001</t>
  </si>
  <si>
    <t>58A.149.0.1</t>
  </si>
  <si>
    <t>Other criminal damage to a residence (Under £5,000)</t>
  </si>
  <si>
    <t>CRIMINAL DAMAGE - RESIDENTIAL</t>
  </si>
  <si>
    <t>CD71039,CD71047</t>
  </si>
  <si>
    <t>58A.149.0.1A</t>
  </si>
  <si>
    <t>Attempted - Other criminal damage to a residence (Under £5,000)</t>
  </si>
  <si>
    <t>58A.57.0.1</t>
  </si>
  <si>
    <t>Other criminal damage to a residence endangering life</t>
  </si>
  <si>
    <t>057</t>
  </si>
  <si>
    <t>CD71041,CD71042,EX83026,EX83027,EX83028,MD61013,MD61017,MD61020,MD61021,MD61022,MD61023,MD61024,MD61025,MD61026,MD61027,MD61028</t>
  </si>
  <si>
    <t>58A.58.0.1</t>
  </si>
  <si>
    <t>Other criminal damage to a residence (£5,000 and over)</t>
  </si>
  <si>
    <t>058</t>
  </si>
  <si>
    <t>CD71038,CD71038B,CD71040,CD71040C,MD61015,MD61019,AN79004,AN79005,AN79006,AN79007</t>
  </si>
  <si>
    <t>58A.58.0.1A</t>
  </si>
  <si>
    <t>Attempted - Other criminal damage to a residence (£5,000 and over)</t>
  </si>
  <si>
    <t>58B.149.0.1</t>
  </si>
  <si>
    <t>Other criminal damage to a building - business and community (Under £5,000)</t>
  </si>
  <si>
    <t>CRIMINAL DAMAGE TO A BUILDING - BUSINESS</t>
  </si>
  <si>
    <t>58B.149.0.1A</t>
  </si>
  <si>
    <t>Attempted - Other criminal damage to a building - business and community (Under £5,000)</t>
  </si>
  <si>
    <t>58B.57.0.1</t>
  </si>
  <si>
    <t>Other criminal damage to a building endangering life - business and community</t>
  </si>
  <si>
    <t>58B.57.0.1A</t>
  </si>
  <si>
    <t>Attempted - Other criminal damage to a building endangering life - business and community</t>
  </si>
  <si>
    <t>CD71041A</t>
  </si>
  <si>
    <t>58B.58.0.0A</t>
  </si>
  <si>
    <t>Attempted - Other criminal damage to a building other than a dwelling (£5,000 and over)</t>
  </si>
  <si>
    <t>58B.58.0.1</t>
  </si>
  <si>
    <t>Other criminal damage to a building - business and community (£5,000 and over)</t>
  </si>
  <si>
    <t>59.59.13.0</t>
  </si>
  <si>
    <t>Possessing anything with intent to destroy or damage property</t>
  </si>
  <si>
    <t>059/13</t>
  </si>
  <si>
    <t>Criminal Damage Act 1971 Sec 3</t>
  </si>
  <si>
    <t>CD71045,CD71046</t>
  </si>
  <si>
    <t>5E.5.10.0A</t>
  </si>
  <si>
    <t>Attempted - Endangering Life - Administering poison so as to endanger life</t>
  </si>
  <si>
    <t>Attempted - Administering poison so as to endanger life (Indictable)</t>
  </si>
  <si>
    <t>5E.5.16.0</t>
  </si>
  <si>
    <t>Possession of air weapon with intent to endanger life</t>
  </si>
  <si>
    <t>Possession of air weapon with intent to endanger life (Indictable)</t>
  </si>
  <si>
    <t>005/16</t>
  </si>
  <si>
    <t>FI68062</t>
  </si>
  <si>
    <t>5E.5.20.0</t>
  </si>
  <si>
    <t>Endangering Life - Use of chemical weapons</t>
  </si>
  <si>
    <t>Use chemical weapons to endanger life (Indictable)</t>
  </si>
  <si>
    <t>005/20</t>
  </si>
  <si>
    <t>Chemical Weapons Act 1996 Sec 2.</t>
  </si>
  <si>
    <t>CW96025,CW96026,CW96027,CW96023,CW96024</t>
  </si>
  <si>
    <t>5E.6.3.0</t>
  </si>
  <si>
    <t>Endangering Life - Endangering railway passengers by unlawful acts, or by omission or neglect</t>
  </si>
  <si>
    <t>Endangering Life - by unlawful acts, or by omission or neglect</t>
  </si>
  <si>
    <t>006/03</t>
  </si>
  <si>
    <t>Offences against the Person Act 1861 Sec 34.</t>
  </si>
  <si>
    <t>OF61124,OF61125</t>
  </si>
  <si>
    <t>5E.7.2.0</t>
  </si>
  <si>
    <t>Endangering Life - Not waiting to save lives in collision</t>
  </si>
  <si>
    <t>007/02</t>
  </si>
  <si>
    <t>Merchant Shipping Act 1995 Sec 92(1)(3).</t>
  </si>
  <si>
    <t>61.61.23.1</t>
  </si>
  <si>
    <t>Possess false instrument or materials to make false instrument</t>
  </si>
  <si>
    <t>061/23</t>
  </si>
  <si>
    <t>Forgery &amp; Counterfeiting Act 1981 Sec 5</t>
  </si>
  <si>
    <t>FC81009,FC81010,FC81011,FC81012,FC81013,FC81014</t>
  </si>
  <si>
    <t>61A.61.39.0A</t>
  </si>
  <si>
    <t>Attempted - Make / possess / control apparatus / article / material designed / adapted for making false identity documents</t>
  </si>
  <si>
    <t>Attempted - Make / possess / control apparatus / article / material designed / adapted for making false identity documents (Indictable)</t>
  </si>
  <si>
    <t>ID10002,ID10002C</t>
  </si>
  <si>
    <t>66.66.2.0</t>
  </si>
  <si>
    <t>Contempt of Court</t>
  </si>
  <si>
    <t>066/02</t>
  </si>
  <si>
    <t>66.66.26.0</t>
  </si>
  <si>
    <t>Distributing, showing or playing a recording (Acts intended to stir up racial hatred)</t>
  </si>
  <si>
    <t>066/26</t>
  </si>
  <si>
    <t>Public Order Act 1986 Sec 21.Cannot proceed without consent of Attorney General.</t>
  </si>
  <si>
    <t>PU86109,PU86110</t>
  </si>
  <si>
    <t>66.66.28.0</t>
  </si>
  <si>
    <t>Possession of racially inflammatory material (Acts intended to stir up racial hatred)</t>
  </si>
  <si>
    <t>066/28</t>
  </si>
  <si>
    <t>Public Order Act 1986 Sec 23. Cannot proceed without consent of Attorney General.</t>
  </si>
  <si>
    <t>PU86111,PU86112</t>
  </si>
  <si>
    <t>66.66.42.0</t>
  </si>
  <si>
    <t>Interference with contractual relationships so as to harm animal research organisation</t>
  </si>
  <si>
    <t>066/42</t>
  </si>
  <si>
    <t>Serious Organised Crime &amp; Police Act 2005 Sec 145.</t>
  </si>
  <si>
    <t>SO05023</t>
  </si>
  <si>
    <t>66.66.43.0</t>
  </si>
  <si>
    <t>Intimidation of persons connected with animal research organisations</t>
  </si>
  <si>
    <t>066/43</t>
  </si>
  <si>
    <t>Serious Organised Crime &amp; Police Act 2005 Sec 146.</t>
  </si>
  <si>
    <t>SO05024</t>
  </si>
  <si>
    <t>66.66.87.0</t>
  </si>
  <si>
    <t>Fail to comply with requirements of periodic notifications under Sec 110(1)</t>
  </si>
  <si>
    <t>066/87</t>
  </si>
  <si>
    <t>CJ08008</t>
  </si>
  <si>
    <t>66.66.99.3</t>
  </si>
  <si>
    <t>Public order offences in relation to terrorism</t>
  </si>
  <si>
    <t>066/99</t>
  </si>
  <si>
    <t>Terrorism Act 2000 Secs 11, 12, 15-19, 22, 39, 54 and 56-59.</t>
  </si>
  <si>
    <t>PT00016,PT00017,PT00018,PT00019,PT00020,PT00021,PT00022,PT00023,PT00024,PT00025,PT00026,PT00031,PT00032,PT00034,PT00035,PT00036,PT00037,PT00038,PT00039,PT00040,PT00041,PT00042,PT00043,PT00044,PT00045,PT00046,PT00047,PT00048,PT00056,PT00057,AL10001,AL10002,AL10003,AL10004,AL10005,AL10006,AL10007,AL10008,AL10011,AL10013,CT94022,CT94023,CT94024,CT94025,CT94026,CT94027,CT94029,CT94030,CT94031,CT94033,CT94034,CT94035,CT94036,CT94037,CT94038,CT94039,CT94040,CT94041,CT94042,CT94044,CT94045,CT94046,CT94047,CT94048,CT94049,CT94050,CT94051,CT94052,CT94053,CT94054,CT94055,CT94056,CT94057,CT94058,CT94059,CT94060,CT94061,CT94062,CT94064,CT94066,CT94067,CT94068,CT94078</t>
  </si>
  <si>
    <t>66.68.1.0</t>
  </si>
  <si>
    <t>Participate in the criminal activities of an organised crime group</t>
  </si>
  <si>
    <t>Participate in the criminal activities of an organised crime group (Indictable)</t>
  </si>
  <si>
    <t>068/01</t>
  </si>
  <si>
    <t>Serious Crime Act 2015 Sec 45 (1) &amp; (9)</t>
  </si>
  <si>
    <t>SC15001</t>
  </si>
  <si>
    <t>66.68.15.0</t>
  </si>
  <si>
    <t>Triable either-way offences Poisons Act 1972 Sec 3(1) 3A (1) 3B (1)</t>
  </si>
  <si>
    <t>068/15</t>
  </si>
  <si>
    <t>Poisons Act 1972 sections 3(1) 3A (1) 3B (1)</t>
  </si>
  <si>
    <t>PA72003, PA72003, PA72007</t>
  </si>
  <si>
    <t>66.68.18.0</t>
  </si>
  <si>
    <t>Offences relating to notification Stalking Protection Act 2019</t>
  </si>
  <si>
    <t>68/16</t>
  </si>
  <si>
    <t>Stalking Protection Act 2019, section 8(1) and (2)</t>
  </si>
  <si>
    <t>ST19002, ST19006, ST19004, ST19003, ST19005</t>
  </si>
  <si>
    <t>66.68.3.0</t>
  </si>
  <si>
    <t>Unauthorised act in relation to a computer causing /creating risk of serious damage to human welfare / national security</t>
  </si>
  <si>
    <t>Unauthorised act in relation to a computer causing /creating risk of serious damage to human welfare / national security (Indictable)</t>
  </si>
  <si>
    <t>068/03</t>
  </si>
  <si>
    <t>The Computer Misuse Act 1990 Sec 3ZA (1) and (7) as amended by the Serious Crime Act 2015 Sec 41</t>
  </si>
  <si>
    <t>CM90011</t>
  </si>
  <si>
    <t>66.68.8.0A</t>
  </si>
  <si>
    <t>Attempted - Breach SHPO / interim SHPO / SOPO / interim SOPO / Foreign travel order or fail to comply with a requirement under Sec 103D (4)</t>
  </si>
  <si>
    <t>SX03221,SX03220</t>
  </si>
  <si>
    <t>67.67.2.7</t>
  </si>
  <si>
    <t>False statements etc - marriage</t>
  </si>
  <si>
    <t>Perjury Act 1911 Sec 3</t>
  </si>
  <si>
    <t>CJ94020,CJ94021,CJ94022,CJ94023,PJ11003,PJ11004,PJ11008,PJ11009,PJ11010,PJ11011,PJ11013,PJ11014,PJ11015,PJ11016,PJ11017,PJ11018,PJ11019,PJ11020,PJ11021,PJ11022,PJ11023,PJ11024,PJ11025,CJ25001</t>
  </si>
  <si>
    <t>70.70.10.0</t>
  </si>
  <si>
    <t>Causing a person with a mental disorder impeding choice to watch a sexual act</t>
  </si>
  <si>
    <t>070/10</t>
  </si>
  <si>
    <t>Sexual Offences Act 2003 Sec 33.</t>
  </si>
  <si>
    <t>SX03087</t>
  </si>
  <si>
    <t>70.70.19.0</t>
  </si>
  <si>
    <t>Care workers: Sexual activity with a person with a mental disorder: Male person - no penetration</t>
  </si>
  <si>
    <t>070/19</t>
  </si>
  <si>
    <t>SX03095</t>
  </si>
  <si>
    <t>70.70.3.0</t>
  </si>
  <si>
    <t>Sexual activity with a person with a mental disorder impeding choice: Male person  no penetration</t>
  </si>
  <si>
    <t>070/03</t>
  </si>
  <si>
    <t>SX03079</t>
  </si>
  <si>
    <t>70.70.7.0</t>
  </si>
  <si>
    <t>Causing or inciting a person with a mental disorder impeding choice to engage in sexual activity: Male person  no penetration</t>
  </si>
  <si>
    <t>070/07</t>
  </si>
  <si>
    <t>SX03083</t>
  </si>
  <si>
    <t>70.70.8.0</t>
  </si>
  <si>
    <t>Causing or inciting a person with a mental disorder impeding choice to engage in sexual activity: Female person  no penetration</t>
  </si>
  <si>
    <t>71.71.10.0</t>
  </si>
  <si>
    <t>Arranging or facilitating the sexual exploitation of a child: Child 13 - 17</t>
  </si>
  <si>
    <t>071/10</t>
  </si>
  <si>
    <t>Sexual Offences Act 2003 Sec 50.</t>
  </si>
  <si>
    <t>SX03117,SX03117C</t>
  </si>
  <si>
    <t>71.71.11.0</t>
  </si>
  <si>
    <t>Cause the sexual exploitation of a child: Child under 13</t>
  </si>
  <si>
    <t>071/11</t>
  </si>
  <si>
    <t>SX03112</t>
  </si>
  <si>
    <t>71.71.13.0A</t>
  </si>
  <si>
    <t>Attempted - Arranging or facilitating the sexual exploitation of a child: Child under 13</t>
  </si>
  <si>
    <t>071/13</t>
  </si>
  <si>
    <t>SX03116,SX03116C</t>
  </si>
  <si>
    <t>71.71.16.0</t>
  </si>
  <si>
    <t>Possess a paedophile manual</t>
  </si>
  <si>
    <t>071/16</t>
  </si>
  <si>
    <t>Serious Crime Act 2015 Sec 69</t>
  </si>
  <si>
    <t>SC15003</t>
  </si>
  <si>
    <t>71.71.6.0</t>
  </si>
  <si>
    <t>Paying for sexual service of a child: Female child under 18</t>
  </si>
  <si>
    <t>071/06</t>
  </si>
  <si>
    <t>Sexual Offences Act 2003 Sec 47.</t>
  </si>
  <si>
    <t>SX03110</t>
  </si>
  <si>
    <t>71.71.7.0</t>
  </si>
  <si>
    <t>Paying for sexual service of a child: Male child under 18</t>
  </si>
  <si>
    <t>071/07</t>
  </si>
  <si>
    <t>SX03111</t>
  </si>
  <si>
    <t>73.73.11.1</t>
  </si>
  <si>
    <t>Abuse of position of trust: sexual activity in presence of a female child aged 13-17 Suspect aged 18 or over</t>
  </si>
  <si>
    <t>073/11</t>
  </si>
  <si>
    <t>Sexual Offences Act 2003 Sec 18</t>
  </si>
  <si>
    <t>SX03059,SX03198</t>
  </si>
  <si>
    <t>76.76.1.0A</t>
  </si>
  <si>
    <t>Attempted - Intentionally doing an act capable of encouraging or assisting the suicide or attempted suicide of another</t>
  </si>
  <si>
    <t>Attempted - Intentionally doing an act capable of encouraging or assisting the suicide or attempted suicide of another (Indictable)</t>
  </si>
  <si>
    <t>SU61003,SU61004</t>
  </si>
  <si>
    <t>79.79.4.0A</t>
  </si>
  <si>
    <t>Attempted - Intimidating or intending to intimidate a witness</t>
  </si>
  <si>
    <t>81.81.9.0</t>
  </si>
  <si>
    <t>Selling etc, firearm to person without a certificate</t>
  </si>
  <si>
    <t>081/09</t>
  </si>
  <si>
    <t>Firearms Act 1968 Sec 3(2) as amended by Criminal Justice &amp; Public Order Act 1994 Sec 157 Sch. 8 part III</t>
  </si>
  <si>
    <t>FI68020,FI68022,FI68436</t>
  </si>
  <si>
    <t>86.86.1.0</t>
  </si>
  <si>
    <t>Possessing obscene material for gain</t>
  </si>
  <si>
    <t>086/01</t>
  </si>
  <si>
    <t>Obscene Publications Act 1959 Sec 2 as amended by the      Obscene Publications Act 1964 Sec 1</t>
  </si>
  <si>
    <t>OP59003,OP59004</t>
  </si>
  <si>
    <t>86.86.11.0</t>
  </si>
  <si>
    <t>Possession of extreme pornographic images - an act which threatens a person's life</t>
  </si>
  <si>
    <t>086/11</t>
  </si>
  <si>
    <t>CJ08001</t>
  </si>
  <si>
    <t>86.86.13.0</t>
  </si>
  <si>
    <t>Possession of extreme pornographic images - an act which involves sexual interference with a human corpse (necrophilia)</t>
  </si>
  <si>
    <t>086/13</t>
  </si>
  <si>
    <t>CJ08003,CJ08003C</t>
  </si>
  <si>
    <t>86.86.17.0</t>
  </si>
  <si>
    <t>Possess an extreme image portraying sexual assault by penetration</t>
  </si>
  <si>
    <t>086/17</t>
  </si>
  <si>
    <t>Criminal Justice and Immigration Act 2005 Sec 63 (1) 7 (b) and 67 (2)</t>
  </si>
  <si>
    <t>CJ08014</t>
  </si>
  <si>
    <t>88C.88.5.0A</t>
  </si>
  <si>
    <t>Attempted - Administering a substance with intent</t>
  </si>
  <si>
    <t>88D.88.3.0</t>
  </si>
  <si>
    <t>Intercourse with an animal by a male</t>
  </si>
  <si>
    <t>UNNATURAL SEXUAL OFFENCES</t>
  </si>
  <si>
    <t>88D</t>
  </si>
  <si>
    <t>088/03</t>
  </si>
  <si>
    <t>Sexual Offences Act 2003 Sec 69 (1)(3)</t>
  </si>
  <si>
    <t>SX03134,SX03136</t>
  </si>
  <si>
    <t>8L.8.31.0A</t>
  </si>
  <si>
    <t>Attempted - Harassment - Breach of a restraining order</t>
  </si>
  <si>
    <t>Attempted - Breach of a restraining order</t>
  </si>
  <si>
    <t>PH97003,PH97003A,SE20002</t>
  </si>
  <si>
    <t>EC08001,PH97004,SE20002</t>
  </si>
  <si>
    <t>8L.8.72.0</t>
  </si>
  <si>
    <t>EXPIRED – NOT FOR USE AFTER 31/03/17 –  Sending letters etc with intent to cause distress or anxiety</t>
  </si>
  <si>
    <t>EXPIRED – NOT FOR USE AFTER 31/03/17 –  Sending letters etc with intent to cause distress or anxiety, Malicious Communications Act 1988</t>
  </si>
  <si>
    <t>MT88005,MT88006,MT88007,MT88008</t>
  </si>
  <si>
    <t>8N.8.21.0A</t>
  </si>
  <si>
    <t>Attempted - Owner or person in charge allowing dog to be dangerously out of control in a public place injuring any person</t>
  </si>
  <si>
    <t>DD91022,DD91024</t>
  </si>
  <si>
    <t>8N.8.4.0A</t>
  </si>
  <si>
    <t>Attempted - Assault with Injury - Drivers injuring persons by furious driving</t>
  </si>
  <si>
    <t>Attempted - Drivers injuring persons by furious driving (Indictable)</t>
  </si>
  <si>
    <t>OF61089,OF61090,OF61091,OF61092</t>
  </si>
  <si>
    <t>8N.8.69.0A</t>
  </si>
  <si>
    <t>Attempted - Care worker ill-treat /wilfully neglect an individual</t>
  </si>
  <si>
    <t>8N.8.70.0</t>
  </si>
  <si>
    <t>Care provider breach duty of care resulting in ill-treatment/neglect of individual</t>
  </si>
  <si>
    <t>008/70</t>
  </si>
  <si>
    <t>Criminal Justice and Courts Act 2015 Sec 21 (1) &amp; 23 (1)</t>
  </si>
  <si>
    <t>CJ15002</t>
  </si>
  <si>
    <t>8P.8.59.0A</t>
  </si>
  <si>
    <t>Attempted - Racially or religiously aggravated wounding or grievous bodily harm</t>
  </si>
  <si>
    <t>Stalking - Pursue course of conduct in breach of Sec 1 (1) which amounts to stalking</t>
  </si>
  <si>
    <t>8Q.8.74.0</t>
  </si>
  <si>
    <t>Breach of a stalking order or interim stalking order</t>
  </si>
  <si>
    <t>008/74</t>
  </si>
  <si>
    <t>ST19001</t>
  </si>
  <si>
    <t>Disclose or threats to disclose private sexual photographs/film with intent to cause distress.</t>
  </si>
  <si>
    <t>8S.5.1.2A</t>
  </si>
  <si>
    <t>Attempted - Assault Police - Cause GBH with intent to resist/prevent arrest.</t>
  </si>
  <si>
    <t>Attempted - Assault Police - Cause GBH with intent to resist/prevent arrest. (S.18)</t>
  </si>
  <si>
    <t>OF61016,OF61016A,OF61017,OF61017A,OF61017C,OF61018,OF61019</t>
  </si>
  <si>
    <t>8T.5.1.0</t>
  </si>
  <si>
    <t>Assault Other Emergency Worker -Wounding with intent to do grievous bodily harm (Indictable) (S.18)</t>
  </si>
  <si>
    <t>ASSAULT WITH INJURY ON AN EMERGENCY WORK</t>
  </si>
  <si>
    <t>8T</t>
  </si>
  <si>
    <t>8T.5.1.1</t>
  </si>
  <si>
    <t>Assault Other Emergency Worker - Wounding with intent to resist/prevent arrest (S.18)</t>
  </si>
  <si>
    <t>8T.8.1.1</t>
  </si>
  <si>
    <t>Assault Other Emergency Worker - GBH serious wound without intent (s20)</t>
  </si>
  <si>
    <t>8T.8.1.2</t>
  </si>
  <si>
    <t>Assault Other Emergency Worker - Minor wound without intent (s20)</t>
  </si>
  <si>
    <t>8T.8.1.2A</t>
  </si>
  <si>
    <t>Attempted - Assault Other Emergency Worker - Minor wound without intent (s20)</t>
  </si>
  <si>
    <t>OF61131,OF61131A</t>
  </si>
  <si>
    <t>8T.8.6.0</t>
  </si>
  <si>
    <t>Assault Other Emergency Worker - Assault occasioning actual bodily harm (ABH) (S.47)</t>
  </si>
  <si>
    <t>OF61102,OF61102B,OF61102C</t>
  </si>
  <si>
    <t>8T.8.6.0A</t>
  </si>
  <si>
    <t>Attempted - Assault Other Emergency Worker - Assault occasioning actual bodily harm (ABH) (S.47)</t>
  </si>
  <si>
    <t>OF61102,OF61102B,OF61102C,PL96001,CJ88001,CJ88001B,CJ88116</t>
  </si>
  <si>
    <t>92A.77.51.0</t>
  </si>
  <si>
    <t>Supplying a scheduled substance to another person</t>
  </si>
  <si>
    <t>077/51</t>
  </si>
  <si>
    <t>Criminal Justice (International Co-operation) Act 1990 Sec 12</t>
  </si>
  <si>
    <t>CJ90002</t>
  </si>
  <si>
    <t>92A.77.51.0A</t>
  </si>
  <si>
    <t>Attempted - Supplying a scheduled substance to another person</t>
  </si>
  <si>
    <t>92A.92.1.0</t>
  </si>
  <si>
    <t>Unlawful importation of a drug controlled under the Misuse of Drugs Act 1971- unknown class of drug</t>
  </si>
  <si>
    <t>092/01</t>
  </si>
  <si>
    <t>Customs and Excise Management Act 1979 Secs 50,170</t>
  </si>
  <si>
    <t>CE79028,CE79029</t>
  </si>
  <si>
    <t>92A.92.14.0A</t>
  </si>
  <si>
    <t>Attempted - Production or being concerned in production of a controlled drug - Class A - Crack</t>
  </si>
  <si>
    <t>MD71094,MD71114</t>
  </si>
  <si>
    <t>92A.92.20.0</t>
  </si>
  <si>
    <t>Production or being concerned in production of a controlled drug - Class B - Amphetamine</t>
  </si>
  <si>
    <t>092/20</t>
  </si>
  <si>
    <t>MD71100,MD71100C,MD71120</t>
  </si>
  <si>
    <t>92A.92.21.0A</t>
  </si>
  <si>
    <t>Attempted - Production or being concerned in production of a controlled drug - Class B - Cannabis</t>
  </si>
  <si>
    <t>MD71029,MD71101,MD71104,MD71121,MD71124,MD71440,MD71520,MD71522,MD71522C,MD71529,MD71531,MD71531A,MD71531C</t>
  </si>
  <si>
    <t>92A.92.3.0</t>
  </si>
  <si>
    <t>Unlawful importation of a drug controlled under the Misuse of Drugs Act 1971- Class A</t>
  </si>
  <si>
    <t>092/03</t>
  </si>
  <si>
    <t>CE79030,CE79034,CE79096,CE79096C,CE79155,CE79170,CE79186,CE79186C,CE79328</t>
  </si>
  <si>
    <t>92A.92.39.0A</t>
  </si>
  <si>
    <t>Attempted - Supplying or offering to supply a controlled drug - Class A - Other</t>
  </si>
  <si>
    <t>MD71139,MD71139A,MD71139C,MD71159,MD71179,MD71199</t>
  </si>
  <si>
    <t>92A.92.4.0</t>
  </si>
  <si>
    <t>Unlawful importation of a drug controlled under the Misuse of Drugs Act 1971- Class B</t>
  </si>
  <si>
    <t>092/04</t>
  </si>
  <si>
    <t>CE79031,CE79035,CE79097,CE79097C,CE79098C,CE79156,CE79172,CE79187,CE79187C,CE79329</t>
  </si>
  <si>
    <t>92A.92.41.0A</t>
  </si>
  <si>
    <t>Attempted - Supplying or offering to supply a controlled drug - Class B - Cannabis</t>
  </si>
  <si>
    <t>MD71141,MD71141C,MD71144,MD71144C,MD71161,MD71164,MD71181,MD71184,MD71201,MD71204,MD71519,MD71523,MD71524,MD71524A,MD71524C,MD71525,MD71528,MD71532,MD71532A,MD71533,MD71534</t>
  </si>
  <si>
    <t>92A.92.47.0</t>
  </si>
  <si>
    <t>Supplying or offering to supply a controlled drug - Class C - Anabolic steroids</t>
  </si>
  <si>
    <t>092/47</t>
  </si>
  <si>
    <t>MD71338,MD71339,MD71373,MD71373C,MD71374,MD71449,MD71450,MD71451,MD71451A,MD71451C,MD71452</t>
  </si>
  <si>
    <t>92A.92.49.0A</t>
  </si>
  <si>
    <t>Attempted - Supplying or offering to supply a controlled drug - Class unspecified</t>
  </si>
  <si>
    <t>92A.92.5.0</t>
  </si>
  <si>
    <t>Unlawful importation of a drug controlled under the Misuse of Drugs Act 1971- Class C</t>
  </si>
  <si>
    <t>092/05</t>
  </si>
  <si>
    <t>Customs and Excise Management Act 1979 SS.50(2), (3) &amp; (5); 170(1), (2), (3) &amp; (4); Sch.1</t>
  </si>
  <si>
    <t>CE79032,CE79036,CE79098,CE79157,CE79174,CE79188,CE79188C,CE79330</t>
  </si>
  <si>
    <t>92A.92.72.0</t>
  </si>
  <si>
    <t>Possession of a controlled drug with intent to supply - Class A - LSD</t>
  </si>
  <si>
    <t>092/72</t>
  </si>
  <si>
    <t>MD71232,MD71232A</t>
  </si>
  <si>
    <t>92A.92.85.0A</t>
  </si>
  <si>
    <t>Attempted - Possession of a controlled drug with intent to supply - Class B - Other</t>
  </si>
  <si>
    <t>MD71245,MD71245A,MD71583</t>
  </si>
  <si>
    <t>92A.92.87.0</t>
  </si>
  <si>
    <t>Possession of a controlled drug with intent to supply - Class C - Anabolic steroids</t>
  </si>
  <si>
    <t>092/87</t>
  </si>
  <si>
    <t>MD71341,MD71441,MD71441A</t>
  </si>
  <si>
    <t>92A.92.92.0</t>
  </si>
  <si>
    <t>Possession of a controlled drug with intent to supply a class C controlled drug</t>
  </si>
  <si>
    <t>092/92</t>
  </si>
  <si>
    <t>MD71513</t>
  </si>
  <si>
    <t>92A.92.93.0</t>
  </si>
  <si>
    <t>Incite another to supply a controlled drug</t>
  </si>
  <si>
    <t>092/93</t>
  </si>
  <si>
    <t>Misue of Drugs Act 1971 Sec 19</t>
  </si>
  <si>
    <t>92A.93.66.0</t>
  </si>
  <si>
    <t>Supplying or offering to supply a controlled drug - Class B - Ketamine</t>
  </si>
  <si>
    <t>093/66</t>
  </si>
  <si>
    <t>MD71595,MD71594,MD71593</t>
  </si>
  <si>
    <t>MD71497,MD71497A,MD71498,MD71499,MD71595,MD71594,MD71593</t>
  </si>
  <si>
    <t>92A.93.73.0A</t>
  </si>
  <si>
    <t>Attempted - Possession of a controlled drug with intent to supply - Class A - Crystal Meths</t>
  </si>
  <si>
    <t>093/73</t>
  </si>
  <si>
    <t>MD71508,MD71508A</t>
  </si>
  <si>
    <t>92A.93.80.0</t>
  </si>
  <si>
    <t>Possession of a controlled drug with intent to supply - khat</t>
  </si>
  <si>
    <t>093/80</t>
  </si>
  <si>
    <t>Misuse of Drugs Act 1971 Sec 5 (3)</t>
  </si>
  <si>
    <t>MD71600,MD71600A</t>
  </si>
  <si>
    <t>92C.193.46.0</t>
  </si>
  <si>
    <t>Supply etc of articles for administering or preparing controlled drugs</t>
  </si>
  <si>
    <t>193/46</t>
  </si>
  <si>
    <t>193</t>
  </si>
  <si>
    <t>Misuse of Drugs Act 1971 Sec 9A</t>
  </si>
  <si>
    <t>MD71051,MD71052,MD71053,MD71054</t>
  </si>
  <si>
    <t>92C.93.10.0</t>
  </si>
  <si>
    <t>Permitting premises to be used for unlawful purposes - Class A - Cocaine</t>
  </si>
  <si>
    <t>093/10</t>
  </si>
  <si>
    <t>MD71343,MD71356</t>
  </si>
  <si>
    <t>92C.93.19.0</t>
  </si>
  <si>
    <t>Permitting premises to be used for unlawful purposes - Class A - Other</t>
  </si>
  <si>
    <t>093/19</t>
  </si>
  <si>
    <t>MD71042,MD71045,MD71349,MD71362</t>
  </si>
  <si>
    <t>92C.93.21.0</t>
  </si>
  <si>
    <t>Permitting premises to be used for unlawful purposes - Class B - Cannabis</t>
  </si>
  <si>
    <t>093/21</t>
  </si>
  <si>
    <t>MD71043,MD71044,MD71351,MD71364,MD71371,MD71372,MD71518,MD71527,MD71535,MD71536,MD71537,MD71538,MD71539,MD71540,MD71540A,MD71541,MD71542</t>
  </si>
  <si>
    <t>92C.93.40.5</t>
  </si>
  <si>
    <t>Offences against Misuse of Drugs Regulations etc</t>
  </si>
  <si>
    <t>093/40</t>
  </si>
  <si>
    <t>Misuse of Drugs Act 1971 Sec 18</t>
  </si>
  <si>
    <t>MD71046,MD71047,MD71048,MD71050,MD71055,MD71056,MD71057,MD71058,MD71059,MD71060,MD71061,MD71068,MD71069,MD71342,MD71490,MD71491</t>
  </si>
  <si>
    <t>92C.93.43.0</t>
  </si>
  <si>
    <t>Offer to Supply a psychoactive substance</t>
  </si>
  <si>
    <t>093/43</t>
  </si>
  <si>
    <t>Psychoactive Substances Act 2016 Sec 5 (2)</t>
  </si>
  <si>
    <t>PS16003</t>
  </si>
  <si>
    <t>92C.93.45.0</t>
  </si>
  <si>
    <t>Import a psychoactive substance</t>
  </si>
  <si>
    <t>093/45</t>
  </si>
  <si>
    <t>Psychoactive Substances Act 2016 Sec 8 (1)</t>
  </si>
  <si>
    <t>PS16005</t>
  </si>
  <si>
    <t>92D.92.51.0A</t>
  </si>
  <si>
    <t>Attempted - Having possession of a controlled drug - Class A - Heroin</t>
  </si>
  <si>
    <t>MD71211,MD71211A</t>
  </si>
  <si>
    <t>92D.92.54.0A</t>
  </si>
  <si>
    <t>Attempted - Having possession of a controlled drug - Class A - Crack</t>
  </si>
  <si>
    <t>MD71214,MD71214A</t>
  </si>
  <si>
    <t>92D.92.63.0</t>
  </si>
  <si>
    <t>Having possession of a controlled drug - Class B - Mephedrone including cathinone derivatives</t>
  </si>
  <si>
    <t>092/63</t>
  </si>
  <si>
    <t>Misuse of Drugs Act 1971 Sec 5(3)</t>
  </si>
  <si>
    <t>MD71574,MD71574A</t>
  </si>
  <si>
    <t>92D.93.71.0</t>
  </si>
  <si>
    <t>Having possession of a controlled drug - Class C - GHB</t>
  </si>
  <si>
    <t>093/71</t>
  </si>
  <si>
    <t>MD71396,MD71396A</t>
  </si>
  <si>
    <t>92D.93.74.0</t>
  </si>
  <si>
    <t>Possession of a controlled drug - khat</t>
  </si>
  <si>
    <t>093/74</t>
  </si>
  <si>
    <t>Misuse of Drugs Act 1971 Sec 5 (2)</t>
  </si>
  <si>
    <t>MD71599,MD71599A</t>
  </si>
  <si>
    <t>95.807.5.0</t>
  </si>
  <si>
    <t>Making false statement to obtain or failure to produce revoked licence</t>
  </si>
  <si>
    <t>95</t>
  </si>
  <si>
    <t>807/05</t>
  </si>
  <si>
    <t>Road Traffic Act 1988 Sec 174(1)</t>
  </si>
  <si>
    <t>RT88497</t>
  </si>
  <si>
    <t>95.809.2.0</t>
  </si>
  <si>
    <t>Making false statement or withholding material information in order to obtain the issue of a certificate of insurance</t>
  </si>
  <si>
    <t>809/02</t>
  </si>
  <si>
    <t>Road Traffic Act 1988 Sec 174(5)</t>
  </si>
  <si>
    <t>RT88498</t>
  </si>
  <si>
    <t>96.99.48.0</t>
  </si>
  <si>
    <t>Carrying out or causing to permit to be carried out, any operation likely to damage part of an area of special scientific interest subject to notification by Nature Conservancy Council</t>
  </si>
  <si>
    <t>96</t>
  </si>
  <si>
    <t>099/48</t>
  </si>
  <si>
    <t>Wildlife &amp; Countryside Act 1981 S.28P as added by         Countryside &amp; Rights of Way Act 2000 Sch.9</t>
  </si>
  <si>
    <t>WC81277,WC81285,WC81286,WC81287,WC81288</t>
  </si>
  <si>
    <t>99.78.11.0</t>
  </si>
  <si>
    <t>Helping asylum seeker to enter UK</t>
  </si>
  <si>
    <t>078/11</t>
  </si>
  <si>
    <t>Immigration Act 1971 S25A4 as amended by Nationality, Immigration &amp; Asylum Act 2002 Sec. 143</t>
  </si>
  <si>
    <t>IM71105</t>
  </si>
  <si>
    <t>99.78.4.0</t>
  </si>
  <si>
    <t>Non British Citizen, by means including deception, obtains or seeks to obtain leave to enter or remain in the UK or, postponement, avoidance or revocation of enforcement action against him</t>
  </si>
  <si>
    <t>078/04</t>
  </si>
  <si>
    <t>Immigration Act 1971 Sec 24A as amended by       Asylum &amp; Immigration Act 1996 Sec 23</t>
  </si>
  <si>
    <t>IM71102,IM71103</t>
  </si>
  <si>
    <t>99.82.3.0</t>
  </si>
  <si>
    <t>Fraudulent evasion of duty, an offence in connection with a prohibition or restriction on the importation or exportation of any weapon or ammunition etc</t>
  </si>
  <si>
    <t>082/03</t>
  </si>
  <si>
    <t>Customs &amp; Excise Management Act 1979 Sec 170</t>
  </si>
  <si>
    <t>CE79190,CE79336</t>
  </si>
  <si>
    <t>99.84.8.0</t>
  </si>
  <si>
    <t>Triable Either Way Offences under: Unauthorised use of Trade Mark etc in relation to goods</t>
  </si>
  <si>
    <t>084/08</t>
  </si>
  <si>
    <t>84</t>
  </si>
  <si>
    <t>Trade Marks Act 1994 Secs. 92</t>
  </si>
  <si>
    <t>TM94003,TM94003B,TM94004,TM94004B,TM94004C,TM94005,TM94006,TM94008,TM94009,TM94009C,TM94010,TM94011,TM94012,TM94013,TM94014,TM94015</t>
  </si>
  <si>
    <t>99.87.3.0</t>
  </si>
  <si>
    <t>Protection of occupiers against eviction and harassment</t>
  </si>
  <si>
    <t>99.91.63.0</t>
  </si>
  <si>
    <t>Non-consensual analysis of DNA</t>
  </si>
  <si>
    <t>091/63</t>
  </si>
  <si>
    <t>Human Tissue Act 2004 Sec 45</t>
  </si>
  <si>
    <t>HT04018</t>
  </si>
  <si>
    <t>99.94.18.0</t>
  </si>
  <si>
    <t>Shine/direct laser beam towards an air traffic facility  or  towards a person providing air traffic services</t>
  </si>
  <si>
    <t>094/18</t>
  </si>
  <si>
    <t>Laser Misuse (Vehicles) Act 2018 Sec 2 (1) a (i) (ii)</t>
  </si>
  <si>
    <t>99.97.1.0</t>
  </si>
  <si>
    <t>Causing, permitting or failing to prevent unnecessary suffering of protected animal</t>
  </si>
  <si>
    <t>097/01</t>
  </si>
  <si>
    <t>Animal Welfare Act 2006 4 (1) (2) 32 (1)</t>
  </si>
  <si>
    <t>AW06041, AW06042</t>
  </si>
  <si>
    <t>99.98.73.0</t>
  </si>
  <si>
    <t>Intentionally encouraging or assisting commission of an either way offence</t>
  </si>
  <si>
    <t>098/73</t>
  </si>
  <si>
    <t>98</t>
  </si>
  <si>
    <t>SC07003</t>
  </si>
  <si>
    <t>99.99.5.0</t>
  </si>
  <si>
    <t>Bribery, Treating and undue influence</t>
  </si>
  <si>
    <t>099/05</t>
  </si>
  <si>
    <t>Representation of the People Act 1983 Secs 113-115</t>
  </si>
  <si>
    <t>99.99.59.0</t>
  </si>
  <si>
    <t>Fail to disclose key to protected information</t>
  </si>
  <si>
    <t>099/59</t>
  </si>
  <si>
    <t>Regulation of Investigatory Powers Act 2000 Sec 53</t>
  </si>
  <si>
    <t>RP00005</t>
  </si>
  <si>
    <t>99.99.60.0</t>
  </si>
  <si>
    <t>Disclose details of Sec 49 notice</t>
  </si>
  <si>
    <t>099/60</t>
  </si>
  <si>
    <t>Regulation of Investigatory Powers Act 2000 Sec 54</t>
  </si>
  <si>
    <t>RP00006</t>
  </si>
  <si>
    <t>99.99.87.0</t>
  </si>
  <si>
    <t>Assisting patients to absent themselves</t>
  </si>
  <si>
    <t>099/87</t>
  </si>
  <si>
    <t>Mental Health Act 1983 Sec 128</t>
  </si>
  <si>
    <t>99.99.99.35</t>
  </si>
  <si>
    <t>Triable Either Way Offences under: Ancient Monuments and Archaeological Areas Act 1979, Sec 2-42 except Sec 28 (1)</t>
  </si>
  <si>
    <t>Ancient Monuments and Archaeological Areas Act 1979, Sec 2-42 except Sec 28 (1)</t>
  </si>
  <si>
    <t>99.99.99.35A</t>
  </si>
  <si>
    <t>Attempted - Triable Either Way Offences under: Ancient Monuments and Archaeological Areas Act 1979, Sec 2-42 except Sec 28 (1)</t>
  </si>
  <si>
    <t>35A</t>
  </si>
  <si>
    <t>99.99.99.75</t>
  </si>
  <si>
    <t>Harbouring escaped prisoner</t>
  </si>
  <si>
    <t>Criminal Justice Act 1961 Sec 22(2)</t>
  </si>
  <si>
    <t>CJ61001,CJ61002</t>
  </si>
  <si>
    <t>ASB.104.44.0</t>
  </si>
  <si>
    <t>Fail to comply with a public spaces protection order</t>
  </si>
  <si>
    <t>104/44</t>
  </si>
  <si>
    <t>Sect 67(1) Fail to comply with a public spaces protection order</t>
  </si>
  <si>
    <t>AS14006</t>
  </si>
  <si>
    <t>ASB.142.94.1</t>
  </si>
  <si>
    <t>Remain on or enter premises in contravention of a closure notice</t>
  </si>
  <si>
    <t>142</t>
  </si>
  <si>
    <t>Sect 86(1) Remain on / enter premises in contravention of a closure notice</t>
  </si>
  <si>
    <t>AS14007</t>
  </si>
  <si>
    <t>NFIB.51.3.1</t>
  </si>
  <si>
    <t>Fraudulent trading</t>
  </si>
  <si>
    <t>(outcomes only) Fraudulent trading</t>
  </si>
  <si>
    <t>051/03</t>
  </si>
  <si>
    <t>Companies Act 1985 Sec 458</t>
  </si>
  <si>
    <t>CM85291,CM85292</t>
  </si>
  <si>
    <t>NN.107.1.0</t>
  </si>
  <si>
    <t>Sexual Offences Act 1956 , Keeping a brothel</t>
  </si>
  <si>
    <t>107/01</t>
  </si>
  <si>
    <t>107</t>
  </si>
  <si>
    <t>Sexual Offences Act 1956</t>
  </si>
  <si>
    <t>SX56057,SX56096</t>
  </si>
  <si>
    <t>NN.108.17.0</t>
  </si>
  <si>
    <t>Animals (Cruel Poisons) Act 1962, Unlawful use of poison for destroying animals</t>
  </si>
  <si>
    <t>108/17</t>
  </si>
  <si>
    <t>108</t>
  </si>
  <si>
    <t>Animals (Cruel Poisons) Act 1962</t>
  </si>
  <si>
    <t>AP62001</t>
  </si>
  <si>
    <t>NN.108.22.0</t>
  </si>
  <si>
    <t>Protection of Badgers Act 1992(except S13), Offences of cruelty to badgers and special protection for badgers and their setts</t>
  </si>
  <si>
    <t>108/22</t>
  </si>
  <si>
    <t>Protection of Badgers Act 1992(except S.13)</t>
  </si>
  <si>
    <t>NN.108.34.0</t>
  </si>
  <si>
    <t>Animal Welfare Act 2006 - Failing to ensure needs of animal are met as required by good practice</t>
  </si>
  <si>
    <t>108/34</t>
  </si>
  <si>
    <t>Animal Welfare Act 2006 SS.9 &amp; 32(2)</t>
  </si>
  <si>
    <t>AW06029</t>
  </si>
  <si>
    <t>NN.108.37.0</t>
  </si>
  <si>
    <t>Animal Welfare Act 2006 - Breach of a disqualification imposed after conviction of specified offences</t>
  </si>
  <si>
    <t>108/37</t>
  </si>
  <si>
    <t>Animal Welfare Act 2006 S.34(1)-(4) &amp; (9)</t>
  </si>
  <si>
    <t>AW06033</t>
  </si>
  <si>
    <t>NN.115.34.0</t>
  </si>
  <si>
    <t>Firearms Act 1968 - Trespassing with firearm on land(Group III)</t>
  </si>
  <si>
    <t>Firearms Act 1968 - Trespassing with firearm on land (Group III)</t>
  </si>
  <si>
    <t>115/34</t>
  </si>
  <si>
    <t>115</t>
  </si>
  <si>
    <t>Firearms Act 1968 S.20 (2)</t>
  </si>
  <si>
    <t>FI68098</t>
  </si>
  <si>
    <t>NN.115.6.0</t>
  </si>
  <si>
    <t>Firearms Act 1968 - Non-compliance with condition of shotgun certificate (Group II)</t>
  </si>
  <si>
    <t>115/06</t>
  </si>
  <si>
    <t>Firearms Act 1968 S.2 (2)</t>
  </si>
  <si>
    <t>FI68017</t>
  </si>
  <si>
    <t>NN.116.11.0</t>
  </si>
  <si>
    <t>Theft Act 1968, Taking or destroying fish in private fishery etc</t>
  </si>
  <si>
    <t>116/11</t>
  </si>
  <si>
    <t>116</t>
  </si>
  <si>
    <t>Theft Act 1968</t>
  </si>
  <si>
    <t>TH68089,TH68090,TH68137,TH68138,TH68140</t>
  </si>
  <si>
    <t>NN.118.1.0</t>
  </si>
  <si>
    <t>Night Poaching Act 1828 , Taking or destroying game or rabbits on lands etc by night or entering lands at night to take or destroy game</t>
  </si>
  <si>
    <t>118/01</t>
  </si>
  <si>
    <t>118</t>
  </si>
  <si>
    <t>Night Poaching Act 1828</t>
  </si>
  <si>
    <t>NP28001,NP28002,NP28003,NP28004</t>
  </si>
  <si>
    <t>NN.125.15.0</t>
  </si>
  <si>
    <t>Public Order Act 1986, Failing to comply with conditions imposed on public assemblies</t>
  </si>
  <si>
    <t>125/15</t>
  </si>
  <si>
    <t>Public Order Act 1986</t>
  </si>
  <si>
    <t>PU86019,PU86020,PU86094</t>
  </si>
  <si>
    <t>NN.125.16.0</t>
  </si>
  <si>
    <t>Sporting Events (Control of Alcohol etc) Act 1985 , Being in possession of fireworks etc in or when entering a designated sports ground</t>
  </si>
  <si>
    <t>125/16</t>
  </si>
  <si>
    <t>Sporting Events (Control of Alcohol etc) Act 1985</t>
  </si>
  <si>
    <t>SP85023,SP85049</t>
  </si>
  <si>
    <t>NN.125.33.0</t>
  </si>
  <si>
    <t>Criminal Justice and Public Order Act 1994, Obstructing or disputing a lawful activity or seeking to intimidate someone to do so (aggravated trespass)</t>
  </si>
  <si>
    <t>Criminal Justice and Public Order Act 1994 S.68</t>
  </si>
  <si>
    <t>CJ94015,CJ94016,CJ94037,CJ94038</t>
  </si>
  <si>
    <t>NN.138.19.0</t>
  </si>
  <si>
    <t>Anti-Social Behaviour Act 2003 added by Clean Neighbourhoods and Environment Act 2005, Failure to give name and address or giving false or inaccurate name or address when required to do so</t>
  </si>
  <si>
    <t>138/19</t>
  </si>
  <si>
    <t>Anti-Social Behaviour Act 2003 added by Clean Neighbourhoods and Environment Act 2005 S.43B</t>
  </si>
  <si>
    <t>AS03016,AS03017</t>
  </si>
  <si>
    <t>NN.138.27.0</t>
  </si>
  <si>
    <t>Safeguarding Vulnerable Groups Act 2006, Knowingly or recklessly making a false declaration in an application for purposes of S30 or S32</t>
  </si>
  <si>
    <t>138/27</t>
  </si>
  <si>
    <t>Safeguarding Vulnerable Groups Act 2006</t>
  </si>
  <si>
    <t>NN.140.1.0</t>
  </si>
  <si>
    <t>Licensing Act 1872 - Being found drunk in a highway or other Public place whether a building or not, or a licensed premises</t>
  </si>
  <si>
    <t>140/01</t>
  </si>
  <si>
    <t>140</t>
  </si>
  <si>
    <t>Licensing Act 1872</t>
  </si>
  <si>
    <t>LG72008</t>
  </si>
  <si>
    <t>NN.140.6.0</t>
  </si>
  <si>
    <t>Sporting Events (Control of Alcohol etc) Act 1985 , Drunk in, or when entering a designated sports event</t>
  </si>
  <si>
    <t>140/06</t>
  </si>
  <si>
    <t>SP85017,SP85018,SP85019</t>
  </si>
  <si>
    <t>NN.141.4.0</t>
  </si>
  <si>
    <t>Licensing Act 1964 , Refusing or failing when drunk to quit licensed premises when requested</t>
  </si>
  <si>
    <t>141/04</t>
  </si>
  <si>
    <t>Licensing Act 1964</t>
  </si>
  <si>
    <t>NN.143.11.1</t>
  </si>
  <si>
    <t>Licensing Act 1964 , Violent, quarrelsome or disorderly person or any person whose presence would subject holder of the licence liable to a penalty refusing to quit licensed premises on request</t>
  </si>
  <si>
    <t>143/11</t>
  </si>
  <si>
    <t>143</t>
  </si>
  <si>
    <t>NN.143.77.0</t>
  </si>
  <si>
    <t>Licensing Act 2003, Keeping smuggled goods</t>
  </si>
  <si>
    <t>143/77</t>
  </si>
  <si>
    <t>Licensing Act 2003</t>
  </si>
  <si>
    <t>LG03049,LG03050,LG03051,LG03052,LG03053</t>
  </si>
  <si>
    <t>NN.143.79.0</t>
  </si>
  <si>
    <t>Licensing Act 2003, Sale of alcohol to person under 18</t>
  </si>
  <si>
    <t>143/79</t>
  </si>
  <si>
    <t>LG03064,LG03065,LG03066,LG03067,LG03068,LG03120,LG03121</t>
  </si>
  <si>
    <t>NN.143.84.0</t>
  </si>
  <si>
    <t>Licensing Act 2003 , Individual aged under 18 knowingly consuming alcohol</t>
  </si>
  <si>
    <t>143/84</t>
  </si>
  <si>
    <t>LG03085,LG03125</t>
  </si>
  <si>
    <t>NN.143.85.0</t>
  </si>
  <si>
    <t>Licensing Act 2003 , Person knowingly allowing consumption by individual aged under 18</t>
  </si>
  <si>
    <t>143/85</t>
  </si>
  <si>
    <t>LG03086,LG03087</t>
  </si>
  <si>
    <t>NN.155.18.0</t>
  </si>
  <si>
    <t>Air Navigation Order 2009, Exhibiting, directing or shining a light which by its glare or liability to be mistaken for an aeronautical ground light would endanger aircraft</t>
  </si>
  <si>
    <t>155/18</t>
  </si>
  <si>
    <t>155</t>
  </si>
  <si>
    <t>Air Navigation Order 2009 AA.221(a) &amp; (b), 222 &amp; 241(5) &amp; Sch 13 Part B</t>
  </si>
  <si>
    <t>AN09034,AN09035,AN09036</t>
  </si>
  <si>
    <t>NN.162.3.1</t>
  </si>
  <si>
    <t>Town Police Clauses Act 1847 - Riotous behaviour in police station</t>
  </si>
  <si>
    <t>162/03</t>
  </si>
  <si>
    <t>TP47014</t>
  </si>
  <si>
    <t>NN.166.4.0</t>
  </si>
  <si>
    <t>Sexual Offences Act 1956 as amended by Sexual Offences Act 1967, Person persistently loitering or soliciting for the purposes of prostitution</t>
  </si>
  <si>
    <t>166/04</t>
  </si>
  <si>
    <t>166</t>
  </si>
  <si>
    <t>SO59003,SO59004</t>
  </si>
  <si>
    <t>NN.169.20.1</t>
  </si>
  <si>
    <t>Railway Offences:, Offences against Private Acts relating to railways (other than 169/01-06)</t>
  </si>
  <si>
    <t>169/20</t>
  </si>
  <si>
    <t>Railway Offences:</t>
  </si>
  <si>
    <t>BT49005,BT49006,BT49007,BT49008</t>
  </si>
  <si>
    <t>NN.182.0.0</t>
  </si>
  <si>
    <t>Vagrancy Act 1824 , Begging, gathering alms or causing or procuring any child so to do</t>
  </si>
  <si>
    <t>NN.188.1.2</t>
  </si>
  <si>
    <t>Vagrancy Act 1824 , Other offences (against Vagrancy Acts); any petty chapman or peddler trading without a licence</t>
  </si>
  <si>
    <t>188/01</t>
  </si>
  <si>
    <t>VG24003,VG24005</t>
  </si>
  <si>
    <t>NN.190.4.0</t>
  </si>
  <si>
    <t>Wildlife and Countryside Act 1981, Protection of the nests and eggs of wild birds in sanctuaries</t>
  </si>
  <si>
    <t>190/04</t>
  </si>
  <si>
    <t>NN.193.53.0</t>
  </si>
  <si>
    <t>Drugs Act 2005 - Failure to attend or to stay the duration of an initial assessment</t>
  </si>
  <si>
    <t>193/53</t>
  </si>
  <si>
    <t>Drugs Act 2005  S.12 (3) &amp; (4)</t>
  </si>
  <si>
    <t>DA05001</t>
  </si>
  <si>
    <t>NN.195.13.0</t>
  </si>
  <si>
    <t>Medical Act 1983, Pretending to be registered by taking name or title of a Medical practitioner</t>
  </si>
  <si>
    <t>195/13</t>
  </si>
  <si>
    <t>Medical Act 1983</t>
  </si>
  <si>
    <t>NN.195.22.0</t>
  </si>
  <si>
    <t>Criminal Justice Act 1988 added by Offensive Weapons Act 1996 added by Offensive Weapons Act 1996 as amended by Violent Crime Reduction Act 2006, Selling to a person under age of 18 years a knife, knife blade, razor blade, axe or any other article which has a blade, that is sharply pointed &amp; which is made or adapted for use for causing injury to the person</t>
  </si>
  <si>
    <t>Criminal Justice Act 1988 (Violent Crime Reduction Act 2006 ammend), Selling to a person under 18 knife/other article which has a blade/sharp point &amp; which is made/adapted for use for causing injury</t>
  </si>
  <si>
    <t>195/22</t>
  </si>
  <si>
    <t>Criminal Justice Act 1988 added by Offensive Weapons Act 1996 added by Offensive Weapons Act 1996 as amended by Violent Crime Reduction Act 2006 S.141A (1)</t>
  </si>
  <si>
    <t>NN.195.41.0</t>
  </si>
  <si>
    <t>EXPIRED – NOT FOR USE AFTER 31/03/17 – Malicious Communications Act 1988, Sending letters etc with intent to cause distress or anxiety</t>
  </si>
  <si>
    <t>EXPIRED – NOT FOR USE AFTER 31/03/17 – Sending letters etc with intent to cause distress or anxiety, Malicious Communications Act 1988</t>
  </si>
  <si>
    <t>195/41</t>
  </si>
  <si>
    <t>Malicious CommunicationsAct 1988</t>
  </si>
  <si>
    <t>MT88001,MT88002,MT88003,MT88004</t>
  </si>
  <si>
    <t>MT88001,MT88002,MT88003,MT88004,MT88005,MT88006,MT88007,MT88008</t>
  </si>
  <si>
    <t>NN.195.54.0</t>
  </si>
  <si>
    <t>Disability Discrimination Act 1995 and Regulations made thereunder, Disability Discrimination Act Summary offences</t>
  </si>
  <si>
    <t>195/54</t>
  </si>
  <si>
    <t>Disability Discrimination Act 1995 and Regulations made thereunder</t>
  </si>
  <si>
    <t>NN.195.61.0</t>
  </si>
  <si>
    <t>Protection from Eviction Act 1977, Failing or refusing to comply with notice served</t>
  </si>
  <si>
    <t>195/61</t>
  </si>
  <si>
    <t>Protection from Eviction Act 1977</t>
  </si>
  <si>
    <t>NN.195.64.0</t>
  </si>
  <si>
    <t>Caravan Sites Act 1968, Unauthorised camping in designated areas</t>
  </si>
  <si>
    <t>195/64</t>
  </si>
  <si>
    <t>Caravan Sites Act 1968 S.10</t>
  </si>
  <si>
    <t>NN.195.92.0</t>
  </si>
  <si>
    <t>Police Act 1996 - Person not being a constable wearing any article of police uniform with intent to deceive (impersonation)</t>
  </si>
  <si>
    <t>195/92</t>
  </si>
  <si>
    <t>PL96006</t>
  </si>
  <si>
    <t>NN.195.99.1</t>
  </si>
  <si>
    <t>Accommodation Agencies Act 1953, The taking of certain commissions dealing with letting of houses and flats</t>
  </si>
  <si>
    <t>Accommodation Agencies Act 1953</t>
  </si>
  <si>
    <t>NN.195.99.44</t>
  </si>
  <si>
    <t>Contempt of Court Act 1981, Offences of contempt of Magistrates Courts</t>
  </si>
  <si>
    <t>Contempt of Court Act 1981 S.12</t>
  </si>
  <si>
    <t>CC81006</t>
  </si>
  <si>
    <t>NN.195.99.47</t>
  </si>
  <si>
    <t>Courts and Legal Services Act 1990, Wilfully pretending to be authorised legal practitioner entitled to practise</t>
  </si>
  <si>
    <t>Courts and Legal Services Act 1990 S.70(3)</t>
  </si>
  <si>
    <t>NN.195.99.49</t>
  </si>
  <si>
    <t>Criminal Justice Act 1925, Taking photographs etc, in court etc</t>
  </si>
  <si>
    <t>Criminal Justice Act 1925 S.41</t>
  </si>
  <si>
    <t>CJ25002,CJ25004,CJ25005,CJ25007</t>
  </si>
  <si>
    <t>NN.195.99.52</t>
  </si>
  <si>
    <t>Criminal Law Act 1977, Offences relating to entering and remaining on property</t>
  </si>
  <si>
    <t>Criminal Law Act 1977 SS.7 to 10</t>
  </si>
  <si>
    <t>AD70001,AD70002,AD70003,AD70004,AD70005,AE71001,AF59001,AH08001,AL10009,AL10010,AL10012,AL19003,AL19006,AL79008,AL79009,AL79010,AL79011,AL79012,AN09040,AN09041,AN09042,AN09043,AN79010,AN81005,AN81006,AN81023,AR97001,AR97002,AR97003,AV82028,AV82029,AV82030,AV82031,AV82032,AV82034,AV82035,AV82036,AV82037,AV82038,AV82039,AV82040,AV82041,AV82042,AV82043,AV82044,AV82045,AV82046,AV82047,AV82048,AV82049,AV82050,AV82051,AV82052,AV82053,AV82054,AV82055,AV82056,AV82057,AV82058,AV82059,AV82063,AV82072,AV82073,AV82074,AV82075,AV82076,AV82077,AW10001,AW10002,AW10003,BA09001,BA09002,BA09003,BA09004,BA09005,BD53001,BD53002,BD53003,BD53004,BD53005,BD53006,BD53007,BD53008,BD53009,BD53010,BD53011,BF03001,BF03002,BN85001,BN85002,BN85003,BN85004,BV10001,CA82006,CA93004,CA93005,CC13002,CC13003,CC13004,CC13005,CC13006,CC13007,CC13008,CC81002,CC81003,CC81006,CC81007,CC81008,CC81009,CC81010,CC87001,CD98001,CE20007,CE20008,CE20009,CE20010,CE20011,CE79019,CE79020,CE79023,CE79024,CE79025,CE79038,CE79040,CE79041,CE79150,CE79151,CE79196,CE79197,CE79198,CE79199,CE79200,CE79201,CE79202,CE79203,CE79204,CE79205,CE79210,CE79211,CE79212,CE79213,CE79214,CE79215,CE79216,CE79217,CE79218,CE79219,CE79220,CE79221,CE79222,CE79223,CE79224,CE79227,CE79228,CE79229,CE79246,CE79247,CE79249,CE79252,CE79253,CE79254,CE79255,CE79256,CE79257,CE79258,CE79259,CE79260,CE79261,CE79262,CE79263,CE79264,CE79265,CE79266,CE79268,CE79269,CE79270,CE79271,CE79273,CE79275,CE79276,CE79277,CE79279,CE79280,CE79281,CE79282,CE79283,CE79284,CE79285,CE79288,CE79289,CE79290,CE79291,CE79292,CE79293,CE79294,CE79295,CE79296,CE79297,CE79298,CE79299,CE79300,CE79301,CE79302,CE79303,CE79304,CE79305,CE79306,CE79307,CE79308,CE79309,CE79310,CE79311,CE79312,CE79313,CE79314,CE79315,CE79316,CE79317,CE79318,CE79319,CH08001,CH89006,CH89007,CH89008,CH89009,CH89014,CH89015,CH89016,CH89017,CH89018,CH89019,CH89020,CH89021,CE79253,CE79254,CE79255,CE79256,CE79257,CE79258,CE79259,CE79260,CE79261,CE79262,CE79263,CE79264,CE79265,CE79266,CE79268,CE79269</t>
  </si>
  <si>
    <t>GL72001,GL72002,GL99009,GR04001,IL80001,IM71070,IM71071,IP65006,IW10001,LA03001,LA03002,LA03003,LA11001,LA11002,LA11003,LA11004,LA12007,LD96001,LM72001,LM72002,LM76003,LM76004,LM76005,LM76006,LM76007,LM76008,LM76009,LM76010,LM76011,LM76012,LM76013,LM76014,LM76015,LM76016,LM76017,LM76018,LM76019,LM76020,LM76021,LM76026,LM76030,LM76031,LM76032,LM82039,LM82040,LM82041,LM82042,LM82043,LM82044,LM82045,LP80001,MA94016,MA94017,ME09002,MF97002,MF97004,MF97005,MF97006,MV03001,MV03002,NA48011,NP28005,NP28006,NR91001,NR91002,NR91003,NR91004,NR91005,NR91006,NR91009,NR91010,NR91011,PA72001,PA72002,PA77002,PA77003,PA77004,PC02022,PC02023,PM91002,PM91003,PM91004,PP02001,PP02002,PR95001,PR95002,PR95003,PS01014,PS94001,RA00001,RA00002,RA00003,RD49005,RE77001,RE77002,RE77003,RE77004,RE77005,RE77006,RP01001,RP83003,RP83051,RP83052,RP83053,RP83054,RP83055,RP83056,RP83057,RP83058,RP83059,RP83060,RP83063,RP83064,RP97001,RP97002,RP97003,RP97004,RP97005,RP97006,RP97007,RP97008,RP97010,RP97011,RP97012,RP97013,RP97014,RP97015,RP97016,RP97017,RP97018,RP97019,RP97020,RP97021,RP97022,RP97023,RP97024,RP97025,RP97026,RP97027,RP97028,RP97029,RP97030,RP97031,RP97032,RP97033,RP97034,RP97035,RP97036,RP97037,RP97038,RP97039,RP97040,RP97041,RP97042,RP97043,RP97044,RP97045,RP97046,RP97047,RP97048,RP97049,RP97050,RP97057,RP97058,RP97059,SA76004,SA92006,SA92012,SA92013,SA92014,SA92015,SA92016,SO74002,SO74004,SO74007,SO74008,SO74009,ST92001,SX56024,TB79001,TB79002,TC90035,TC90036,TH68075,TH68076,TH68077,TM69001,TS10002,TS10003,TS10004,TS10011,TS10012,TS10013,TS10014,TW79001,TW79002,TW79003,TW79004,TW92001,TW92002,TW92003,TW92004,TW92005,TW92006,TW92007,TW92008,TW92010,UN94001,UN94002,WA11001,WA11003,WA11004,WA11005,WC81129,WC81130,WC81131,WC81132,WC81230,WC81265,WC81266,WC81267,WC81268,WC81269,WC81270,WC81274,WC81283,WC81284,YJ99004,ZL81001,ZL81002,ZL81003,ZL81004,ZL81005,ZL81006,ZL81007,ZL81008,ZL81009,ZL81010</t>
  </si>
  <si>
    <t>NN.196.30.0</t>
  </si>
  <si>
    <t>Fire and Rescue Services Act 2004, Summary Offences</t>
  </si>
  <si>
    <t>196/30</t>
  </si>
  <si>
    <t>Fire and Rescue Services Act 2004</t>
  </si>
  <si>
    <t>NN.196.5.0</t>
  </si>
  <si>
    <t>Postal Services Act 2000 , Summary offences except S84</t>
  </si>
  <si>
    <t>196/05</t>
  </si>
  <si>
    <t>Postal Services Act 2000</t>
  </si>
  <si>
    <t>PS00003,PS00004,PS00005,PS00015,PS00016,PS00017,PS00018,PS00019,PS00020,PS00021,PS00022,PS00025</t>
  </si>
  <si>
    <t>NN.196.58.0</t>
  </si>
  <si>
    <t>Data Protection Act 1998 , Using data for unauthorised purpose; disclosing data to unauthorised person etc Summary offences</t>
  </si>
  <si>
    <t>196/58</t>
  </si>
  <si>
    <t>Data Protection Act 1998  all Sections other than S.54A &amp; Sch.9.12</t>
  </si>
  <si>
    <t>NN.196.8.1</t>
  </si>
  <si>
    <t>Communications Act 2003 , Summary offences</t>
  </si>
  <si>
    <t>196/08</t>
  </si>
  <si>
    <t>Communications Act 2003  except SS.127 &amp; 363</t>
  </si>
  <si>
    <t>NN.196.88.0</t>
  </si>
  <si>
    <t>Anti-Social Behaviour Act 2003 added by Criminal Justice and Immigration Act 2008, Remaining on or entering premises in contravention of Part 1A closure notice</t>
  </si>
  <si>
    <t>196/88</t>
  </si>
  <si>
    <t>Anti-Social Behaviour Act 2003 added by Criminal Justice and Immigration Act 2008 S.11(D)(1) &amp; (3)</t>
  </si>
  <si>
    <t>AS03018</t>
  </si>
  <si>
    <t>NN.196.91.0</t>
  </si>
  <si>
    <t>Anti-Social Behaviour Act 2003 added by Criminal Justice and Immigration Act 2008 - Entering closed premises</t>
  </si>
  <si>
    <t>196/91</t>
  </si>
  <si>
    <t>Anti-Social Behaviour Act 2003 added by Criminal Justice and Immigration Act 2008 S.11D(2) (C) &amp; (3)</t>
  </si>
  <si>
    <t>AS03021</t>
  </si>
  <si>
    <t>NN.197.1.0</t>
  </si>
  <si>
    <t>Conservation of Habitats and Species Regulations 2010, Summary offences under these regulations</t>
  </si>
  <si>
    <t>197/01</t>
  </si>
  <si>
    <t>197</t>
  </si>
  <si>
    <t>Conservation of Habitats and Species Regulations 2010</t>
  </si>
  <si>
    <t>CN10001,CN10002,CN10003,CN10004,CN10005,CN10006,CN10007,CN10008,CN10009,CN10010,CN10011,CN10012,CN10013,CN10014,CN10015,CN10017,CN10018,CN10019,CN10020,CN10021,CN10022,CN10023</t>
  </si>
  <si>
    <t>NN.504.0.1</t>
  </si>
  <si>
    <t>Sexual Offences Act 2003 , Risk of Sexual Harm Order (RSHO) or Interim RSHO made on application by the police</t>
  </si>
  <si>
    <t>504/00</t>
  </si>
  <si>
    <t>504</t>
  </si>
  <si>
    <t>NN.809.90.5</t>
  </si>
  <si>
    <t>Road Traffic Act 1988 , Owner failing to give information as to insurance to police</t>
  </si>
  <si>
    <t>RT88054,RT88175,RT88192,RT88194,RT88203,RT88204,RT88223,RT88224,RT88389,RT88390,RT88391,RT88395,RT88397,RT88499,RT88701,RT88702,RT88703,RT88704,RT88705,RT88706,RT88707,RT88708</t>
  </si>
  <si>
    <t>NN.810.90.1</t>
  </si>
  <si>
    <t>Road Vehicles (Registration and Licensing) Regulations 2002, Other motor vehicle licence, trade licence, registration mark, trade plate and registration book offences</t>
  </si>
  <si>
    <t>NN.815.1.0</t>
  </si>
  <si>
    <t>Road Traffic Act 1988 added by Road Traffic Act 1991, Brakes defective</t>
  </si>
  <si>
    <t>815/01</t>
  </si>
  <si>
    <t>Road Traffic Act 1988 added by Road Traffic Act 1991</t>
  </si>
  <si>
    <t>NN.815.90.1</t>
  </si>
  <si>
    <t>Road Vehicles (Construction &amp; Use) Regulations 1986, Other offences relating to vehicles in dangerous or defective condition (excluding exceeding specified limits for exhaust emissions &amp; defective brakes, steering &amp; tyres)</t>
  </si>
  <si>
    <t>Road Vehicles (Construction &amp; Use) Regulations 1986, Other offences relating to vehicles in dangerous or defective condition (excluding exceeding specified limits for exhaust emissions etc)</t>
  </si>
  <si>
    <t>815/90</t>
  </si>
  <si>
    <t>RC86025,RC86036,RC86037,RC86038,RC86039,RC86040,RC86041,RC86042,RC86045,RC86046,RC86047,RC86048,RC86049,RC86050,RC86051,RC86052,RC86053,RC86054,RC86056,RC86059,RC86060,RC86061,RC86069,RC86070,RC86107,RC86124,RC86129,RC86212,RC86213,RC86236,RC86242,RC86283,RC86294,RC86304,RC86305,RC86306,RC86307,RC86336,RC86337,RC86338,RC86340,RC86341,RC86342,RC86345,RC86346,RC86347,RC86348,RC86349,RC86350,RC86351,RC86352,RC86353,RC86354,RC86356,RC86359,RC86360,RC86361,RC86369,RC86370,RC86424,RC86425,RC86429,RC86512,RC86513,RC86525,RC86535,RC86536,RC86537,RC86538,RC86539,RC86540,RC86541,RC86542,RC86545,RC86547,RC86548,RC86550,RC86553,RC86636,RC86637,RC86638,RC86640,RC86641,RC86642,RC86645,RC86646,RC86647,RC86648,RC86649,RC86650,RC86651,RC86652,RC86653,RC86654,RC86656,RC86659,RC86660,RC86661,RC86669,RC86670,RC86724,RC86725,RC86729,RC86812,RC86813,RC86825,RC86836,RC86838,RC86839,RC86840,RC86841,RC86842,RC86847,RC86850,RC86980,RC86981,RC86982,RT88472,RT88473</t>
  </si>
  <si>
    <t>NN.818.90.0</t>
  </si>
  <si>
    <t>Police Reform Act 2002 - Fail to stop vehicle when directed by community support officer</t>
  </si>
  <si>
    <t>PL02020</t>
  </si>
  <si>
    <t>NN.818.90.1</t>
  </si>
  <si>
    <t>Police Reform Act 2002 - Driving vehicle and failing to proceed as directed by community support officer</t>
  </si>
  <si>
    <t>PL02021</t>
  </si>
  <si>
    <t>NN.820.3.0</t>
  </si>
  <si>
    <t>Transport Act 2000 , Making or using any false document with Intent to avoid payment of or being identified as having failed to pay a charge made under a charging scheme</t>
  </si>
  <si>
    <t>820/03</t>
  </si>
  <si>
    <t>Transport Act 2000</t>
  </si>
  <si>
    <t>NN.825.90.10</t>
  </si>
  <si>
    <t>Road Traffic Act 1988 - Driving on Common Land</t>
  </si>
  <si>
    <t>RT88468</t>
  </si>
  <si>
    <t>NN.83.1.0</t>
  </si>
  <si>
    <t>Bail Act 1976, Failing to surrender to bail</t>
  </si>
  <si>
    <t>083/01</t>
  </si>
  <si>
    <t>Bail Act 1976 S.6</t>
  </si>
  <si>
    <t>Used controlling prostitution for gain.</t>
  </si>
  <si>
    <t>Used aggravated burglary. Indictable offences will be tried in Crown Court so it makes sense to score as aggravated burglary.</t>
  </si>
  <si>
    <t>Used the fact that the offence specified drinking to aggravate sentence and harm score suggested</t>
  </si>
  <si>
    <t>https://www.sentencingcouncil.org.uk/offences/magistrates-court/item/causing-death-by-careless-or-inconsiderate-driving/</t>
  </si>
  <si>
    <t xml:space="preserve">Suggested harm level for death is category 1 </t>
  </si>
  <si>
    <t>Scored as arson endangering life</t>
  </si>
  <si>
    <t>2 years in prison</t>
  </si>
  <si>
    <t>https://www.cps.gov.uk/legal-guidance/contempt-court-reporting-restrictions-and-restrictions-public-access-hearings</t>
  </si>
  <si>
    <t xml:space="preserve">Maximum on summary is £2500 fine or 1 month in prison. Suggest Band C fine as starting point? </t>
  </si>
  <si>
    <t xml:space="preserve">Used intimidate a witness. From articles were the offence was charged it tends to be a serious campaign with intimidation, breaking and entering etc involved, and sustained over time. </t>
  </si>
  <si>
    <t>Used encouragement of terrorism.</t>
  </si>
  <si>
    <t>1 year custody</t>
  </si>
  <si>
    <t>https://www.sentencingcouncil.org.uk/offences/magistrates-court/item/encouragement-of-terrorism/</t>
  </si>
  <si>
    <t>No starting point in legislation since the offence is indicatable only suggest 3 months?</t>
  </si>
  <si>
    <t>https://www.legislation.gov.uk/ukpga/2015/9/section/45/enacted</t>
  </si>
  <si>
    <t xml:space="preserve">Triable either way - so could be magistrate court or crown court. Suggest high level community order? </t>
  </si>
  <si>
    <t xml:space="preserve">Triable either way? Suggest either low level community order? </t>
  </si>
  <si>
    <t>https://www.legislation.gov.uk/ukpga/Vict/24-25/100/section/35</t>
  </si>
  <si>
    <t xml:space="preserve">The offence details say indictable - suggest 6 months as a starting point? </t>
  </si>
  <si>
    <t>Drug level not specified</t>
  </si>
  <si>
    <t>https://www.sentencingcouncil.org.uk/offences/crown-court/item/importing-or-exporting-a-psychoactive-substance/</t>
  </si>
  <si>
    <t>8 Years custody</t>
  </si>
  <si>
    <t>https://www.sentencingcouncil.org.uk/offences/magistrates-court/item/permitting-premises-to-be-used/</t>
  </si>
  <si>
    <t>Used general fraud</t>
  </si>
  <si>
    <t>https://www.gov.uk/guidance/protected-areas-sites-of-special-scientific-interest</t>
  </si>
  <si>
    <t xml:space="preserve">Summary conviction upto 6 months. Suggest low level community order? </t>
  </si>
  <si>
    <t>https://www.sentencingcouncil.org.uk/offences/magistrates-court/item/trade-mark-unauthorised-use-of-etc/</t>
  </si>
  <si>
    <t>https://www.legislation.gov.uk/ukpga/2004/30/pdfs/ukpga_20040030_en.pdf</t>
  </si>
  <si>
    <t xml:space="preserve">Suggest low level community order ? Since other cases with a max of 2 years are similar? </t>
  </si>
  <si>
    <t>on summary conviction, to imprisonment for a term not exceeding six months or to a fine not exceeding the statutory maximum, or to both</t>
  </si>
  <si>
    <t>https://www.legislation.gov.uk/ukpga/1983/20/section/128</t>
  </si>
  <si>
    <t xml:space="preserve">No starting point suggested, possibly suggest Band C fine? </t>
  </si>
  <si>
    <t>on summary conviction, to a fine not exceeding the statutory maximum£50,000 or to imprisonment for a term not exceeding six months or both</t>
  </si>
  <si>
    <t>https://www.legislation.gov.uk/ukpga/1979/46/section/28</t>
  </si>
  <si>
    <t>Suggest a high level community order from reading cases in the press/law pages it is a moderately serious offence</t>
  </si>
  <si>
    <t>A breach is a criminal offence and can be dealt with via an FPN of £100 or fine upto £1000</t>
  </si>
  <si>
    <t>https://www.legislation.gov.uk/ukpga/2014/12/part/4/chapter/2/enacted</t>
  </si>
  <si>
    <t>£1000 fine</t>
  </si>
  <si>
    <t>Used standard fraud</t>
  </si>
  <si>
    <t>https://www.sentencingcouncil.org.uk/offences/magistrates-court/item/keeping-a-brothel-used-for-prostitution/</t>
  </si>
  <si>
    <t xml:space="preserve">You can distinguish between different roles so it would be possible to have different levels depending on involvement in the Brothels running. </t>
  </si>
  <si>
    <t>https://www.legislation.gov.uk/ukpga/Eliz2/10-11/26</t>
  </si>
  <si>
    <t>Legislation says fine £50 or 3 months prison. To keep consistency with over animal cruelty/welfare offences opted to score as cruelty to animals</t>
  </si>
  <si>
    <t xml:space="preserve">Suggest from other FA offences that medium level is appropriate for a group 3 weapon. G3 is an air weapon. Not great but lower harm than a G1 or G2 </t>
  </si>
  <si>
    <t xml:space="preserve">Used other public order offences to approximate </t>
  </si>
  <si>
    <t xml:space="preserve">Score the same as failing to leave land when directed. </t>
  </si>
  <si>
    <t>6 month prison/fine 40,000 max</t>
  </si>
  <si>
    <t>https://www.legislation.gov.uk/ukpga/1992/51</t>
  </si>
  <si>
    <t>https://www.legislation.gov.uk/ukpga/1986/64/schedule/1/part/II/crossheading/fireworks-etc</t>
  </si>
  <si>
    <t>60 days prison, L3 fine fine or both</t>
  </si>
  <si>
    <t xml:space="preserve">Suggest band B fine? </t>
  </si>
  <si>
    <t>Scored as obstruct PC</t>
  </si>
  <si>
    <t xml:space="preserve">Scored as other false statement offences. Eg. For driving licence etc. </t>
  </si>
  <si>
    <t>https://www.legislation.gov.uk/ukpga/Vict/35-36/94/crossheading/offences-against-public-order/enacted?view=plain</t>
  </si>
  <si>
    <t>Penalty was listed as £5 from 1890s. Suggest a fine? Possible a Band B</t>
  </si>
  <si>
    <t>https://www.legislation.gov.uk/ukpga/2003/17/part/7/crossheading/smuggled-goods</t>
  </si>
  <si>
    <t>Fixed Penalty Notice</t>
  </si>
  <si>
    <t>A fine</t>
  </si>
  <si>
    <t>https://www.legislation.gov.uk/ukpga/2003/17/part/7</t>
  </si>
  <si>
    <t>https://www.judiciaryni.uk/sites/judiciary-ni.gov.uk/files/media-files/Riotous%20Behaviour.pdf</t>
  </si>
  <si>
    <t>Used serious Pub order offence</t>
  </si>
  <si>
    <t>1 month prison/L3 fine</t>
  </si>
  <si>
    <t>Scored the same as other begging offences</t>
  </si>
  <si>
    <t>in a case where this Act or any order made thereunder provides that he shall be liable to a special penalty, shall be liable on summary conviction to a fine not exceeding twenty-five pounds, or to a term of imprisonment not exceeding, for a first offence against this Act, one month or, for a second or subsequent offence against this Act, three months, or to both such a fine and such imprisonment;</t>
  </si>
  <si>
    <t>https://www.sentencingcouncil.org.uk/offences/magistrates-court/item/drugs-class-a-fail-to-attend-remain-for-initial-assessment/</t>
  </si>
  <si>
    <t>https://www.legislation.gov.uk/ukpga/1983/54/section/49</t>
  </si>
  <si>
    <t xml:space="preserve">This could be viewed as a form of fraud? Possibly score as fraud. It is quite serious from some aspects yet the maximum sentence is quite low. </t>
  </si>
  <si>
    <t xml:space="preserve">Suggested more serious weapons possession offence? </t>
  </si>
  <si>
    <t xml:space="preserve">Listed as a summary offence so likely starts as a fine? </t>
  </si>
  <si>
    <t>From case research likely outcome is a fine.</t>
  </si>
  <si>
    <t xml:space="preserve">From legislation the aim is primarily to move the individual along. Suggest a fine? </t>
  </si>
  <si>
    <t>L1 fine</t>
  </si>
  <si>
    <t>https://www.legislation.gov.uk/ukpga/1996/16/section/90</t>
  </si>
  <si>
    <t>Suggest a low level fine</t>
  </si>
  <si>
    <t xml:space="preserve">£100 fine </t>
  </si>
  <si>
    <t>https://www.legislation.gov.uk/ukpga/Eliz2/1-2/23/wales/enacted?view=plain</t>
  </si>
  <si>
    <t>2 years or 1 month if summary</t>
  </si>
  <si>
    <t xml:space="preserve">Fine? </t>
  </si>
  <si>
    <t xml:space="preserve">Suggest fraud? </t>
  </si>
  <si>
    <t>Offence not specified therefore use the lowest sentence</t>
  </si>
  <si>
    <t xml:space="preserve">5 years? </t>
  </si>
  <si>
    <t>https://www.cps.gov.uk/legal-guidance/computer-misuse-act</t>
  </si>
  <si>
    <t>Medium level</t>
  </si>
  <si>
    <t>penalty points and a significant fine</t>
  </si>
  <si>
    <t xml:space="preserve">Suggest low level fine </t>
  </si>
  <si>
    <t>Fixed Penalty Notice - £50</t>
  </si>
  <si>
    <t>Possession of a firearm with intent to injure (Group III)</t>
  </si>
  <si>
    <t>Closest offence is possession of a firearm with intent. This is separated into “real” and imitation firearms. Group III is an airweapon so would likely be closer to the imitation firearm rather than the real firearm. Therefore suggest 1 year as a starting point.</t>
  </si>
  <si>
    <t>https://www.sentencingcouncil.org.uk/offences/crown-court/item/firearms-possession-with-intent-other-offences/</t>
  </si>
  <si>
    <t>Hijacking</t>
  </si>
  <si>
    <t>https://www.legislation.gov.uk/ukpga/1982/36/part/I</t>
  </si>
  <si>
    <t xml:space="preserve">Life </t>
  </si>
  <si>
    <t xml:space="preserve">Maximum sentence is life. The sentencing law specifies aircraft, but there are also cases in the newpapers/law pages where a lorry has been hijacked. Suggest scoring the same as kidnapping? Since elements of the offence are similar. </t>
  </si>
  <si>
    <t>036/02</t>
  </si>
  <si>
    <t>Date expired</t>
  </si>
  <si>
    <t>https://www.sentencingcouncil.org.uk/offences/crown-court/item/domestic-burglary/</t>
  </si>
  <si>
    <t>https://www.sentencingcouncil.org.uk/offences/crown-court/item/non-domestic-burglary/</t>
  </si>
  <si>
    <t>https://www.sentencingcouncil.org.uk/offences/crown-court/item/aggravated-burglary/</t>
  </si>
  <si>
    <t>008/77</t>
  </si>
  <si>
    <t>Non Fatal strangulation and suffocation</t>
  </si>
  <si>
    <t>Unknown</t>
  </si>
  <si>
    <t>Copyright  Cambridge Centre for Evidence based Policing 2023</t>
  </si>
  <si>
    <r>
      <t xml:space="preserve">The Cambridge Crime Harm Index 2026 Update: </t>
    </r>
    <r>
      <rPr>
        <sz val="20"/>
        <color theme="1"/>
        <rFont val="Calibri (Body)"/>
      </rPr>
      <t xml:space="preserve">This index provides harm scores for crime in England and Wales based on sentencing guidelines, and is produced by the Cambridge Centre for Evidence Based Policing. This index is current with the latest England and Wales sentencing guidelines as of the 01/02/2026. </t>
    </r>
  </si>
  <si>
    <t>106.36.06.0A</t>
  </si>
  <si>
    <t>106.36.08.0A</t>
  </si>
  <si>
    <t>10A.8.15.0</t>
  </si>
  <si>
    <t>10B.81.17.0A</t>
  </si>
  <si>
    <t>10B.81.4.0A</t>
  </si>
  <si>
    <t>10B.81.70.0A</t>
  </si>
  <si>
    <t>10B.81.86.0</t>
  </si>
  <si>
    <t>10B.81.90.0</t>
  </si>
  <si>
    <t>10C.195.20.0</t>
  </si>
  <si>
    <t>10C.8.75.0</t>
  </si>
  <si>
    <t>10C.8.76.0</t>
  </si>
  <si>
    <t>10D.8.76.0</t>
  </si>
  <si>
    <t>11A.11.2.0</t>
  </si>
  <si>
    <t>11A.12.0.0</t>
  </si>
  <si>
    <t>19J.19.12.0</t>
  </si>
  <si>
    <t>20B.20.4.0A</t>
  </si>
  <si>
    <t>21.21.15.0A</t>
  </si>
  <si>
    <t>21.21.22.0A</t>
  </si>
  <si>
    <t>21.21.26.0</t>
  </si>
  <si>
    <t>21.21.27.0</t>
  </si>
  <si>
    <t>22B.22.13.0A</t>
  </si>
  <si>
    <t>22B.22.26.0</t>
  </si>
  <si>
    <t>22B.22.30.0</t>
  </si>
  <si>
    <t>23.23.11.0</t>
  </si>
  <si>
    <t>23.23.14.0</t>
  </si>
  <si>
    <t>23.23.19.0A</t>
  </si>
  <si>
    <t>23.23.23.0</t>
  </si>
  <si>
    <t>23.23.27.0</t>
  </si>
  <si>
    <t>23.23.31.0</t>
  </si>
  <si>
    <t>23.23.32.0</t>
  </si>
  <si>
    <t>23.23.35.0A</t>
  </si>
  <si>
    <t>23.23.5.0</t>
  </si>
  <si>
    <t>28I.28.3.1</t>
  </si>
  <si>
    <t>28J.28.3.1</t>
  </si>
  <si>
    <t>28K.28.3.1</t>
  </si>
  <si>
    <t>28L.28.3.1</t>
  </si>
  <si>
    <t>28M.28.3.1</t>
  </si>
  <si>
    <t>28N.28.3.1</t>
  </si>
  <si>
    <t>28O.28.3.1</t>
  </si>
  <si>
    <t>28P.28.3.1</t>
  </si>
  <si>
    <t>29B.29.0.1</t>
  </si>
  <si>
    <t>29B.29.0.1A</t>
  </si>
  <si>
    <t>29C.29.0.1</t>
  </si>
  <si>
    <t>36.36.3.0A</t>
  </si>
  <si>
    <t>3A.3.4.0</t>
  </si>
  <si>
    <t>4.1.4.10.0</t>
  </si>
  <si>
    <t>4.3.4.3.0A</t>
  </si>
  <si>
    <t>4.8.4.19.0</t>
  </si>
  <si>
    <t>4.9.4.17.0</t>
  </si>
  <si>
    <t>43.43.0.0A</t>
  </si>
  <si>
    <t>49.49.03.0</t>
  </si>
  <si>
    <t>58A.57.0.1A</t>
  </si>
  <si>
    <t>58B.58.0.1A</t>
  </si>
  <si>
    <t>58C.57.0.0A</t>
  </si>
  <si>
    <t>58D.58.0.0A</t>
  </si>
  <si>
    <t>58J.58.4.0A</t>
  </si>
  <si>
    <t>5E.4.19.0</t>
  </si>
  <si>
    <t>5E.5.11.0A</t>
  </si>
  <si>
    <t>5E.5.17.0</t>
  </si>
  <si>
    <t>5E.5.29.0</t>
  </si>
  <si>
    <t>5E.5.30.0</t>
  </si>
  <si>
    <t>5E.6.1.0A</t>
  </si>
  <si>
    <t>5E.6.3.0A</t>
  </si>
  <si>
    <t>60.60.21.0</t>
  </si>
  <si>
    <t>66.66.17.0A</t>
  </si>
  <si>
    <t>66.66.23.0A</t>
  </si>
  <si>
    <t>66.66.3.0A</t>
  </si>
  <si>
    <t>66.66.54.0</t>
  </si>
  <si>
    <t>66.66.59.0A</t>
  </si>
  <si>
    <t>66.68.19.1</t>
  </si>
  <si>
    <t>66.68.2.0A</t>
  </si>
  <si>
    <t>66.68.23.0</t>
  </si>
  <si>
    <t>69.69.7.0A</t>
  </si>
  <si>
    <t>70.70.2.0</t>
  </si>
  <si>
    <t>70.70.21.0</t>
  </si>
  <si>
    <t>71.71.1.2</t>
  </si>
  <si>
    <t>71.71.13.0</t>
  </si>
  <si>
    <t>71.71.7.0A</t>
  </si>
  <si>
    <t>71.71.8.0A</t>
  </si>
  <si>
    <t>73.73.12.1</t>
  </si>
  <si>
    <t>73.73.15.0</t>
  </si>
  <si>
    <t>79.79.6.0</t>
  </si>
  <si>
    <t>79.79.8.0</t>
  </si>
  <si>
    <t>80.80.1.0</t>
  </si>
  <si>
    <t>80.80.2.0</t>
  </si>
  <si>
    <t>802.802.0.0</t>
  </si>
  <si>
    <t>81.195.20.0</t>
  </si>
  <si>
    <t>81.81.15.0</t>
  </si>
  <si>
    <t>81.81.89.0</t>
  </si>
  <si>
    <t>814.814.10.0</t>
  </si>
  <si>
    <t>814.814.3.0A</t>
  </si>
  <si>
    <t>814.814.7.0</t>
  </si>
  <si>
    <t>83.83.6.0</t>
  </si>
  <si>
    <t>86.86.5.0</t>
  </si>
  <si>
    <t>88C.175.08.0</t>
  </si>
  <si>
    <t>88C.88.6.0</t>
  </si>
  <si>
    <t>88C.88.7.0A</t>
  </si>
  <si>
    <t>88D.88.4.0</t>
  </si>
  <si>
    <t>88E.88.10.0A</t>
  </si>
  <si>
    <t>8N.8.52.0A</t>
  </si>
  <si>
    <t>8N.8.68.0</t>
  </si>
  <si>
    <t>8N.98.6.0</t>
  </si>
  <si>
    <t>8P.8.60.0A</t>
  </si>
  <si>
    <t>8Q.195.12.0A</t>
  </si>
  <si>
    <t>8Q.8.65.0A</t>
  </si>
  <si>
    <t>8Q.8.74.0A</t>
  </si>
  <si>
    <t>8R.8.71.0A</t>
  </si>
  <si>
    <t>8S.8.77.0</t>
  </si>
  <si>
    <t>8T.5.1.0A</t>
  </si>
  <si>
    <t>8T.5.1.2</t>
  </si>
  <si>
    <t>8T.5.1.2A</t>
  </si>
  <si>
    <t>92A.77.50.0A</t>
  </si>
  <si>
    <t>92A.92.17.0</t>
  </si>
  <si>
    <t>92A.92.18.0</t>
  </si>
  <si>
    <t>92A.92.2.0</t>
  </si>
  <si>
    <t>92A.92.22.0</t>
  </si>
  <si>
    <t>92A.92.30.0A</t>
  </si>
  <si>
    <t>92A.92.32.0</t>
  </si>
  <si>
    <t>92A.92.35.0</t>
  </si>
  <si>
    <t>92A.92.4.0A</t>
  </si>
  <si>
    <t>92A.92.7.0</t>
  </si>
  <si>
    <t>92A.92.79.0A</t>
  </si>
  <si>
    <t>92A.92.82.0A</t>
  </si>
  <si>
    <t>92A.93.51.0</t>
  </si>
  <si>
    <t>92A.93.73.0</t>
  </si>
  <si>
    <t>92A.93.89.0A</t>
  </si>
  <si>
    <t>92A.93.92.0</t>
  </si>
  <si>
    <t>92A.93.94.0</t>
  </si>
  <si>
    <t>92C.93.30.0A</t>
  </si>
  <si>
    <t>92C.93.40.4</t>
  </si>
  <si>
    <t>92D.92.65.0A</t>
  </si>
  <si>
    <t>92D.92.67.0</t>
  </si>
  <si>
    <t>92D.92.68.0A</t>
  </si>
  <si>
    <t>92D.93.70.0</t>
  </si>
  <si>
    <t>92D.93.91.0</t>
  </si>
  <si>
    <t>95.95.62.0</t>
  </si>
  <si>
    <t>96.98.91.0</t>
  </si>
  <si>
    <t>96.98.95.0A</t>
  </si>
  <si>
    <t>99.78.24.0</t>
  </si>
  <si>
    <t>99.78.28.0</t>
  </si>
  <si>
    <t>99.78.29.0</t>
  </si>
  <si>
    <t>99.82.2.8</t>
  </si>
  <si>
    <t>99.84.10.0</t>
  </si>
  <si>
    <t>99.84.11.0</t>
  </si>
  <si>
    <t>99.98.40.0</t>
  </si>
  <si>
    <t>99.98.73.0A</t>
  </si>
  <si>
    <t>99.98.77.0</t>
  </si>
  <si>
    <t>99.98.96.0</t>
  </si>
  <si>
    <t>99.99.80.0</t>
  </si>
  <si>
    <t>99.99.99.154</t>
  </si>
  <si>
    <t>99.99.99.156</t>
  </si>
  <si>
    <t>99.99.99.16</t>
  </si>
  <si>
    <t>99.99.99.72</t>
  </si>
  <si>
    <t>99.99.99.9</t>
  </si>
  <si>
    <t>99.99.99.93</t>
  </si>
  <si>
    <t>NFIB.52.12.0</t>
  </si>
  <si>
    <t>NN.108.24.0</t>
  </si>
  <si>
    <t>NN.108.30.0</t>
  </si>
  <si>
    <t>NN.108.32.0</t>
  </si>
  <si>
    <t>NN.111.12.0</t>
  </si>
  <si>
    <t>NN.111.13.0</t>
  </si>
  <si>
    <t>NN.111.15.0</t>
  </si>
  <si>
    <t>NN.111.20.0</t>
  </si>
  <si>
    <t>NN.111.24.0</t>
  </si>
  <si>
    <t>NN.115.4.0</t>
  </si>
  <si>
    <t>NN.115.49.0</t>
  </si>
  <si>
    <t>NN.116.6.2</t>
  </si>
  <si>
    <t>NN.121.11.0</t>
  </si>
  <si>
    <t>NN.121.13.0</t>
  </si>
  <si>
    <t>NN.121.20.2</t>
  </si>
  <si>
    <t>NN.124.4.4</t>
  </si>
  <si>
    <t>NN.124.7.0</t>
  </si>
  <si>
    <t>NN.125.12.1</t>
  </si>
  <si>
    <t>NN.125.27.0</t>
  </si>
  <si>
    <t>NN.125.41.0</t>
  </si>
  <si>
    <t>NN.125.65.0</t>
  </si>
  <si>
    <t>NN.125.75.0</t>
  </si>
  <si>
    <t>NN.143.71.0</t>
  </si>
  <si>
    <t>NN.143.83.0</t>
  </si>
  <si>
    <t>NN.144.1.0</t>
  </si>
  <si>
    <t>NN.155.9.0</t>
  </si>
  <si>
    <t>NN.160.0.0</t>
  </si>
  <si>
    <t>NN.168.82.0</t>
  </si>
  <si>
    <t>NN.193.48.0</t>
  </si>
  <si>
    <t>NN.193.52.0</t>
  </si>
  <si>
    <t>NN.194.26.0</t>
  </si>
  <si>
    <t>NN.194.3.0</t>
  </si>
  <si>
    <t>NN.195.20.0</t>
  </si>
  <si>
    <t>NN.195.20.1</t>
  </si>
  <si>
    <t>NN.195.21.1</t>
  </si>
  <si>
    <t>NN.195.46.0</t>
  </si>
  <si>
    <t>NN.195.86.0</t>
  </si>
  <si>
    <t>NN.195.99.148</t>
  </si>
  <si>
    <t>NN.195.99.60</t>
  </si>
  <si>
    <t>NN.195.99.61</t>
  </si>
  <si>
    <t>NN.195.99.93</t>
  </si>
  <si>
    <t>NN.196.71.0</t>
  </si>
  <si>
    <t>NN.196.92.0</t>
  </si>
  <si>
    <t>NN.503.0.0</t>
  </si>
  <si>
    <t>NN.804.90.0</t>
  </si>
  <si>
    <t>NN.810.90.2</t>
  </si>
  <si>
    <t>NN.810.90.5</t>
  </si>
  <si>
    <t>NN.820.90.5</t>
  </si>
  <si>
    <t>NN.825.2.2</t>
  </si>
  <si>
    <t>Attempted - Hold person in slavery or servitude</t>
  </si>
  <si>
    <t>Attempted - Arrange or facilitate travel of another person with a view to exploitation</t>
  </si>
  <si>
    <t>Possessing air weapon or imitation while committing or being arrested for offences in Schedule 1 Firearms Act 1968</t>
  </si>
  <si>
    <t>Attempted - Possessing or distributing prohibited weapons or ammunition</t>
  </si>
  <si>
    <t>Attempted - Possessing etc shotgun without certificate</t>
  </si>
  <si>
    <t>Attempted - Possessing or distributing prohibited weapons designed for discharge of noxious substances etc</t>
  </si>
  <si>
    <t>Sell / transfer prohibited weapon / ammunition.</t>
  </si>
  <si>
    <t>Possession of articles for conversion of imitation firearms</t>
  </si>
  <si>
    <t>Offence of possession of an offensive weapon in a private place.</t>
  </si>
  <si>
    <t>Have a corrosive substance in a public place</t>
  </si>
  <si>
    <t>Threaten a person with an offensive weapon / corrosive substance in a private place</t>
  </si>
  <si>
    <t>Threaten a person with an article in a private place</t>
  </si>
  <si>
    <t>Cruelty to Children/Young Persons - Neglecting to provide for apprentice or servant</t>
  </si>
  <si>
    <t>Cruelty to Children/Young Persons - Abandoning child under two years</t>
  </si>
  <si>
    <t>Multiple Undefined Offenders Attempted rape of a female aged 16 or over</t>
  </si>
  <si>
    <t>Attempted - Assault of a female child under 13 by penetration</t>
  </si>
  <si>
    <t>Attempted - Causing or inciting a child under 13 to engage in sexual activity by an offender under 18 years of age: Male child - penetration</t>
  </si>
  <si>
    <t>Attempted - Sexual activity with a child under 13 by an offender under 18 years of age: Female child  no penetration</t>
  </si>
  <si>
    <t>Arrange / facilitate the rape / assault by penetration of a child under 13</t>
  </si>
  <si>
    <t>Arrange / facilitate a child under 13 to engage in sexual activity – penetration</t>
  </si>
  <si>
    <t>Attempted - Sexual activity with a male child under 16 by Penetration - Offender Under 18</t>
  </si>
  <si>
    <t>Arrange / facilitate sexual activity with a child / incite a child to engage - penetration</t>
  </si>
  <si>
    <t>Arrange / facilitate commission of child sex offence committed by child / young person</t>
  </si>
  <si>
    <t>Inciting a child family member to engage in sexual activity - Female - Victim aged 13-17 - Under 18 - no penetration</t>
  </si>
  <si>
    <t>Inciting a child family member to engage in sexual activity - Male - Victim aged 13-17 - Under 18 - no penetration</t>
  </si>
  <si>
    <t>Sexual activity with a child family member - Female - Victim Under 13 - 18 or over - penetration</t>
  </si>
  <si>
    <t>Attempted - Inciting a child family member to engage in sexual activity - Male - Victim Under 13 - 18 or over - penetration</t>
  </si>
  <si>
    <t>Sexual activity with a child family member - Male - Victim aged 13-18 - 18 or over - no penetration</t>
  </si>
  <si>
    <t>Inciting a child family member to engage in sexual activity - Male - Victim aged 13-17 - 18 or over - no penetration</t>
  </si>
  <si>
    <t>Sexual activity with a child family member - Male - Victim Under 13 - Under 18 - penetration</t>
  </si>
  <si>
    <t>Sexual activity with a child family member - Female - Victim aged 13-19 - Under 18 - penetration</t>
  </si>
  <si>
    <t>Attempted - Inciting a child family member to engage in sexual activity - Male - Victim Under 13 - Under 18 - penetration</t>
  </si>
  <si>
    <t>Sexual activity with a child family member - Male - Victim aged 13-17 - 18 or over - penetration</t>
  </si>
  <si>
    <t>Residential Burglary of a Home (Dwelling)</t>
  </si>
  <si>
    <t>Attempted Residential Burglary of a Home (Dwelling)</t>
  </si>
  <si>
    <t>Distraction Burglary - Residential Home (Dwelling)</t>
  </si>
  <si>
    <t>Attempted Distraction Burglary - Residential Home (Dwelling)</t>
  </si>
  <si>
    <t>Residential Burglary of Unconnected Building (Non-Dwelling)</t>
  </si>
  <si>
    <t>Attempted Residential Burglary of Unconnected Building (Non-Dwelling)</t>
  </si>
  <si>
    <t>Distraction Burglary - Residential Unconnected Building (Non-Dwelling)</t>
  </si>
  <si>
    <t>Attempted Distraction Burglary - Residential Unconnected Building (Non-Dwelling)</t>
  </si>
  <si>
    <t>Aggravated Burglary - Residential Home (Dwelling)</t>
  </si>
  <si>
    <t>Attempted Aggravated Burglary - Residential Home (Dwelling)</t>
  </si>
  <si>
    <t>Aggravated Burglary - Residential Unconnected Building (Non-Dwelling)</t>
  </si>
  <si>
    <t>Attempted - Kidnapping - False imprisonment</t>
  </si>
  <si>
    <t>Conspiracy to Murder - Intentionally encouraging or assisting commission of murder</t>
  </si>
  <si>
    <t>Corporate Manslaughter</t>
  </si>
  <si>
    <t>Attempted - Intentional Destruction of a Viable Unborn Child</t>
  </si>
  <si>
    <t>Causing serious injury by careless or inconsiderate driving</t>
  </si>
  <si>
    <t>Cause death by driving whilst disqualified</t>
  </si>
  <si>
    <t>Attempted - Abstracting electricity</t>
  </si>
  <si>
    <t>Abduction of pet dog/cat</t>
  </si>
  <si>
    <t>Attempted - Other criminal damage to a residence endangering life</t>
  </si>
  <si>
    <t>Attempted - Other criminal damage to a building - business and community (£5,000 and over)</t>
  </si>
  <si>
    <t>Attempted - Criminal damage to a vehicle endangering life</t>
  </si>
  <si>
    <t>Attempted - Other criminal damage, other (£5,000 and over)</t>
  </si>
  <si>
    <t>Attempted - Racially or religiously aggravated criminal damage</t>
  </si>
  <si>
    <t>EXPIRED-NOT FOR USE AFTER 31/03/23-Causing serious injury by careless or inconsiderate driving</t>
  </si>
  <si>
    <t>Attempted - Endangering Life - Causing danger to road-users</t>
  </si>
  <si>
    <t>Use firearm/imitation to resist arrest</t>
  </si>
  <si>
    <t>Sending or showing flashing images electronically with intent to harm</t>
  </si>
  <si>
    <t>Encourage or assist serious self-harm by another</t>
  </si>
  <si>
    <t>Attempted - Endangering Life - Endangering railway passengers by placing anything on railway, taking up rails, changing points and signals etc</t>
  </si>
  <si>
    <t>Attempted - Endangering Life - Endangering railway passengers by unlawful acts, or by omission or neglect</t>
  </si>
  <si>
    <t>Forgery of a drug prescription or copying a false drug prescription</t>
  </si>
  <si>
    <t>Attempted - Failure to comply with (Sexual Offence) Notification Order</t>
  </si>
  <si>
    <t>Attempted - Use of words or behaviour or display or written material (Acts intended to stir up racial hatred)</t>
  </si>
  <si>
    <t>Attempted - Placing or dispatching articles to cause a bomb hoax</t>
  </si>
  <si>
    <t>Distribute/circulate a terrorist publication</t>
  </si>
  <si>
    <t>Attempted - Engaging in conduct, or assisting another, in preparation of committing an act of terrorism</t>
  </si>
  <si>
    <t>Breach of domestic abuse reduction order (Domestic Abuse Act 2021)</t>
  </si>
  <si>
    <t>Attempted - Unauthorised act in relation to a computer causing /creating risk of serious damage</t>
  </si>
  <si>
    <t>Intentionally / recklessly cause a public nuisance</t>
  </si>
  <si>
    <t>Attempted - Throwing articles into prison</t>
  </si>
  <si>
    <t>Sexual activity with a person with a mental disorder impeding choice: Female person</t>
  </si>
  <si>
    <t>Care workers: Causing or inciting sexual activity (person with a mental disorder): Penetration</t>
  </si>
  <si>
    <t>Arrange / facilitate sexual activity in the presence of a child / cause a child to watch a sexual act</t>
  </si>
  <si>
    <t>Arranging or facilitating the sexual exploitation of a child: Child under 13</t>
  </si>
  <si>
    <t>Attempted - Paying for sexual service of a child: Male child under 18</t>
  </si>
  <si>
    <t>Attempted - Cause or Inciting the sexual exploitation of a child: Child 13 - 17</t>
  </si>
  <si>
    <t>Abuse of position of trust: causing a child to watch a sexual activity - female child aged 13-17 Suspect aged 18 or over</t>
  </si>
  <si>
    <t>Abuse of position of trust: causing or inciting a child to engage in sexual activity - female child aged under 13 Suspect aged 18 or over</t>
  </si>
  <si>
    <t>Member of a jury carry out research during the trial period</t>
  </si>
  <si>
    <t>Member of a jury engage in prohibited conduct.</t>
  </si>
  <si>
    <t>Participating in prison mutiny with or without failing to submit to lawful authority</t>
  </si>
  <si>
    <t>Temporarily released prisoner unlawfully at large</t>
  </si>
  <si>
    <t>Aiding, abetting, causing or permitting dangerous driving</t>
  </si>
  <si>
    <t>Manufacture, importation and sale of certain offensive weapons</t>
  </si>
  <si>
    <t>Shortening a shot gun or other smooth bore gun (Group I)</t>
  </si>
  <si>
    <t>Triable Either Way Offences under the Explosives Precursors Regulations 2014</t>
  </si>
  <si>
    <t>Forge/alter/use/lend/make document/authority to drive/card/licence/certificate with intent to deceive</t>
  </si>
  <si>
    <t>Attempted - Fraud, forgery etc associated with registration and licensing documents</t>
  </si>
  <si>
    <t>Mishandling or faking parking documents</t>
  </si>
  <si>
    <t>Remain unlawfully at large after recall to prison</t>
  </si>
  <si>
    <t>Possess video recording of unclassified work for the purpose of supply</t>
  </si>
  <si>
    <t>Share photograph or film of person in intimate state without consent</t>
  </si>
  <si>
    <t>Committing an offence with intent to commit a sexual offence</t>
  </si>
  <si>
    <t>Attempted - Trespass with intent to commit a sexual offence</t>
  </si>
  <si>
    <t>Intercourse with an animal by a female</t>
  </si>
  <si>
    <t>Attempted - Voyeurism</t>
  </si>
  <si>
    <t>Attempted - Assault with Injury -  female genital mutilation - Excise, infibulate, aid, abet, counsel</t>
  </si>
  <si>
    <t>Fail to protect girl from risk of genital mutilation</t>
  </si>
  <si>
    <t>Attempted - Racially or religiously aggravated assault or assault occasioning actual bodily harm</t>
  </si>
  <si>
    <t>Attempted - Stalking - Pursue course of conduct in breach of Sec 1 (1) which amounts to stalking</t>
  </si>
  <si>
    <t>Attempted - Harassment - Stalking involving fear of violence</t>
  </si>
  <si>
    <t>Attempted - Breach of a stalking order or interim stalking order</t>
  </si>
  <si>
    <t>EXPIRED – NOT FOR USE AFTER 30/01/24 - Attempted - Disclose or threats to disclose private sexual photographs/film with intent to cause distress.</t>
  </si>
  <si>
    <t>Send indecent or grossly offensive communication to cause distress or anxiety Sec 1A Malicious Communications Act 1988</t>
  </si>
  <si>
    <t>Attempted - Send indecent or grossly offensive communication to cause distress or anxiety, Sec 1A Malicious Communications Act 1988</t>
  </si>
  <si>
    <t>Assault Police - Non-fatal strangulation and suffocation</t>
  </si>
  <si>
    <t>Attempted - Assault Other Emergency Worker -Wounding with intent to do grievous bodily harm (Indictable) (S.18)</t>
  </si>
  <si>
    <t>Assault Other Emergency Worker - Cause GBH with intent to resist/prevent arrest. (S.18)</t>
  </si>
  <si>
    <t>Attempted - Assault Other Emergency Worker - Cause GBH with intent to resist/prevent arrest. (S.18)</t>
  </si>
  <si>
    <t>Attempted - Manufacturing a scheduled substance</t>
  </si>
  <si>
    <t>Offence in relation to the unlawful importation of a drug controlled under the Misuse of Drugs Act 1971 - Khat</t>
  </si>
  <si>
    <t>Offence in relation to the unlawful exportation of a drug controlled under the Misuse of Drugs Act 1971 -Khat</t>
  </si>
  <si>
    <t>Unlawful exportation of a drug controlled under the Misuse of Drugs Act 1971- unknown class of drug</t>
  </si>
  <si>
    <t>Production or being concerned in production of a controlled drug - Class B - Synthetic cannabinoid receptor agonists</t>
  </si>
  <si>
    <t>Attempted - Supplying or offering to supply a controlled drug - Class A - Cocaine</t>
  </si>
  <si>
    <t>Supplying or offering to supply a controlled drug - Class A - LSD</t>
  </si>
  <si>
    <t>Supplying or offering to supply a controlled drug - Class A - Methadone</t>
  </si>
  <si>
    <t>Attempted - Unlawful importation of a drug controlled under the Misuse of Drugs Act 1971- Class B</t>
  </si>
  <si>
    <t>Unlawful exportation of a drug controlled under the Misuse of Drugs Act 1971- Class B</t>
  </si>
  <si>
    <t>Attempted - Possession of a controlled drug with intent to supply - Class A - Other</t>
  </si>
  <si>
    <t>Attempted - Possession of a controlled drug with intent to supply - Class B - Synthetic cannabinoid receptor agonists</t>
  </si>
  <si>
    <t>Acquisition, possession or use of proceeds of drug trafficking</t>
  </si>
  <si>
    <t>Possession of a controlled drug with intent to supply - Class A - Crystal Meths</t>
  </si>
  <si>
    <t>Attempted - Obstructing a PC in exercise of a S23A (6) power to detain or search a person, vehicle or vessel regrding a drug the subject of a temporary class drug order</t>
  </si>
  <si>
    <t>Possess with intent to supply nitrous oxide for wrongful inhalation - class C drug</t>
  </si>
  <si>
    <t>Supply nitrous oxide for wrongful inhalation - class C drug</t>
  </si>
  <si>
    <t>Attempted - Obstructing powers of search etc or concealing drugs etc</t>
  </si>
  <si>
    <t>Doctors or pharmacists providing false information about the prescriptions, supply etc of drugs</t>
  </si>
  <si>
    <t>Attempted - Having possession of a controlled drug - Class B - Other</t>
  </si>
  <si>
    <t>Having possession of a controlled drug - Class B - Anabolic steroids (Possession is not an offence unless you wish to export or import the steroid without a license)</t>
  </si>
  <si>
    <t>Attempted - Having possession of a controlled drug - Class C - Other</t>
  </si>
  <si>
    <t>Having possession of a controlled drug - Class C - Piperazines (including BZP)</t>
  </si>
  <si>
    <t>Possess nitrous oxide for wrongful inhalation - class C drug</t>
  </si>
  <si>
    <t>Offences in relation to enforcement officers</t>
  </si>
  <si>
    <t>Contravening the law relating to the regulation and control of fishing for salmon, trout, freshwater fish and eels, the protection and conservation of fisheries for such fish, the times of fishing for the selling such fish b.  Sec 27 (instrument other than rod and line) Secs 4, 5</t>
  </si>
  <si>
    <t>Attempted - Fish / take fish by other than licensable means in circumstances where fish / taking may or may not be authorised, or possess unlicensed instrument with intent to fish / take fish or without a S27A authority</t>
  </si>
  <si>
    <t>Employing a person knowing that they are an adult subject to immigration control who has not been granted leave to enter or remain, or whose leave to remain is invalid etc</t>
  </si>
  <si>
    <t>Immigration offences relating to entering the UK 
without proper permissions</t>
  </si>
  <si>
    <t>Offences relating to the facilitation of the commission of a breach of UK immigration law by a non UK national</t>
  </si>
  <si>
    <t>VAT Offences</t>
  </si>
  <si>
    <t>Triable Either Way Offences under: (Copyright, Designs and Patents Act 1988 (except sections included in 84/9))</t>
  </si>
  <si>
    <t>Triable Either Way Offences under: Medicines (Advertising) Regulation Act 1994</t>
  </si>
  <si>
    <t>Send/attempt to send false/misleading message by wireless telegraphy likely to endanger personal safety/ship/aircraft/vehicle</t>
  </si>
  <si>
    <t>Attempted - Intentionally encouraging or assisting commission of an either way offence</t>
  </si>
  <si>
    <t>Encouraging or assisting in the commission of one or more either way, or indictable offences (other than murder) believing it/they will be committed</t>
  </si>
  <si>
    <t>Triable either way offences under: Pyrotechnic Articles (Safety) Regulations 2015</t>
  </si>
  <si>
    <t>Endangering safety of any person or property</t>
  </si>
  <si>
    <t>Triable Either Way Offences under: Communications Act 2003 except Sec 125, 126</t>
  </si>
  <si>
    <t>Triable Either Way Offences under: Conservation (Habitats and species) Regulation</t>
  </si>
  <si>
    <t>Concealment of offences</t>
  </si>
  <si>
    <t>Fraudulently obtaining credit</t>
  </si>
  <si>
    <t>Blasphemous libel</t>
  </si>
  <si>
    <t>Obstructing coroner in the execution of his duty</t>
  </si>
  <si>
    <t>Offences in connection with request for disclosure of information from people with significant control.</t>
  </si>
  <si>
    <t>Wildlife and Countryside Act 1981, Prohibition of certain methods of killing or taking wild animals</t>
  </si>
  <si>
    <t>Animal Welfare Act 2006, Carrying out, permitting or causing to be carried out or failing to prevent prohibited procedure on a protected animal</t>
  </si>
  <si>
    <t>Animal Welfare Act 2006, Administration of poisons etc to a protected animal</t>
  </si>
  <si>
    <t>Dangerous Dogs Act 1991, Breeding or breeding from a fighting dog</t>
  </si>
  <si>
    <t>Dangerous Dogs Act 1991, Selling, exchanging, offering, advertising or exposing for sale a fighting dog</t>
  </si>
  <si>
    <t>Dangerous Dogs Act 1991 - Allowing a fighting dog to be in a public place without a muzzle or a lead</t>
  </si>
  <si>
    <t>Dangerous Dogs Act 1991, Failing to give up a dog for destruction or having custody of a dog while disqualified</t>
  </si>
  <si>
    <t>Disability Discrimination Act 1995added by Private Hire Vehicles (Carriage of Guide Dogs etc) Act 2002, Failure or refusal to carry, or accept a booking for a private hire vehicle because booking was requested by disabled person, or person accompanying disabled person, with an assistance dog</t>
  </si>
  <si>
    <t>Firearms Act 1968 - Non-compliance with condition of firearm certificate</t>
  </si>
  <si>
    <t>Firearms Act 1968, Person supervising permitting improper use of air weapon by person under 17(Group III)</t>
  </si>
  <si>
    <t>Salmon and Freshwater Fisheries Act 1975 , Byelaws made under this Act</t>
  </si>
  <si>
    <t>Deer Acts 1991, Killing or injuring deer by shooting, trap, snares etc</t>
  </si>
  <si>
    <t>Hunting Act 2004 - Hunting a wild mammal with a dog</t>
  </si>
  <si>
    <t>Hunting Act 2004 - Controlling or handling a dog at a hare coursing event</t>
  </si>
  <si>
    <t>Highways Act 1980 , Leaving materials on highway</t>
  </si>
  <si>
    <t>Highways Act 1980 , Person obstructing a bridleway or footpath</t>
  </si>
  <si>
    <t>Harassment, alarm or distress (S5 POA) - (NON-NOTIFIABLE)</t>
  </si>
  <si>
    <t>Football Offences Act 1991, Throwing a missile at or towards the playing area or any area in which spectators or other persons may be present</t>
  </si>
  <si>
    <t>Terrorism Act 2000 - Wearing, carrying or displaying any article in support of a proscribed organisation</t>
  </si>
  <si>
    <t>Criminal Justice &amp; Public Order Act 1994added by Anti-Social Behaviour Act 2003, Failure to leave land or to enter land in area of relevant local authority as a trespasser with the intention of residing there</t>
  </si>
  <si>
    <t>Anti-terrorism, Crime and Security Act 2001, Failure to provide information, produce documentation etc</t>
  </si>
  <si>
    <t>Licensing Act 2003, Carrying on or attempting to carry on or knowingly allowing a licensable activity on or from any premises otherwise than under and in accordance with an authorisation</t>
  </si>
  <si>
    <t>Licensing Act 2003 , Buying or attempting to buy alcohol on behalf of an individual under 18</t>
  </si>
  <si>
    <t>Children and Young Persons Act 1933 as amended by Children and Young Persons (Protection from Tobacco) Act 1991, Sale of tobacco etc to persons under 16 years</t>
  </si>
  <si>
    <t>Air Navigation Order 2005 , Summary offences</t>
  </si>
  <si>
    <t>Peddlers Act 1871 - Acting without certificate, refusal to produce certificate etc (offences by peddlers against the Vagrancy Act 1824 SS3 &amp; 4 should be included under Vagrancy Acts - other offences)</t>
  </si>
  <si>
    <t>Environmental Protection Act 1990 - Depositing litter</t>
  </si>
  <si>
    <t>Police and Criminal Evidence Act 1984added by Criminal Justice and Court Services Act 2000 - Failure to provide a sample</t>
  </si>
  <si>
    <t>Anti-Social Behaviour Act 2003 - Remaining on or entering premises in contravention of a closure notice issued by a constable or other authorised person</t>
  </si>
  <si>
    <t>Immigration Act 1971 - Offences in connection with the payment of fees for certificates of registration</t>
  </si>
  <si>
    <t>Immigration Act 1971 - Non citizen having only a limited leave remaining in UK beyond the time limit</t>
  </si>
  <si>
    <t>EXPIRED-NOT FOR USE AFTER 31/03/25. Criminal Justice Act 1988, Manufacture, importation and sale of certain offensive weapons</t>
  </si>
  <si>
    <t>Restriction of Offensive Weapons Act 1959, Relating to offences in connection with dangerous weapons</t>
  </si>
  <si>
    <t>Magistrates' Courts Act 1980 (except S 106) including S 4-8, as amended by Criminal Justice and Public Order Act 1994 S 44 Sch2, Those matters concerning the Magistrates Courts</t>
  </si>
  <si>
    <t>Prison Act 1952, Relating to prisons and other institutions for offenders</t>
  </si>
  <si>
    <t>Criminal Law Act 1977 added by Criminal Justice (Terrorism &amp; Conspiracy) Act 1998 - Conspiring in Engl&amp; &amp; Wales to commit crimes overseas Summary offences (Only Attorney General can institute proceedings)</t>
  </si>
  <si>
    <t>Wildlife and Countryside Act 1981, Protection of wild plants</t>
  </si>
  <si>
    <t>Electricity Act 1989, Restoration of supply without consent</t>
  </si>
  <si>
    <t>Electricity Act 1989, Interference with meters</t>
  </si>
  <si>
    <t>Local Government (Misc Provisions) Acts 1976 &amp; 1982, Summary offences</t>
  </si>
  <si>
    <t>Violent Crime Reduction Act 2006, Manufacturing or selling a realistic imitation firearm, modifying an imitation firearm so it becomes a realistic imitation firearm or bringing or causing to be brought a realistic imitation firearm into GB</t>
  </si>
  <si>
    <t>Serious Crime Act 2007 - Intentionally encouraging or assisting commission of a summary offence</t>
  </si>
  <si>
    <t>Sexual Offences Act 2003, Sexual Offences Prevention Order (SOPO) or Interim SOPO made on application by the police</t>
  </si>
  <si>
    <t>Road Traffic Act 1988, Racing on the highway</t>
  </si>
  <si>
    <t>Vehicle Excise and Registration Act 1994, Unlawful use of trade plates/licences</t>
  </si>
  <si>
    <t>Vehicle Excise and Registration Act 1994, Failure to fix, and obstruction of, registration marks and signs</t>
  </si>
  <si>
    <t>Road Traffic Regulation Act 1984, Contravention of traffic regulation order, various parking offences</t>
  </si>
  <si>
    <t>Road Traffic Act 1988, Driving motor vehicle with child not wearing seat belt</t>
  </si>
  <si>
    <t>008/15</t>
  </si>
  <si>
    <t>081/86</t>
  </si>
  <si>
    <t>081/90</t>
  </si>
  <si>
    <t>197/21</t>
  </si>
  <si>
    <t>008/75</t>
  </si>
  <si>
    <t>008/76</t>
  </si>
  <si>
    <t>011/02</t>
  </si>
  <si>
    <t>012/00</t>
  </si>
  <si>
    <t>021/26</t>
  </si>
  <si>
    <t>021/27</t>
  </si>
  <si>
    <t>022/26</t>
  </si>
  <si>
    <t>022/30</t>
  </si>
  <si>
    <t>023/11</t>
  </si>
  <si>
    <t>023/14</t>
  </si>
  <si>
    <t>023/19</t>
  </si>
  <si>
    <t>023/23</t>
  </si>
  <si>
    <t>023/27</t>
  </si>
  <si>
    <t>023/31</t>
  </si>
  <si>
    <t>023/32</t>
  </si>
  <si>
    <t>023/35</t>
  </si>
  <si>
    <t>023/05</t>
  </si>
  <si>
    <t>003/04</t>
  </si>
  <si>
    <t>004/10</t>
  </si>
  <si>
    <t>004/19</t>
  </si>
  <si>
    <t>004/17</t>
  </si>
  <si>
    <t>049/03</t>
  </si>
  <si>
    <t>005/17</t>
  </si>
  <si>
    <t>005/29</t>
  </si>
  <si>
    <t>005/30</t>
  </si>
  <si>
    <t>006/01</t>
  </si>
  <si>
    <t>060/21</t>
  </si>
  <si>
    <t>066/54</t>
  </si>
  <si>
    <t>066/59</t>
  </si>
  <si>
    <t>068/19</t>
  </si>
  <si>
    <t>068/23</t>
  </si>
  <si>
    <t>070/02</t>
  </si>
  <si>
    <t>070/21</t>
  </si>
  <si>
    <t>073/12</t>
  </si>
  <si>
    <t>073/15</t>
  </si>
  <si>
    <t>079/06</t>
  </si>
  <si>
    <t>079/08</t>
  </si>
  <si>
    <t>080/01</t>
  </si>
  <si>
    <t>080/02</t>
  </si>
  <si>
    <t>195/20</t>
  </si>
  <si>
    <t>081/15</t>
  </si>
  <si>
    <t>081/89</t>
  </si>
  <si>
    <t>814/10</t>
  </si>
  <si>
    <t>814/07</t>
  </si>
  <si>
    <t>083/06</t>
  </si>
  <si>
    <t>086/05</t>
  </si>
  <si>
    <t>175/08</t>
  </si>
  <si>
    <t>088/06</t>
  </si>
  <si>
    <t>088/04</t>
  </si>
  <si>
    <t>008/68</t>
  </si>
  <si>
    <t>077/50</t>
  </si>
  <si>
    <t>092/17</t>
  </si>
  <si>
    <t>092/18</t>
  </si>
  <si>
    <t>092/02</t>
  </si>
  <si>
    <t>092/22</t>
  </si>
  <si>
    <t>092/32</t>
  </si>
  <si>
    <t>092/35</t>
  </si>
  <si>
    <t>092/07</t>
  </si>
  <si>
    <t>093/51</t>
  </si>
  <si>
    <t>093/92</t>
  </si>
  <si>
    <t>093/94</t>
  </si>
  <si>
    <t>092/67</t>
  </si>
  <si>
    <t>093/70</t>
  </si>
  <si>
    <t>093/91</t>
  </si>
  <si>
    <t>095/62</t>
  </si>
  <si>
    <t>098/91</t>
  </si>
  <si>
    <t>078/24</t>
  </si>
  <si>
    <t>078/28</t>
  </si>
  <si>
    <t>078/29</t>
  </si>
  <si>
    <t>084/10</t>
  </si>
  <si>
    <t>084/11</t>
  </si>
  <si>
    <t>098/40</t>
  </si>
  <si>
    <t>098/77</t>
  </si>
  <si>
    <t>098/96</t>
  </si>
  <si>
    <t>099/80</t>
  </si>
  <si>
    <t>052/11</t>
  </si>
  <si>
    <t>108/24</t>
  </si>
  <si>
    <t>108/30</t>
  </si>
  <si>
    <t>108/32</t>
  </si>
  <si>
    <t>111/12</t>
  </si>
  <si>
    <t>111/13</t>
  </si>
  <si>
    <t>111/15</t>
  </si>
  <si>
    <t>111/20</t>
  </si>
  <si>
    <t>111/24</t>
  </si>
  <si>
    <t>115/04</t>
  </si>
  <si>
    <t>115/49</t>
  </si>
  <si>
    <t>116/06</t>
  </si>
  <si>
    <t>121/11</t>
  </si>
  <si>
    <t>121/13</t>
  </si>
  <si>
    <t>121/20</t>
  </si>
  <si>
    <t>124/04</t>
  </si>
  <si>
    <t>124/07</t>
  </si>
  <si>
    <t>125/27</t>
  </si>
  <si>
    <t>125/41</t>
  </si>
  <si>
    <t>125/65</t>
  </si>
  <si>
    <t>125/75</t>
  </si>
  <si>
    <t>143/71</t>
  </si>
  <si>
    <t>143/83</t>
  </si>
  <si>
    <t>144/01</t>
  </si>
  <si>
    <t>155/09</t>
  </si>
  <si>
    <t>160/00</t>
  </si>
  <si>
    <t>168/82</t>
  </si>
  <si>
    <t>193/48</t>
  </si>
  <si>
    <t>193/52</t>
  </si>
  <si>
    <t>194/26</t>
  </si>
  <si>
    <t>194/03</t>
  </si>
  <si>
    <t>195/86</t>
  </si>
  <si>
    <t>196/71</t>
  </si>
  <si>
    <t>196/92</t>
  </si>
  <si>
    <t>503/00</t>
  </si>
  <si>
    <t>804/90</t>
  </si>
  <si>
    <t>825/02</t>
  </si>
  <si>
    <t xml:space="preserve">Send photograph or film of genitals - s187 Online Safety Act 2023 </t>
  </si>
  <si>
    <t>Sharing or threatening to share intimate photograph or film</t>
  </si>
  <si>
    <t>Or we could view it as closer to an offence under the communications act, it would probably be viewed as higher harm than just sending messages, so would sit at the category 2 level which is a medium level community order again scoring 10 points. </t>
  </si>
  <si>
    <t>Sharing intimate photograph or film to cause alarm, distress or humiliation, or for sexual gratification</t>
  </si>
  <si>
    <t>Encouraging or assisting serious self-harm</t>
  </si>
  <si>
    <t>Send communication threatening death or serious harm</t>
  </si>
  <si>
    <t>Racially or religiously aggravated strangulation or suffocation</t>
  </si>
  <si>
    <t>https://sentencingcouncil.org.uk/guidelines/strangulation-or-suffocation-racially-or-religiously-aggravated-strangulation-or-suffocation/</t>
  </si>
  <si>
    <t>Send false communication with intent to cause harm</t>
  </si>
  <si>
    <t>Hare Coursing</t>
  </si>
  <si>
    <t>Yes (draft only 2026)</t>
  </si>
  <si>
    <t>LINK</t>
  </si>
  <si>
    <t xml:space="preserve">Sentencing updated in 2025 - however seems to be a similar penalty. </t>
  </si>
  <si>
    <t>Fraudulent evasion of VAT</t>
  </si>
  <si>
    <t xml:space="preserve">There are different categories for monetary value, this one is for the lowest value of the offence. </t>
  </si>
  <si>
    <t>https://sentencingcouncil.org.uk/guidelines/firearms-possession-with-intent-other-offences/?source=7511</t>
  </si>
  <si>
    <t>Taking or destroying game by night</t>
  </si>
  <si>
    <t>Trespass in the daytime in search of game</t>
  </si>
  <si>
    <t>Trespass with intent to search for or to pursue hares with dogs etc</t>
  </si>
  <si>
    <t>Being equipped for searching for or pursuing hares with dogs</t>
  </si>
  <si>
    <t>https://sentencingcouncil.org.uk/guidelines/hare-coursing-for-consultation-only/</t>
  </si>
  <si>
    <t>Unlawful eviction of occupier (individual offender)</t>
  </si>
  <si>
    <t>https://sentencingcouncil.org.uk/guidelines/individuals-unlawful-eviction-and-harassment-of-occupier-for-consultation-only/</t>
  </si>
  <si>
    <t xml:space="preserve">Unlawful harassment of occupier (individual offender) </t>
  </si>
  <si>
    <t>Unlawful eviction of occupier (organisation offender)</t>
  </si>
  <si>
    <t>Unlawful harassment of occupier (organisation offender)</t>
  </si>
  <si>
    <t>https://sentencingcouncil.org.uk/guidelines/organisations-unlawful-eviction-and-harassment-of-occupier-for-consultation-only/</t>
  </si>
  <si>
    <t>Fail to have HMO Licence (individual offender)</t>
  </si>
  <si>
    <t>Knowingly permit overcrowding of HMO(individual offender)</t>
  </si>
  <si>
    <t>Breach of HMO licence (individual offender)</t>
  </si>
  <si>
    <t>Fail to comply with management regulations (individual offender)</t>
  </si>
  <si>
    <t>Fail to comply with an improvement notice  (individual offender)</t>
  </si>
  <si>
    <t>Fail to comply with a prohibition order  (individual offender)</t>
  </si>
  <si>
    <t>Fail to have HMO Licence (organisation offender)</t>
  </si>
  <si>
    <t>Knowingly permit overcrowding of HMO (organisation offender)</t>
  </si>
  <si>
    <t>Breach of HMO licence (organisation offender)</t>
  </si>
  <si>
    <t>Fail to comply with management regulations (organisation offender)</t>
  </si>
  <si>
    <t>Fail to comply with an improvement notice (organisation offender)</t>
  </si>
  <si>
    <t>Fail to comply with a prohibition order  (organisation offender)</t>
  </si>
  <si>
    <t>https://sentencingcouncil.org.uk/guidelines/individuals-houses-in-multiple-occupation-hmos-for-consultation-only/</t>
  </si>
  <si>
    <t>https://sentencingcouncil.org.uk/guidelines/individuals-housing-standards-offences-for-consultation-only/</t>
  </si>
  <si>
    <t xml:space="preserve">Used guideline for imitation rather than real firearm since offence specifies air weapon. </t>
  </si>
  <si>
    <t>https://sentencingcouncil.org.uk/guidelines/firearms-possession-with-intent-to-cause-fear-of-violence/?source=7511</t>
  </si>
  <si>
    <t xml:space="preserve">This has changed over the years, as a starting point for air weapon we have used imitation weapon since there is no specific category for air weapon. </t>
  </si>
  <si>
    <t>https://sentencingcouncil.org.uk/guidelines/firearms-possession-with-intent-to-endanger-life/?source=7511</t>
  </si>
  <si>
    <t>life</t>
  </si>
  <si>
    <t>There is guidance on the legislation suggesting a level 3 fine for this type of offence</t>
  </si>
  <si>
    <t>https://www.legislation.gov.uk/ukpga/1968/27/schedule/6</t>
  </si>
  <si>
    <t xml:space="preserve">This is a fairly old offence the best match is probably to compare it to the new internet safety offences. </t>
  </si>
  <si>
    <t xml:space="preserve">If the offence is indicatable the sentence guidelines suggest starting at 5 years. </t>
  </si>
  <si>
    <t>https://sentencingcouncil.org.uk/guidelines/firearms-possession-of-prohibited-weapon/</t>
  </si>
  <si>
    <t>https://sentencingcouncil.org.uk/guidelines/firearms-importation/?source=7511</t>
  </si>
  <si>
    <t>https://sentencingcouncil.org.uk/guidelines/firearms-transfer-and-manufacture/?source=7511</t>
  </si>
  <si>
    <t>https://sentencingcouncil.org.uk/guidelines/firearms-possession-without-certificate/?source=7511</t>
  </si>
  <si>
    <t>https://www.legislation.gov.uk/ukpga/2017/3/section/127/enacted/data.html</t>
  </si>
  <si>
    <t xml:space="preserve">Maximum 12 months when charged summarily. </t>
  </si>
  <si>
    <t>Used possession in a public place as the nearest offence</t>
  </si>
  <si>
    <t>Used general weapon possession</t>
  </si>
  <si>
    <t>https://sentencingcouncil.org.uk/guidelines/bladed-articles-and-offensive-weapons-having-in-a-public-place/?source=7510</t>
  </si>
  <si>
    <t>https://sentencingcouncil.org.uk/guidelines/bladed-articles-and-offensive-weapons-threats/?source=7510</t>
  </si>
  <si>
    <t>Used public place offence as the nearest type of offence</t>
  </si>
  <si>
    <t>Used the highest harm since abandoning would be one of the most serious types.</t>
  </si>
  <si>
    <t>Yes - but offence doesn't specify age of child which impacts precision score.</t>
  </si>
  <si>
    <t>https://sentencingcouncil.org.uk/guidelines/causing-or-inciting-sexual-exploitation-of-a-child-controlling-a-child-in-relation-to-sexual-exploitation-arranging-or-facilitating-sexual-exploitation-of-a-child/?source=7511</t>
  </si>
  <si>
    <t>https://sentencingcouncil.org.uk/guidelines/rape-of-a-child-under-13/?source=7511</t>
  </si>
  <si>
    <t>Scored as culpability A category 2 harm</t>
  </si>
  <si>
    <t>https://sentencingcouncil.org.uk/guidelines/causing-or-inciting-a-child-under-13-to-engage-in-sexual-activity/?source=7511</t>
  </si>
  <si>
    <t>https://sentencingcouncil.org.uk/guidelines/engaging-in-sexual-activity-in-the-presence-of-a-child-causing-a-child-to-watch-a-sexual-act/?source=7511</t>
  </si>
  <si>
    <t>https://sentencingcouncil.org.uk/guidelines/sexual-activity-with-a-child-family-member-inciting-a-child-family-member-to-engage-in-sexual-activity/?source=7511</t>
  </si>
  <si>
    <t>Used higher harm and culpability</t>
  </si>
  <si>
    <t>https://sentencingcouncil.org.uk/guidelines/kidnap-false-imprisonment/?source=7511</t>
  </si>
  <si>
    <t xml:space="preserve">This one is a bit tricky since it is fine only. The range of actions by the company can vary from very slight failure to flagrantly putting employees at risk. </t>
  </si>
  <si>
    <t>https://sentencingcouncil.org.uk/guidelines/corporate-manslaughter/?source=7511</t>
  </si>
  <si>
    <t>https://sentencingcouncil.org.uk/guidelines/causing-serious-injury-by-careless-or-inconsiderate-driving/?source=7511</t>
  </si>
  <si>
    <t xml:space="preserve">Community order </t>
  </si>
  <si>
    <t>https://sentencingcouncil.org.uk/guidelines/causing-serious-injury-by-dangerous-driving/?source=7511</t>
  </si>
  <si>
    <t>1 year 6 months custody</t>
  </si>
  <si>
    <t>https://sentencingcouncil.org.uk/guidelines/causing-death-by-driving-disqualified-drivers/?source=7511</t>
  </si>
  <si>
    <t>Causing death by dangerous driving; Unlicensed or uninsured drivers</t>
  </si>
  <si>
    <t xml:space="preserve">New guidelines are different for the driving offences. </t>
  </si>
  <si>
    <t>https://sentencingcouncil.org.uk/guidelines/causing-death-by-driving-unlicensed-or-uninsured-drivers/?source=7511</t>
  </si>
  <si>
    <t>Causing death by driving: Disqualified driver</t>
  </si>
  <si>
    <t>Dangerous driving</t>
  </si>
  <si>
    <t>Added since there is now a separate sentencing guidelines for just dangerous driving</t>
  </si>
  <si>
    <t>https://sentencingcouncil.org.uk/guidelines/dangerous-driving/?source=7511</t>
  </si>
  <si>
    <t>Causing injury by wanton or furious driving</t>
  </si>
  <si>
    <t>https://sentencingcouncil.org.uk/guidelines/causing-injury-by-wanton-or-furious-driving/?source=7511</t>
  </si>
  <si>
    <t>https://sentencingcouncil.org.uk/guidelines/abstracting-electricity/?source=7511</t>
  </si>
  <si>
    <t>https://www.legislation.gov.uk/ukpga/2024/16/section/1</t>
  </si>
  <si>
    <t xml:space="preserve">Closest would be possibly more serious criminal damage? </t>
  </si>
  <si>
    <t>Scored as general fraud</t>
  </si>
  <si>
    <t>https://sentencingcouncil.org.uk/guidelines/encouragement-of-terrorism-dissemination-of-terrorist-publications/?source=7511</t>
  </si>
  <si>
    <t>https://sentencingcouncil.org.uk/guidelines/preparation-of-terrorist-acts/?source=7511</t>
  </si>
  <si>
    <t>https://sentencingcouncil.org.uk/guidelines/proscribed-organisations-support/?source=7511</t>
  </si>
  <si>
    <t>https://sentencingcouncil.org.uk/guidelines/breach-of-a-protective-order-restraining-and-non-molestation-orders/?source=7511</t>
  </si>
  <si>
    <t xml:space="preserve">We would suggest using 6 months as a starting point sentence for now, until an official guide is given. </t>
  </si>
  <si>
    <t>Used  rape since that is the most equivalent offence</t>
  </si>
  <si>
    <t>https://www.legislation.gov.uk/ukpga/1992/25/section/1/data.html</t>
  </si>
  <si>
    <t>https://www.legislation.gov.uk/ukpga/1995/16/section/1</t>
  </si>
  <si>
    <t>Scored as more harmful than simple possession.</t>
  </si>
  <si>
    <t>https://sentencingcouncil.org.uk/guidelines/firearms-possession-without-certificate/</t>
  </si>
  <si>
    <t>Would depend on the offence comitted</t>
  </si>
  <si>
    <t>https://sentencingcouncil.org.uk/guidelines/failing-to-protect-girl-from-risk-of-genital-mutilation/</t>
  </si>
  <si>
    <t>https://sentencingcouncil.org.uk/guidelines/strangulation-or-suffocation-racially-or-religiously-aggravated-strangulation-or-suffocation/?source=7511</t>
  </si>
  <si>
    <t xml:space="preserve">Upto 5 years/45,000 per worker fine. </t>
  </si>
  <si>
    <t>https://sentencingcouncil.org.uk/guidelines/possession-of-a-controlled-drug/?source=7511</t>
  </si>
  <si>
    <t>https://sentencingcouncil.org.uk/guidelines/supplying-or-offering-to-supply-a-controlled-drug-possession-of-a-controlled-drug-with-intent-to-supply-it-to-another/?source=7511</t>
  </si>
  <si>
    <t>https://sentencingcouncil.org.uk/guidelines/money-laundering/?source=7511</t>
  </si>
  <si>
    <t>scored as use of criminal property</t>
  </si>
  <si>
    <t>https://sentencingcouncil.org.uk/guidelines/fraudulent-evasion-of-a-prohibition-by-bringing-into-or-taking-out-of-the-uk-a-controlled-drug/?source=7511</t>
  </si>
  <si>
    <t>https://sentencingcouncil.org.uk/guidelines/production-of-a-controlled-drug-cultivation-of-cannabis-plant/?source=7511</t>
  </si>
  <si>
    <t xml:space="preserve">Says unknown class, so we have scored as class B for now. </t>
  </si>
  <si>
    <t>https://sentencingcouncil.org.uk/guidelines/production-of-a-controlled-drug-cultivation-of-cannabis-plant/</t>
  </si>
  <si>
    <t>This one would vary depending on the class of the drugs for now we have scored as class B</t>
  </si>
  <si>
    <t>https://sentencingcouncil.org.uk/guidelines/causing-grievous-bodily-harm-with-intent-to-do-grievous-bodily-harm-wounding-with-intent-to-do-gbh/?source=7511</t>
  </si>
  <si>
    <t>Draft guideline</t>
  </si>
  <si>
    <t>https://sentencingcouncil.org.uk/guidelines/revenue-fraud/?source=7510</t>
  </si>
  <si>
    <t>Scored as class B drug supply</t>
  </si>
  <si>
    <t xml:space="preserve">Tricky to know exactly what harm level to score this as. We have opted for a low level community order for now. </t>
  </si>
  <si>
    <t xml:space="preserve">3 months in prison, unlimited fine or both </t>
  </si>
  <si>
    <t>Scored as Mal comms</t>
  </si>
  <si>
    <t xml:space="preserve">unlimited fine/6 months in prison. </t>
  </si>
  <si>
    <t>Scored as perverting the course of justice</t>
  </si>
  <si>
    <t xml:space="preserve">Scored as general fraud </t>
  </si>
  <si>
    <t>Scored as the lowest level of PCJ</t>
  </si>
  <si>
    <t>6 months, a fine or both</t>
  </si>
  <si>
    <t>https://sentencingcouncil.org.uk/guidelines/possession-of-a-prohibited-dog-breeding-selling-exchanging-or-advertising-a-prohibited-dog/</t>
  </si>
  <si>
    <t>https://sentencingcouncil.org.uk/guidelines/breach-of-disqualification-from-keeping-an-animal/?source=7510</t>
  </si>
  <si>
    <t>https://sentencingcouncil.org.uk/guidelines/firearms-possession-without-certificate/?source=7510</t>
  </si>
  <si>
    <t>Not certain of what offence this would refer to. As it says summary offence we would suggest a low level community order</t>
  </si>
  <si>
    <t>Legislation suggests fine.</t>
  </si>
  <si>
    <t>https://sentencingcouncil.org.uk/guidelines/fail-to-provide-specimen-for-analysis-in-charge-revised-2017/?source=7510</t>
  </si>
  <si>
    <t>Would normally be dealt with via deportation etc</t>
  </si>
  <si>
    <t xml:space="preserve">Not sure what offence? </t>
  </si>
  <si>
    <t>Scored as more culpable abstract electricity</t>
  </si>
  <si>
    <t>https://sentencingcouncil.org.uk/guidelines/abstracting-electricity/?source=7510</t>
  </si>
  <si>
    <t>Scored as basic abstract electricity</t>
  </si>
  <si>
    <t>Used closest firearm offence to approx harm</t>
  </si>
  <si>
    <t>Used dangerous driving</t>
  </si>
  <si>
    <t>Usually dealt with via a fine</t>
  </si>
  <si>
    <t>https://sentencingcouncil.org.uk/guidelines/sexual-activity-with-a-child-causing-or-inciting-a-child-to-engage-in-sexual-activity/?source=7511</t>
  </si>
  <si>
    <t>https://sentencingcouncil.org.uk/guidelines/supplying-or-offering-to-supply-a-controlled-drug-possession-of-a-controlled-drug-with-intent-to-supply-it-to-another/</t>
  </si>
  <si>
    <t>https://sentencingcouncil.org.uk/guidelines/possession-of-a-controlled-drug/?source=7510</t>
  </si>
  <si>
    <t>46.46.1B.0</t>
  </si>
  <si>
    <t>Theft from shops and stalls where the values of goods stolen is greater than £200</t>
  </si>
  <si>
    <t>46.46.1B.0A</t>
  </si>
  <si>
    <t>Attempted - Theft from shops and stalls where the values of goods stolen is greater than £200</t>
  </si>
  <si>
    <t>46.46.1.0</t>
  </si>
  <si>
    <t>Theft from shops and stalls where the values of goods stolen is less than £200</t>
  </si>
  <si>
    <t>46.46.1.0A</t>
  </si>
  <si>
    <t>Attempted - Theft from shops and stalls where the values of goods stolen is less than £200</t>
  </si>
  <si>
    <t>https://sentencingcouncil.org.uk/guidelines/theft-from-a-shop-or-stall/?source=7510</t>
  </si>
  <si>
    <t>Theft from shops and stalls where the values of goods stolen is greater than £1000</t>
  </si>
  <si>
    <t>Attempted - Theft from shops and stalls where the values of goods stolen is greater than £1000</t>
  </si>
  <si>
    <t>19J.19.9.0</t>
  </si>
  <si>
    <t>Rape of a male aged 13 - 15 - multiple undefined offenders</t>
  </si>
  <si>
    <t>19J.19.13.0</t>
  </si>
  <si>
    <t>Attempted rape of a male aged 13 -15 - multiple undefined offenders</t>
  </si>
  <si>
    <t>19J.19.17.0</t>
  </si>
  <si>
    <t>Rape of a male child under 13 by a male  - multiple undefined offenders</t>
  </si>
  <si>
    <t>19J.19.19.0</t>
  </si>
  <si>
    <t>Attempted rape of a male child under 13 by a male  - multiple undefined offenders</t>
  </si>
  <si>
    <t>19J.19.18.0</t>
  </si>
  <si>
    <t>Attempted rape of a female child under 13 by a male  - multiple undefined offenders</t>
  </si>
  <si>
    <t>Attempted rape of a female aged 16 or over  - multiple undefined offenders</t>
  </si>
  <si>
    <t>19J.19.10.0</t>
  </si>
  <si>
    <t>Rape of a male aged 16 or over  - multiple undefined offenders</t>
  </si>
  <si>
    <t>19J.19.14.0</t>
  </si>
  <si>
    <t>Attempted rape of a male aged 16 or over  - multiple undefined offenders</t>
  </si>
  <si>
    <t>73.73.11.2</t>
  </si>
  <si>
    <t>Abuse of position of trust: sexual activity in presence of a male child aged 13-17 Suspect aged 18 or over</t>
  </si>
  <si>
    <t>73.73.12.2</t>
  </si>
  <si>
    <t>Abuse of position of trust: causing a child to watch a sexual activity - male child aged 13-17 Suspect aged 18 or over</t>
  </si>
  <si>
    <t>73.73.13.0</t>
  </si>
  <si>
    <t>Abuse of position of trust: sexual activity with a female child aged under 13 Suspect aged 18 or over</t>
  </si>
  <si>
    <t>73.73.17.1</t>
  </si>
  <si>
    <t>Abuse of position of trust: sexual activity in presence of a female child aged under 13 Suspect aged 18 or over</t>
  </si>
  <si>
    <t>73.73.17.2</t>
  </si>
  <si>
    <t>Abuse of position of trust: sexual activity in presence of a male child aged under 13 Suspect aged 18 or over</t>
  </si>
  <si>
    <t>73.73.18.1</t>
  </si>
  <si>
    <t>Abuse of position of trust: causing a child to watch a sexual activity - female child aged under 13 Suspect aged 18 or over</t>
  </si>
  <si>
    <t>8.8.77.0</t>
  </si>
  <si>
    <t>Non Fatal Strangulation or Suffocation</t>
  </si>
  <si>
    <t>66.68.19.0</t>
  </si>
  <si>
    <t>Breach of Domestic Abuse Protection Order</t>
  </si>
  <si>
    <t>92A.92.12.0</t>
  </si>
  <si>
    <t>Production or being concerned in production of a controlled drug - Class A - LSD</t>
  </si>
  <si>
    <t>92A.92.13.0</t>
  </si>
  <si>
    <t>Production or being concerned in production of a controlled drug - Class A - MDMA</t>
  </si>
  <si>
    <t>92A.92.23.0</t>
  </si>
  <si>
    <t>Production or being concerned in production of a controlled drug - Class B - Mephedrone including cathinone derivatives</t>
  </si>
  <si>
    <t>92A.93.60.0</t>
  </si>
  <si>
    <t>Production or being concerned in production of a controlled drug - Class B - Ketamine</t>
  </si>
  <si>
    <t>92A.92.27.0</t>
  </si>
  <si>
    <t>Production or being concerned in production of a controlled drug - Class C - Anabolic Steroids</t>
  </si>
  <si>
    <t>92A.92.28.0</t>
  </si>
  <si>
    <t>Production or being concerned in production of a controlled drug - Class C - Other</t>
  </si>
  <si>
    <t>92A.93.57.0</t>
  </si>
  <si>
    <t>Production or being concerned in production of a controlled drug - Class C - Piperazines (including BZP)</t>
  </si>
  <si>
    <t>92A.93.58.1</t>
  </si>
  <si>
    <t>Production or being concerned in production of a controlled drug - Class C - Gamma-butyrolactone and 1,4-butanediol</t>
  </si>
  <si>
    <t>92A.93.59.1</t>
  </si>
  <si>
    <t>Production or being concerned in production of a controlled drug - Class C - GHB</t>
  </si>
  <si>
    <t>92A.92.43.0</t>
  </si>
  <si>
    <t>Supplying or offering to supply a controlled drug - Class B - Mephedrone including cathinone derivatives</t>
  </si>
  <si>
    <t>92A.93.65.0</t>
  </si>
  <si>
    <t>Supplying or offering to supply a controlled drug - Class C - GHB</t>
  </si>
  <si>
    <t>92A.93.63.0</t>
  </si>
  <si>
    <t>Supplying or offering to supply a controlled drug - Class C - Gamma-butyrolactone (GBL) and 1,4-butanediol (1,4-BD)</t>
  </si>
  <si>
    <t>92A.93.64.0</t>
  </si>
  <si>
    <t>Supplying or offering to supply a controlled drug - Class C - Piperazines (including BZP)</t>
  </si>
  <si>
    <t>92A.93.75.0</t>
  </si>
  <si>
    <t>Possession of a controlled drug with intent to supply - Class C - Gamma-butyrolactone (GBL) and 1,4-butanediol (1,4-BD)</t>
  </si>
  <si>
    <t>92A.93.76.0</t>
  </si>
  <si>
    <t>Possession of a controlled drug with intent to supply - Class C - Piperazines (including BZP)</t>
  </si>
  <si>
    <t>92A.93.77.0</t>
  </si>
  <si>
    <t>Possession of a controlled drug with intent to supply - Class C - GHB</t>
  </si>
  <si>
    <t>NN.125.29.0</t>
  </si>
  <si>
    <t>Football Offences Act 1991 - Going onto the playing or adjacent area without lawful authority or lawful excuse</t>
  </si>
  <si>
    <t>59.59.12.0</t>
  </si>
  <si>
    <t>Possession or making an explosive substance, a noxious or dangerous thing, a machine, engine or instrument with intent to commit an offences under this act</t>
  </si>
  <si>
    <t>5E.5.15.0</t>
  </si>
  <si>
    <t>Possession of shotgun with intent to endanger life (Indictable)</t>
  </si>
  <si>
    <t>https://sentencingcouncil.org.uk/guidelines/football-related-offences-revised-2017/</t>
  </si>
  <si>
    <t>SG have changed so now with real firearm it starts at 1 y 6 monhts</t>
  </si>
  <si>
    <t>https://sentencingcouncil.org.uk/guidelines/blackmail/?source=7511</t>
  </si>
  <si>
    <t>Robbery professionally planned commercial</t>
  </si>
  <si>
    <t>https://sentencingcouncil.org.uk/guidelines/robbery-professionally-planned-commercial/?source=7511</t>
  </si>
  <si>
    <t>Attempt: Robbery professionally planned commercial</t>
  </si>
  <si>
    <t>Robbery dwelling</t>
  </si>
  <si>
    <t>Attempt: Robbery dwelling</t>
  </si>
  <si>
    <t>https://sentencingcouncil.org.uk/guidelines/robbery-dwelling/?source=7511</t>
  </si>
  <si>
    <t>https://sentencingcouncil.org.uk/guidelines/aggravated-vehicle-taking-death-caused/?source=7511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</si>
</sst>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6" x14ac:knownFonts="1">
    <font>
      <sz val="12"/>
      <color theme="1"/>
      <name val="Calibri"/>
      <family val="2"/>
      <scheme val="minor"/>
    </font>
    <font>
      <b/>
      <sz val="12"/>
      <color theme="1"/>
      <name val="Calibri"/>
      <family val="2"/>
      <scheme val="minor"/>
    </font>
    <font>
      <b/>
      <sz val="20"/>
      <color theme="1"/>
      <name val="Calibri (Body)"/>
    </font>
    <font>
      <sz val="20"/>
      <color theme="1"/>
      <name val="Calibri (Body)"/>
    </font>
    <font>
      <sz val="16"/>
      <color rgb="FF111111"/>
      <name val="Calibri"/>
      <family val="2"/>
      <scheme val="minor"/>
    </font>
    <font>
      <b/>
      <sz val="16"/>
      <color theme="1"/>
      <name val="Calibri (Body)"/>
    </font>
    <font>
      <b/>
      <sz val="20"/>
      <color theme="1"/>
      <name val="Calibri"/>
      <family val="2"/>
      <scheme val="minor"/>
    </font>
    <font>
      <sz val="12"/>
      <color theme="1"/>
      <name val="Calibri"/>
      <family val="2"/>
      <scheme val="minor"/>
    </font>
    <font>
      <u/>
      <sz val="12"/>
      <color theme="10"/>
      <name val="Calibri"/>
      <family val="2"/>
      <scheme val="minor"/>
    </font>
    <font>
      <sz val="12"/>
      <color rgb="FF000000"/>
      <name val="Arial"/>
      <family val="2"/>
    </font>
    <font>
      <b/>
      <sz val="12"/>
      <color rgb="FF000000"/>
      <name val="Calibri"/>
      <family val="2"/>
      <scheme val="minor"/>
    </font>
    <font>
      <sz val="12"/>
      <color rgb="FF000000"/>
      <name val="Calibri"/>
      <family val="2"/>
      <scheme val="minor"/>
    </font>
    <font>
      <sz val="15"/>
      <color rgb="FF000000"/>
      <name val="Calibri"/>
      <family val="2"/>
      <scheme val="minor"/>
    </font>
    <font>
      <sz val="12"/>
      <color rgb="FF000000"/>
      <name val="Aptos"/>
    </font>
    <font>
      <sz val="10"/>
      <color rgb="FF000000"/>
      <name val="Tahoma"/>
      <family val="2"/>
    </font>
    <font>
      <sz val="10"/>
      <color rgb="FF000000"/>
      <name val="Arial"/>
      <family val="2"/>
    </font>
  </fonts>
  <fills count="4">
    <fill>
      <patternFill patternType="none"/>
    </fill>
    <fill>
      <patternFill patternType="gray125"/>
    </fill>
    <fill>
      <patternFill patternType="solid">
        <fgColor theme="4" tint="0.59999389629810485"/>
        <bgColor indexed="64"/>
      </patternFill>
    </fill>
    <fill>
      <patternFill patternType="solid">
        <fgColor rgb="FFB4C6E7"/>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8" fillId="0" borderId="0" applyNumberFormat="0" applyFill="0" applyBorder="0" applyAlignment="0" applyProtection="0"/>
    <xf numFmtId="0" fontId="7" fillId="0" borderId="0"/>
  </cellStyleXfs>
  <cellXfs count="46">
    <xf numFmtId="0" fontId="0" fillId="0" borderId="0" xfId="0"/>
    <xf numFmtId="0" fontId="1" fillId="2" borderId="1" xfId="0" applyFont="1" applyFill="1" applyBorder="1" applyAlignment="1">
      <alignment wrapText="1"/>
    </xf>
    <xf numFmtId="0" fontId="0" fillId="2" borderId="1" xfId="0" applyFill="1" applyBorder="1" applyAlignment="1">
      <alignment wrapText="1"/>
    </xf>
    <xf numFmtId="0" fontId="0" fillId="0" borderId="0" xfId="0" applyAlignment="1">
      <alignment vertical="top" wrapText="1"/>
    </xf>
    <xf numFmtId="0" fontId="8" fillId="2" borderId="1" xfId="1" applyFill="1" applyBorder="1" applyAlignment="1">
      <alignment wrapText="1"/>
    </xf>
    <xf numFmtId="0" fontId="1" fillId="2" borderId="1" xfId="2" applyFont="1" applyFill="1" applyBorder="1" applyAlignment="1">
      <alignment wrapText="1"/>
    </xf>
    <xf numFmtId="0" fontId="7" fillId="2" borderId="1" xfId="2" applyFill="1" applyBorder="1" applyAlignment="1">
      <alignment wrapText="1"/>
    </xf>
    <xf numFmtId="0" fontId="0" fillId="2" borderId="1" xfId="0" applyFill="1" applyBorder="1"/>
    <xf numFmtId="0" fontId="9" fillId="2" borderId="1" xfId="0" applyFont="1" applyFill="1" applyBorder="1" applyAlignment="1">
      <alignment wrapText="1"/>
    </xf>
    <xf numFmtId="0" fontId="10" fillId="3" borderId="1" xfId="0" applyFont="1" applyFill="1" applyBorder="1" applyAlignment="1">
      <alignment wrapText="1"/>
    </xf>
    <xf numFmtId="0" fontId="11" fillId="3" borderId="1" xfId="0" applyFont="1" applyFill="1" applyBorder="1" applyAlignment="1">
      <alignment wrapText="1"/>
    </xf>
    <xf numFmtId="0" fontId="9" fillId="0" borderId="1" xfId="0" applyFont="1" applyBorder="1"/>
    <xf numFmtId="0" fontId="0" fillId="0" borderId="1" xfId="0" applyBorder="1"/>
    <xf numFmtId="17" fontId="0" fillId="2" borderId="1" xfId="0" applyNumberFormat="1" applyFill="1" applyBorder="1"/>
    <xf numFmtId="0" fontId="0" fillId="0" borderId="0" xfId="0" applyAlignment="1">
      <alignment horizontal="center"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center" wrapText="1"/>
    </xf>
    <xf numFmtId="0" fontId="6" fillId="0" borderId="0" xfId="0" applyFont="1" applyAlignment="1">
      <alignment horizontal="center" wrapText="1"/>
    </xf>
    <xf numFmtId="0" fontId="15" fillId="2" borderId="1" xfId="0" applyFont="1" applyFill="1" applyBorder="1" applyAlignment="1">
      <alignment vertical="center"/>
    </xf>
    <xf numFmtId="0" fontId="0" fillId="2" borderId="1" xfId="0" applyFont="1" applyFill="1" applyBorder="1" applyAlignment="1">
      <alignment wrapText="1"/>
    </xf>
    <xf numFmtId="0" fontId="0" fillId="2" borderId="3" xfId="0" applyFill="1" applyBorder="1" applyAlignment="1">
      <alignment wrapText="1"/>
    </xf>
    <xf numFmtId="0" fontId="13" fillId="2" borderId="1" xfId="0" applyFont="1" applyFill="1" applyBorder="1"/>
    <xf numFmtId="0" fontId="13" fillId="2" borderId="1" xfId="0" applyFont="1" applyFill="1" applyBorder="1" applyAlignment="1">
      <alignment vertical="center"/>
    </xf>
    <xf numFmtId="0" fontId="15" fillId="2" borderId="1" xfId="0" applyFont="1" applyFill="1" applyBorder="1"/>
    <xf numFmtId="0" fontId="0" fillId="2" borderId="0" xfId="0" applyFill="1" applyBorder="1" applyAlignment="1">
      <alignment wrapText="1"/>
    </xf>
    <xf numFmtId="0" fontId="0" fillId="2" borderId="0" xfId="0" applyFill="1" applyBorder="1"/>
    <xf numFmtId="0" fontId="0" fillId="2" borderId="3" xfId="0" applyFill="1" applyBorder="1"/>
    <xf numFmtId="0" fontId="0" fillId="2" borderId="2" xfId="0" applyFill="1" applyBorder="1" applyAlignment="1">
      <alignment wrapText="1"/>
    </xf>
    <xf numFmtId="0" fontId="8" fillId="0" borderId="1" xfId="1" applyBorder="1" applyAlignment="1">
      <alignment vertical="center"/>
    </xf>
    <xf numFmtId="0" fontId="8" fillId="2" borderId="1" xfId="1" applyFill="1" applyBorder="1"/>
    <xf numFmtId="0" fontId="13" fillId="0" borderId="1" xfId="0" applyFont="1" applyBorder="1" applyAlignment="1">
      <alignment vertical="center"/>
    </xf>
    <xf numFmtId="0" fontId="8" fillId="2" borderId="1" xfId="1" applyFill="1" applyBorder="1" applyAlignment="1">
      <alignment vertical="center"/>
    </xf>
    <xf numFmtId="0" fontId="8" fillId="0" borderId="1" xfId="1" applyBorder="1"/>
    <xf numFmtId="0" fontId="0" fillId="0" borderId="0" xfId="0" applyBorder="1"/>
    <xf numFmtId="0" fontId="12" fillId="2" borderId="1" xfId="0" applyFont="1" applyFill="1" applyBorder="1"/>
    <xf numFmtId="0" fontId="7" fillId="2" borderId="0" xfId="2" applyFill="1" applyBorder="1" applyAlignment="1">
      <alignment wrapText="1"/>
    </xf>
    <xf numFmtId="0" fontId="13" fillId="0" borderId="1" xfId="0" applyFont="1" applyBorder="1" applyAlignment="1">
      <alignment vertical="center" wrapText="1"/>
    </xf>
    <xf numFmtId="6" fontId="0" fillId="2" borderId="1" xfId="0" applyNumberFormat="1" applyFill="1" applyBorder="1" applyAlignment="1">
      <alignment wrapText="1"/>
    </xf>
    <xf numFmtId="0" fontId="0" fillId="2" borderId="0" xfId="0" applyFill="1"/>
    <xf numFmtId="0" fontId="0" fillId="2" borderId="4" xfId="0" applyFill="1" applyBorder="1" applyAlignment="1">
      <alignment wrapText="1"/>
    </xf>
    <xf numFmtId="0" fontId="0" fillId="2" borderId="5" xfId="0" applyFill="1" applyBorder="1" applyAlignment="1">
      <alignment wrapText="1"/>
    </xf>
    <xf numFmtId="0" fontId="1" fillId="2" borderId="5" xfId="0" applyFont="1" applyFill="1" applyBorder="1" applyAlignment="1">
      <alignment wrapText="1"/>
    </xf>
    <xf numFmtId="0" fontId="0" fillId="2" borderId="4" xfId="0" applyFill="1" applyBorder="1"/>
    <xf numFmtId="0" fontId="1" fillId="2" borderId="4" xfId="0" applyFont="1" applyFill="1" applyBorder="1" applyAlignment="1">
      <alignment wrapText="1"/>
    </xf>
    <xf numFmtId="0" fontId="0" fillId="2" borderId="6" xfId="0" applyFill="1" applyBorder="1" applyAlignment="1">
      <alignment wrapText="1"/>
    </xf>
  </cellXfs>
  <cellStyles count="3">
    <cellStyle name="Hyperlink" xfId="1" builtinId="8"/>
    <cellStyle name="Normal" xfId="0" builtinId="0"/>
    <cellStyle name="Normal 2" xfId="2" xr:uid="{AD7B1FC9-6A10-E946-B0A4-BAAE12C91E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12700</xdr:colOff>
      <xdr:row>12</xdr:row>
      <xdr:rowOff>50800</xdr:rowOff>
    </xdr:to>
    <xdr:pic>
      <xdr:nvPicPr>
        <xdr:cNvPr id="2" name="Picture 1">
          <a:extLst>
            <a:ext uri="{FF2B5EF4-FFF2-40B4-BE49-F238E27FC236}">
              <a16:creationId xmlns:a16="http://schemas.microsoft.com/office/drawing/2014/main" id="{A20ACB1B-0F59-AB4F-932B-6878240BFA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744200" cy="26416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eanor Neyroud" id="{FA2AEDA0-B466-9D43-9BBC-E6F5FFC4216A}" userId="S::ecn32@cam.ac.uk::9f50ca64-1709-46e6-bd14-55c8e333844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95" dT="2026-01-29T10:51:21.57" personId="{FA2AEDA0-B466-9D43-9BBC-E6F5FFC4216A}" id="{FEDABB7D-C23C-0747-8A62-DA13F5362204}">
    <text xml:space="preserve">There is guidance given for this offence: 
https://sentencingcouncil.org.uk/guidelines/strangulation-or-suffocation-racially-or-religiously-aggravated-strangulation-or-suffocation/
A “standard” one would start at: 
1 yrs custody or 365 points. 
_x000B_The guide suggests that racially or religiously aggravated should be considered an aggravating factor, so should receive a higher sentence. 
I would suggest using culpability B which would be: 
1 yr 6 months custody or 547.5 points for the R and R offence. </text>
    <extLst>
      <x:ext xmlns:xltc2="http://schemas.microsoft.com/office/spreadsheetml/2020/threadedcomments2" uri="{F7C98A9C-CBB3-438F-8F68-D28B6AF4A901}">
        <xltc2:checksum>1722145661</xltc2:checksum>
        <xltc2:hyperlink startIndex="43" length="137" url="https://sentencingcouncil.org.uk/guidelines/strangulation-or-suffocation-racially-or-religiously-aggravated-strangulation-or-suffocation/"/>
      </x:ext>
    </extLst>
  </threadedComment>
  <threadedComment ref="F342" dT="2026-01-29T10:49:05.99" personId="{FA2AEDA0-B466-9D43-9BBC-E6F5FFC4216A}" id="{13C59A7F-B6CE-6E4B-9C94-15C5B0AC6DE7}">
    <text xml:space="preserve">Currently there is no guideline for this offence, and not really any similar offences to compare it to. There is one case that has been through the courts so far that I could find, which received a combined prison and hospital order of ~ 9 years. So it appears to be an offence that is treated quite seriously. 
The legislation suggests: _x000B__x000B_
At magistrates court imprisonment or fine (or both) not exceeding the general limit 
Or 
At crown court imprisonment not exceeding five years or a fine (or both) 
Maximum at magistrates court is 12 months imprisonment. They have increased this fairly recently from 6 months (~ November 2024). 
I would suggest using 6 months as a starting point sentence for now, until an official guide is given. 
This would score the offence as 182 points. 
</text>
  </threadedComment>
  <threadedComment ref="F638" dT="2026-01-29T10:46:54.96" personId="{FA2AEDA0-B466-9D43-9BBC-E6F5FFC4216A}" id="{5BE1300C-CCAA-D946-8FD4-A89D901FF97B}">
    <text xml:space="preserve">So there could be two ways to view this one, either we could use the guidelines for exposure, which at the starting point would be a medium level community order (10 points). 
Or we could view it as closer to an offence under the communications act, it would probably be viewed as higher harm than just sending messages, so would sit at the category 2 level which is a medium level community order again scoring 10 points. 
From looking at both of these most similar offences I would suggest 10 points. 
</text>
  </threadedComment>
  <threadedComment ref="F639" dT="2026-01-29T10:47:35.63" personId="{FA2AEDA0-B466-9D43-9BBC-E6F5FFC4216A}" id="{1272E015-2818-BE40-9424-59DEEA4B9E99}">
    <text xml:space="preserve">So there could be two ways to view this one, either we could use the guidelines for exposure, which at the starting point would be a medium level community order (10 points). 
Or we could view it as closer to an offence under the communications act, it would probably be viewed as higher harm than just sending messages, so would sit at the category 2 level which is a medium level community order again scoring 10 points. 
From looking at both of these most similar offences I would suggest 10 points. 
</text>
  </threadedComment>
  <threadedComment ref="F642" dT="2026-01-29T10:49:27.52" personId="{FA2AEDA0-B466-9D43-9BBC-E6F5FFC4216A}" id="{4A76CDD2-3686-444E-B577-D521342AE3B6}">
    <text xml:space="preserve">This one has a maximum penalty of 5 years imprisonment an unlimited fine or both. 
The closest offences currently are the former communication act offences, e.g malicious communications. 
This would suggest a starting point of a medium level community order to 9 weeks in custody. 
I would suggest 10 points as a starting point for now, until official guidelines are given. </text>
  </threadedComment>
  <threadedComment ref="F643" dT="2026-01-29T10:50:52.68" personId="{FA2AEDA0-B466-9D43-9BBC-E6F5FFC4216A}" id="{9DE429C5-C687-3140-A41C-3AE60C14CCF9}">
    <text xml:space="preserve">The closest offences currently are the former communication act offences, e.g malicious communications. 
This would suggest a starting point of a medium level community order to 9 weeks in custody. 
I would suggest 10 points as a starting point for now, until official guidelines are given.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sentencingcouncil.org.uk/guidelines/organisations-unlawful-eviction-and-harassment-of-occupier-for-consultation-only/" TargetMode="External"/><Relationship Id="rId13" Type="http://schemas.openxmlformats.org/officeDocument/2006/relationships/hyperlink" Target="https://sentencingcouncil.org.uk/guidelines/organisations-houses-in-multiple-occupation-hmos-for-consultation-only/" TargetMode="External"/><Relationship Id="rId18" Type="http://schemas.openxmlformats.org/officeDocument/2006/relationships/hyperlink" Target="https://www.sentencingcouncil.org.uk/offences/crown-court/item/domestic-burglary/" TargetMode="External"/><Relationship Id="rId3" Type="http://schemas.openxmlformats.org/officeDocument/2006/relationships/hyperlink" Target="https://sentencingcouncil.org.uk/guidelines/strangulation-or-suffocation-racially-or-religiously-aggravated-strangulation-or-suffocation/" TargetMode="External"/><Relationship Id="rId21" Type="http://schemas.microsoft.com/office/2017/10/relationships/threadedComment" Target="../threadedComments/threadedComment1.xml"/><Relationship Id="rId7" Type="http://schemas.openxmlformats.org/officeDocument/2006/relationships/hyperlink" Target="https://sentencingcouncil.org.uk/guidelines/individuals-unlawful-eviction-and-harassment-of-occupier-for-consultation-only/" TargetMode="External"/><Relationship Id="rId12" Type="http://schemas.openxmlformats.org/officeDocument/2006/relationships/hyperlink" Target="https://sentencingcouncil.org.uk/guidelines/organisations-houses-in-multiple-occupation-hmos-for-consultation-only/" TargetMode="External"/><Relationship Id="rId17" Type="http://schemas.openxmlformats.org/officeDocument/2006/relationships/hyperlink" Target="https://sentencingcouncil.org.uk/guidelines/individuals-housing-standards-offences-for-consultation-only/" TargetMode="External"/><Relationship Id="rId2" Type="http://schemas.openxmlformats.org/officeDocument/2006/relationships/hyperlink" Target="https://www.sentencingcouncil.org.uk/offences/crown-court/item/possession-of-indecent-photograph-of-child/" TargetMode="External"/><Relationship Id="rId16" Type="http://schemas.openxmlformats.org/officeDocument/2006/relationships/hyperlink" Target="https://sentencingcouncil.org.uk/guidelines/individuals-housing-standards-offences-for-consultation-only/" TargetMode="External"/><Relationship Id="rId20" Type="http://schemas.openxmlformats.org/officeDocument/2006/relationships/comments" Target="../comments1.xml"/><Relationship Id="rId1" Type="http://schemas.openxmlformats.org/officeDocument/2006/relationships/hyperlink" Target="https://www.sentencingcouncil.org.uk/wp-content/uploads/Sexual-offences-definitive-guideline-Web.pdf" TargetMode="External"/><Relationship Id="rId6" Type="http://schemas.openxmlformats.org/officeDocument/2006/relationships/hyperlink" Target="https://sentencingcouncil.org.uk/guidelines/individuals-unlawful-eviction-and-harassment-of-occupier-for-consultation-only/" TargetMode="External"/><Relationship Id="rId11" Type="http://schemas.openxmlformats.org/officeDocument/2006/relationships/hyperlink" Target="https://sentencingcouncil.org.uk/guidelines/organisations-houses-in-multiple-occupation-hmos-for-consultation-only/" TargetMode="External"/><Relationship Id="rId5" Type="http://schemas.openxmlformats.org/officeDocument/2006/relationships/hyperlink" Target="https://sentencingcouncil.org.uk/guidelines/hare-coursing-for-consultation-only/" TargetMode="External"/><Relationship Id="rId15" Type="http://schemas.openxmlformats.org/officeDocument/2006/relationships/hyperlink" Target="https://sentencingcouncil.org.uk/guidelines/organisations-houses-in-multiple-occupation-hmos-for-consultation-only/" TargetMode="External"/><Relationship Id="rId10" Type="http://schemas.openxmlformats.org/officeDocument/2006/relationships/hyperlink" Target="https://sentencingcouncil.org.uk/guidelines/organisations-houses-in-multiple-occupation-hmos-for-consultation-only/" TargetMode="External"/><Relationship Id="rId19" Type="http://schemas.openxmlformats.org/officeDocument/2006/relationships/vmlDrawing" Target="../drawings/vmlDrawing1.vml"/><Relationship Id="rId4" Type="http://schemas.openxmlformats.org/officeDocument/2006/relationships/hyperlink" Target="https://sentencingcouncil.org.uk/media/04ko5unq/miscellaneous-amendments-to-sentencing-guidelines-for-publication-2024-25.pdf" TargetMode="External"/><Relationship Id="rId9" Type="http://schemas.openxmlformats.org/officeDocument/2006/relationships/hyperlink" Target="https://sentencingcouncil.org.uk/guidelines/organisations-unlawful-eviction-and-harassment-of-occupier-for-consultation-only/" TargetMode="External"/><Relationship Id="rId14" Type="http://schemas.openxmlformats.org/officeDocument/2006/relationships/hyperlink" Target="https://sentencingcouncil.org.uk/guidelines/organisations-houses-in-multiple-occupation-hmos-for-consultation-on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32A39-27D3-724B-B6E8-2D5579D1DD88}">
  <dimension ref="A12:M29"/>
  <sheetViews>
    <sheetView showGridLines="0" topLeftCell="A13" workbookViewId="0">
      <selection activeCell="A13" sqref="A13:M20"/>
    </sheetView>
  </sheetViews>
  <sheetFormatPr baseColWidth="10" defaultColWidth="11.1640625" defaultRowHeight="16" x14ac:dyDescent="0.2"/>
  <sheetData>
    <row r="12" spans="1:13" ht="28" customHeight="1" x14ac:dyDescent="0.2"/>
    <row r="13" spans="1:13" ht="26" customHeight="1" x14ac:dyDescent="0.2">
      <c r="A13" s="16" t="s">
        <v>6135</v>
      </c>
      <c r="B13" s="16"/>
      <c r="C13" s="16"/>
      <c r="D13" s="16"/>
      <c r="E13" s="16"/>
      <c r="F13" s="16"/>
      <c r="G13" s="16"/>
      <c r="H13" s="16"/>
      <c r="I13" s="16"/>
      <c r="J13" s="16"/>
      <c r="K13" s="16"/>
      <c r="L13" s="16"/>
      <c r="M13" s="16"/>
    </row>
    <row r="14" spans="1:13" ht="16" customHeight="1" x14ac:dyDescent="0.2">
      <c r="A14" s="16"/>
      <c r="B14" s="16"/>
      <c r="C14" s="16"/>
      <c r="D14" s="16"/>
      <c r="E14" s="16"/>
      <c r="F14" s="16"/>
      <c r="G14" s="16"/>
      <c r="H14" s="16"/>
      <c r="I14" s="16"/>
      <c r="J14" s="16"/>
      <c r="K14" s="16"/>
      <c r="L14" s="16"/>
      <c r="M14" s="16"/>
    </row>
    <row r="15" spans="1:13" ht="16" customHeight="1" x14ac:dyDescent="0.2">
      <c r="A15" s="16"/>
      <c r="B15" s="16"/>
      <c r="C15" s="16"/>
      <c r="D15" s="16"/>
      <c r="E15" s="16"/>
      <c r="F15" s="16"/>
      <c r="G15" s="16"/>
      <c r="H15" s="16"/>
      <c r="I15" s="16"/>
      <c r="J15" s="16"/>
      <c r="K15" s="16"/>
      <c r="L15" s="16"/>
      <c r="M15" s="16"/>
    </row>
    <row r="16" spans="1:13" ht="16" customHeight="1" x14ac:dyDescent="0.2">
      <c r="A16" s="16"/>
      <c r="B16" s="16"/>
      <c r="C16" s="16"/>
      <c r="D16" s="16"/>
      <c r="E16" s="16"/>
      <c r="F16" s="16"/>
      <c r="G16" s="16"/>
      <c r="H16" s="16"/>
      <c r="I16" s="16"/>
      <c r="J16" s="16"/>
      <c r="K16" s="16"/>
      <c r="L16" s="16"/>
      <c r="M16" s="16"/>
    </row>
    <row r="17" spans="1:13" ht="16" customHeight="1" x14ac:dyDescent="0.2">
      <c r="A17" s="16"/>
      <c r="B17" s="16"/>
      <c r="C17" s="16"/>
      <c r="D17" s="16"/>
      <c r="E17" s="16"/>
      <c r="F17" s="16"/>
      <c r="G17" s="16"/>
      <c r="H17" s="16"/>
      <c r="I17" s="16"/>
      <c r="J17" s="16"/>
      <c r="K17" s="16"/>
      <c r="L17" s="16"/>
      <c r="M17" s="16"/>
    </row>
    <row r="18" spans="1:13" ht="16" customHeight="1" x14ac:dyDescent="0.2">
      <c r="A18" s="16"/>
      <c r="B18" s="16"/>
      <c r="C18" s="16"/>
      <c r="D18" s="16"/>
      <c r="E18" s="16"/>
      <c r="F18" s="16"/>
      <c r="G18" s="16"/>
      <c r="H18" s="16"/>
      <c r="I18" s="16"/>
      <c r="J18" s="16"/>
      <c r="K18" s="16"/>
      <c r="L18" s="16"/>
      <c r="M18" s="16"/>
    </row>
    <row r="19" spans="1:13" ht="24" customHeight="1" x14ac:dyDescent="0.2">
      <c r="A19" s="16"/>
      <c r="B19" s="16"/>
      <c r="C19" s="16"/>
      <c r="D19" s="16"/>
      <c r="E19" s="16"/>
      <c r="F19" s="16"/>
      <c r="G19" s="16"/>
      <c r="H19" s="16"/>
      <c r="I19" s="16"/>
      <c r="J19" s="16"/>
      <c r="K19" s="16"/>
      <c r="L19" s="16"/>
      <c r="M19" s="16"/>
    </row>
    <row r="20" spans="1:13" ht="16" hidden="1" customHeight="1" x14ac:dyDescent="0.2">
      <c r="A20" s="16"/>
      <c r="B20" s="16"/>
      <c r="C20" s="16"/>
      <c r="D20" s="16"/>
      <c r="E20" s="16"/>
      <c r="F20" s="16"/>
      <c r="G20" s="16"/>
      <c r="H20" s="16"/>
      <c r="I20" s="16"/>
      <c r="J20" s="16"/>
      <c r="K20" s="16"/>
      <c r="L20" s="16"/>
      <c r="M20" s="16"/>
    </row>
    <row r="21" spans="1:13" ht="26" customHeight="1" x14ac:dyDescent="0.2">
      <c r="A21" s="15" t="s">
        <v>5038</v>
      </c>
      <c r="B21" s="15"/>
      <c r="C21" s="15"/>
      <c r="D21" s="15"/>
      <c r="E21" s="15"/>
      <c r="F21" s="15"/>
      <c r="G21" s="15"/>
      <c r="H21" s="15"/>
      <c r="I21" s="15"/>
      <c r="J21" s="15"/>
      <c r="K21" s="15"/>
      <c r="L21" s="15"/>
      <c r="M21" s="15"/>
    </row>
    <row r="22" spans="1:13" ht="24" customHeight="1" x14ac:dyDescent="0.2">
      <c r="A22" s="15"/>
      <c r="B22" s="15"/>
      <c r="C22" s="15"/>
      <c r="D22" s="15"/>
      <c r="E22" s="15"/>
      <c r="F22" s="15"/>
      <c r="G22" s="15"/>
      <c r="H22" s="15"/>
      <c r="I22" s="15"/>
      <c r="J22" s="15"/>
      <c r="K22" s="15"/>
      <c r="L22" s="15"/>
      <c r="M22" s="15"/>
    </row>
    <row r="23" spans="1:13" x14ac:dyDescent="0.2">
      <c r="A23" s="15"/>
      <c r="B23" s="15"/>
      <c r="C23" s="15"/>
      <c r="D23" s="15"/>
      <c r="E23" s="15"/>
      <c r="F23" s="15"/>
      <c r="G23" s="15"/>
      <c r="H23" s="15"/>
      <c r="I23" s="15"/>
      <c r="J23" s="15"/>
      <c r="K23" s="15"/>
      <c r="L23" s="15"/>
      <c r="M23" s="15"/>
    </row>
    <row r="24" spans="1:13" ht="109" customHeight="1" x14ac:dyDescent="0.2">
      <c r="A24" s="15"/>
      <c r="B24" s="15"/>
      <c r="C24" s="15"/>
      <c r="D24" s="15"/>
      <c r="E24" s="15"/>
      <c r="F24" s="15"/>
      <c r="G24" s="15"/>
      <c r="H24" s="15"/>
      <c r="I24" s="15"/>
      <c r="J24" s="15"/>
      <c r="K24" s="15"/>
      <c r="L24" s="15"/>
      <c r="M24" s="15"/>
    </row>
    <row r="25" spans="1:13" ht="25" customHeight="1" x14ac:dyDescent="0.2">
      <c r="A25" s="17" t="s">
        <v>5037</v>
      </c>
      <c r="B25" s="18"/>
      <c r="C25" s="18"/>
      <c r="D25" s="18"/>
      <c r="E25" s="18"/>
      <c r="F25" s="18"/>
      <c r="G25" s="18"/>
      <c r="H25" s="18"/>
      <c r="I25" s="18"/>
      <c r="J25" s="18"/>
      <c r="K25" s="18"/>
      <c r="L25" s="18"/>
      <c r="M25" s="18"/>
    </row>
    <row r="26" spans="1:13" ht="22" customHeight="1" x14ac:dyDescent="0.2">
      <c r="A26" s="18"/>
      <c r="B26" s="18"/>
      <c r="C26" s="18"/>
      <c r="D26" s="18"/>
      <c r="E26" s="18"/>
      <c r="F26" s="18"/>
      <c r="G26" s="18"/>
      <c r="H26" s="18"/>
      <c r="I26" s="18"/>
      <c r="J26" s="18"/>
      <c r="K26" s="18"/>
      <c r="L26" s="18"/>
      <c r="M26" s="18"/>
    </row>
    <row r="27" spans="1:13" x14ac:dyDescent="0.2">
      <c r="A27" s="3"/>
      <c r="B27" s="3"/>
      <c r="C27" s="3"/>
      <c r="D27" s="3"/>
      <c r="E27" s="3"/>
      <c r="F27" s="3"/>
      <c r="G27" s="3"/>
      <c r="H27" s="3"/>
      <c r="I27" s="3"/>
      <c r="J27" s="3"/>
      <c r="K27" s="3"/>
      <c r="L27" s="3"/>
      <c r="M27" s="3"/>
    </row>
    <row r="28" spans="1:13" x14ac:dyDescent="0.2">
      <c r="A28" s="3"/>
      <c r="B28" s="3"/>
      <c r="C28" s="3"/>
      <c r="D28" s="3"/>
      <c r="E28" s="3"/>
      <c r="F28" s="3"/>
      <c r="G28" s="3"/>
      <c r="H28" s="3"/>
      <c r="I28" s="3"/>
      <c r="J28" s="3"/>
      <c r="K28" s="3"/>
      <c r="L28" s="3"/>
      <c r="M28" s="3"/>
    </row>
    <row r="29" spans="1:13" ht="119" customHeight="1" x14ac:dyDescent="0.2">
      <c r="A29" s="14" t="s">
        <v>6134</v>
      </c>
      <c r="B29" s="14"/>
      <c r="C29" s="14"/>
      <c r="D29" s="14"/>
      <c r="E29" s="14"/>
      <c r="F29" s="14"/>
      <c r="G29" s="14"/>
      <c r="H29" s="14"/>
      <c r="I29" s="14"/>
      <c r="J29" s="14"/>
      <c r="K29" s="14"/>
      <c r="L29" s="14"/>
      <c r="M29" s="14"/>
    </row>
  </sheetData>
  <mergeCells count="4">
    <mergeCell ref="A29:M29"/>
    <mergeCell ref="A21:M24"/>
    <mergeCell ref="A13:M20"/>
    <mergeCell ref="A25:M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A555-98DF-6348-87F4-1807E50AE95A}">
  <dimension ref="A1:DH1267"/>
  <sheetViews>
    <sheetView tabSelected="1" topLeftCell="B1" zoomScale="75" zoomScaleNormal="51" workbookViewId="0">
      <pane ySplit="1" topLeftCell="A238" activePane="bottomLeft" state="frozen"/>
      <selection pane="bottomLeft" activeCell="C1" sqref="C1"/>
    </sheetView>
  </sheetViews>
  <sheetFormatPr baseColWidth="10" defaultColWidth="19.6640625" defaultRowHeight="92" customHeight="1" x14ac:dyDescent="0.2"/>
  <cols>
    <col min="1" max="1" width="19.6640625" style="2"/>
    <col min="2" max="2" width="67.6640625" style="2" customWidth="1"/>
    <col min="3" max="3" width="62" style="2" customWidth="1"/>
    <col min="4" max="4" width="17.5" style="1" customWidth="1"/>
    <col min="5" max="5" width="19.6640625" style="2"/>
    <col min="6" max="6" width="32.6640625" style="2" customWidth="1"/>
    <col min="7" max="16384" width="19.6640625" style="2"/>
  </cols>
  <sheetData>
    <row r="1" spans="1:112" s="1" customFormat="1" ht="92" customHeight="1" x14ac:dyDescent="0.2">
      <c r="A1" s="1" t="s">
        <v>0</v>
      </c>
      <c r="B1" s="1" t="s">
        <v>1</v>
      </c>
      <c r="C1" s="1" t="s">
        <v>2</v>
      </c>
      <c r="D1" s="1" t="s">
        <v>3</v>
      </c>
      <c r="E1" s="2" t="s">
        <v>4</v>
      </c>
      <c r="F1" s="2" t="s">
        <v>5</v>
      </c>
      <c r="G1" s="2" t="s">
        <v>6</v>
      </c>
      <c r="H1" s="2" t="s">
        <v>7</v>
      </c>
      <c r="I1" s="2" t="s">
        <v>8</v>
      </c>
      <c r="J1" s="1" t="s">
        <v>9</v>
      </c>
      <c r="K1" s="1" t="s">
        <v>10</v>
      </c>
      <c r="L1" s="1" t="s">
        <v>11</v>
      </c>
      <c r="M1" s="1" t="s">
        <v>12</v>
      </c>
      <c r="N1" s="1" t="s">
        <v>13</v>
      </c>
      <c r="O1" s="1" t="s">
        <v>14</v>
      </c>
      <c r="P1" s="1" t="s">
        <v>15</v>
      </c>
      <c r="Q1" s="1" t="s">
        <v>16</v>
      </c>
      <c r="R1" s="1" t="s">
        <v>17</v>
      </c>
      <c r="S1" s="1" t="s">
        <v>18</v>
      </c>
      <c r="T1" s="1" t="s">
        <v>19</v>
      </c>
      <c r="U1" s="1" t="s">
        <v>5036</v>
      </c>
      <c r="V1" s="1" t="s">
        <v>5036</v>
      </c>
      <c r="W1" s="1" t="s">
        <v>5036</v>
      </c>
      <c r="X1" s="1" t="s">
        <v>5036</v>
      </c>
      <c r="Y1" s="1" t="s">
        <v>5036</v>
      </c>
      <c r="Z1" s="1" t="s">
        <v>5036</v>
      </c>
      <c r="AA1" s="1" t="s">
        <v>5036</v>
      </c>
      <c r="AB1" s="1" t="s">
        <v>5036</v>
      </c>
      <c r="AC1" s="1" t="s">
        <v>5036</v>
      </c>
      <c r="AD1" s="1" t="s">
        <v>5036</v>
      </c>
      <c r="AE1" s="1" t="s">
        <v>5036</v>
      </c>
      <c r="AF1" s="1" t="s">
        <v>5036</v>
      </c>
      <c r="AG1" s="1" t="s">
        <v>5036</v>
      </c>
      <c r="AH1" s="1" t="s">
        <v>5036</v>
      </c>
      <c r="AI1" s="1" t="s">
        <v>5036</v>
      </c>
      <c r="AJ1" s="1" t="s">
        <v>5036</v>
      </c>
      <c r="AK1" s="1" t="s">
        <v>5036</v>
      </c>
      <c r="AL1" s="1" t="s">
        <v>5036</v>
      </c>
      <c r="AM1" s="1" t="s">
        <v>5036</v>
      </c>
      <c r="AN1" s="1" t="s">
        <v>5036</v>
      </c>
      <c r="AO1" s="1" t="s">
        <v>5036</v>
      </c>
      <c r="AP1" s="1" t="s">
        <v>5036</v>
      </c>
      <c r="AQ1" s="1" t="s">
        <v>5036</v>
      </c>
      <c r="AR1" s="1" t="s">
        <v>5036</v>
      </c>
      <c r="AS1" s="1" t="s">
        <v>5036</v>
      </c>
      <c r="AT1" s="1" t="s">
        <v>5036</v>
      </c>
      <c r="AU1" s="1" t="s">
        <v>5036</v>
      </c>
      <c r="AV1" s="1" t="s">
        <v>5036</v>
      </c>
    </row>
    <row r="2" spans="1:112" ht="85" x14ac:dyDescent="0.2">
      <c r="A2" s="2" t="s">
        <v>20</v>
      </c>
      <c r="B2" s="2" t="s">
        <v>21</v>
      </c>
      <c r="C2" s="2" t="s">
        <v>22</v>
      </c>
      <c r="D2" s="1">
        <v>5475</v>
      </c>
      <c r="E2" s="2" t="s">
        <v>23</v>
      </c>
      <c r="G2" s="2" t="s">
        <v>24</v>
      </c>
      <c r="H2" s="2" t="s">
        <v>25</v>
      </c>
      <c r="I2" s="2" t="s">
        <v>26</v>
      </c>
      <c r="J2" s="2" t="s">
        <v>27</v>
      </c>
      <c r="K2" s="2" t="s">
        <v>28</v>
      </c>
      <c r="L2" s="2" t="s">
        <v>29</v>
      </c>
      <c r="M2" s="2" t="s">
        <v>30</v>
      </c>
      <c r="N2" s="2" t="s">
        <v>31</v>
      </c>
      <c r="O2" s="2" t="s">
        <v>30</v>
      </c>
      <c r="P2" s="2" t="s">
        <v>30</v>
      </c>
      <c r="Q2" s="2" t="s">
        <v>30</v>
      </c>
      <c r="R2" s="2" t="s">
        <v>32</v>
      </c>
      <c r="S2" s="2" t="s">
        <v>33</v>
      </c>
      <c r="T2" s="2" t="s">
        <v>34</v>
      </c>
      <c r="U2" s="2" t="s">
        <v>35</v>
      </c>
    </row>
    <row r="3" spans="1:112" ht="85" x14ac:dyDescent="0.2">
      <c r="A3" s="2" t="s">
        <v>36</v>
      </c>
      <c r="B3" s="2" t="s">
        <v>37</v>
      </c>
      <c r="C3" s="2" t="s">
        <v>38</v>
      </c>
      <c r="D3" s="1">
        <v>5475</v>
      </c>
      <c r="E3" s="2" t="s">
        <v>23</v>
      </c>
      <c r="G3" s="2" t="s">
        <v>24</v>
      </c>
      <c r="H3" s="2" t="s">
        <v>25</v>
      </c>
      <c r="I3" s="2" t="s">
        <v>26</v>
      </c>
      <c r="J3" s="2" t="s">
        <v>27</v>
      </c>
      <c r="K3" s="2" t="s">
        <v>28</v>
      </c>
      <c r="L3" s="2" t="s">
        <v>29</v>
      </c>
      <c r="M3" s="2" t="s">
        <v>30</v>
      </c>
      <c r="N3" s="2" t="s">
        <v>39</v>
      </c>
      <c r="O3" s="2" t="s">
        <v>30</v>
      </c>
      <c r="P3" s="2" t="s">
        <v>40</v>
      </c>
      <c r="Q3" s="2" t="s">
        <v>41</v>
      </c>
      <c r="R3" s="2" t="s">
        <v>32</v>
      </c>
      <c r="S3" s="2" t="s">
        <v>33</v>
      </c>
      <c r="T3" s="2" t="s">
        <v>34</v>
      </c>
      <c r="U3" s="2" t="s">
        <v>42</v>
      </c>
    </row>
    <row r="4" spans="1:112" ht="85" x14ac:dyDescent="0.2">
      <c r="A4" s="2" t="s">
        <v>43</v>
      </c>
      <c r="B4" s="2" t="s">
        <v>44</v>
      </c>
      <c r="C4" s="2" t="s">
        <v>45</v>
      </c>
      <c r="D4" s="1">
        <v>5475</v>
      </c>
      <c r="E4" s="2" t="s">
        <v>46</v>
      </c>
      <c r="F4" s="2" t="s">
        <v>47</v>
      </c>
      <c r="G4" s="2" t="s">
        <v>24</v>
      </c>
      <c r="H4" s="2" t="s">
        <v>25</v>
      </c>
      <c r="I4" s="2" t="s">
        <v>26</v>
      </c>
      <c r="J4" s="2" t="s">
        <v>27</v>
      </c>
      <c r="K4" s="2" t="s">
        <v>48</v>
      </c>
      <c r="L4" s="2" t="s">
        <v>49</v>
      </c>
      <c r="M4" s="2" t="s">
        <v>50</v>
      </c>
      <c r="N4" s="2" t="s">
        <v>51</v>
      </c>
      <c r="O4" s="2" t="s">
        <v>52</v>
      </c>
      <c r="P4" s="2" t="s">
        <v>40</v>
      </c>
      <c r="Q4" s="2" t="s">
        <v>30</v>
      </c>
      <c r="R4" s="2" t="s">
        <v>32</v>
      </c>
      <c r="S4" s="2" t="s">
        <v>33</v>
      </c>
      <c r="T4" s="2" t="s">
        <v>53</v>
      </c>
      <c r="U4" s="2" t="s">
        <v>3665</v>
      </c>
      <c r="V4" s="2" t="s">
        <v>3666</v>
      </c>
      <c r="W4" s="2" t="s">
        <v>3667</v>
      </c>
      <c r="X4" s="2" t="s">
        <v>3668</v>
      </c>
      <c r="Y4" s="2" t="s">
        <v>3669</v>
      </c>
      <c r="Z4" s="2" t="s">
        <v>3670</v>
      </c>
      <c r="AA4" s="2" t="s">
        <v>3671</v>
      </c>
      <c r="AB4" s="2" t="s">
        <v>3672</v>
      </c>
    </row>
    <row r="5" spans="1:112" ht="85" x14ac:dyDescent="0.2">
      <c r="A5" s="2" t="s">
        <v>54</v>
      </c>
      <c r="B5" s="2" t="s">
        <v>55</v>
      </c>
      <c r="C5" s="2" t="s">
        <v>56</v>
      </c>
      <c r="D5" s="1">
        <v>5475</v>
      </c>
      <c r="E5" s="2" t="s">
        <v>46</v>
      </c>
      <c r="F5" s="2" t="s">
        <v>47</v>
      </c>
      <c r="G5" s="2" t="s">
        <v>24</v>
      </c>
      <c r="H5" s="2" t="s">
        <v>25</v>
      </c>
      <c r="I5" s="2" t="s">
        <v>26</v>
      </c>
      <c r="J5" s="2" t="s">
        <v>27</v>
      </c>
      <c r="K5" s="2" t="s">
        <v>48</v>
      </c>
      <c r="L5" s="2" t="s">
        <v>49</v>
      </c>
      <c r="M5" s="2" t="s">
        <v>50</v>
      </c>
      <c r="N5" s="2" t="s">
        <v>51</v>
      </c>
      <c r="O5" s="2" t="s">
        <v>52</v>
      </c>
      <c r="P5" s="2" t="s">
        <v>40</v>
      </c>
      <c r="Q5" s="2" t="s">
        <v>40</v>
      </c>
      <c r="R5" s="2" t="s">
        <v>32</v>
      </c>
      <c r="S5" s="2" t="s">
        <v>33</v>
      </c>
      <c r="T5" s="2" t="s">
        <v>57</v>
      </c>
      <c r="U5" s="2" t="s">
        <v>3665</v>
      </c>
      <c r="V5" s="2" t="s">
        <v>3666</v>
      </c>
      <c r="W5" s="2" t="s">
        <v>3667</v>
      </c>
      <c r="X5" s="2" t="s">
        <v>3668</v>
      </c>
      <c r="Y5" s="2" t="s">
        <v>3669</v>
      </c>
      <c r="Z5" s="2" t="s">
        <v>3670</v>
      </c>
      <c r="AA5" s="2" t="s">
        <v>3671</v>
      </c>
      <c r="AB5" s="2" t="s">
        <v>3672</v>
      </c>
    </row>
    <row r="6" spans="1:112" ht="85" x14ac:dyDescent="0.2">
      <c r="A6" s="7" t="s">
        <v>6180</v>
      </c>
      <c r="B6" s="2" t="s">
        <v>6385</v>
      </c>
      <c r="C6" s="2" t="s">
        <v>6385</v>
      </c>
      <c r="D6" s="1">
        <v>5475</v>
      </c>
      <c r="E6" s="2" t="s">
        <v>46</v>
      </c>
      <c r="F6" s="2" t="s">
        <v>47</v>
      </c>
      <c r="G6" s="2" t="s">
        <v>24</v>
      </c>
      <c r="H6" s="2" t="s">
        <v>25</v>
      </c>
      <c r="I6" s="2" t="s">
        <v>26</v>
      </c>
      <c r="N6" s="12" t="s">
        <v>6567</v>
      </c>
    </row>
    <row r="7" spans="1:112" ht="85" x14ac:dyDescent="0.2">
      <c r="A7" s="7" t="s">
        <v>5139</v>
      </c>
      <c r="B7" s="7" t="s">
        <v>5140</v>
      </c>
      <c r="C7" s="2" t="s">
        <v>5141</v>
      </c>
      <c r="D7" s="5">
        <f>13*365</f>
        <v>4745</v>
      </c>
      <c r="E7" s="6" t="s">
        <v>23</v>
      </c>
      <c r="F7" s="6" t="s">
        <v>5137</v>
      </c>
      <c r="G7" s="6" t="s">
        <v>5142</v>
      </c>
      <c r="H7" s="6" t="s">
        <v>25</v>
      </c>
      <c r="I7" s="2" t="s">
        <v>102</v>
      </c>
      <c r="J7" s="12" t="s">
        <v>103</v>
      </c>
      <c r="K7" s="12" t="s">
        <v>104</v>
      </c>
      <c r="L7" s="12"/>
      <c r="M7" s="12" t="s">
        <v>181</v>
      </c>
      <c r="N7" s="12" t="s">
        <v>107</v>
      </c>
      <c r="O7" s="12" t="s">
        <v>108</v>
      </c>
      <c r="P7" s="12" t="s">
        <v>109</v>
      </c>
      <c r="Q7" s="12" t="s">
        <v>41</v>
      </c>
      <c r="R7" s="12" t="s">
        <v>32</v>
      </c>
      <c r="S7" s="12" t="s">
        <v>33</v>
      </c>
      <c r="T7" s="12" t="s">
        <v>110</v>
      </c>
      <c r="U7" s="12" t="s">
        <v>5143</v>
      </c>
      <c r="V7" s="12" t="s">
        <v>5143</v>
      </c>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row>
    <row r="8" spans="1:112" ht="85" x14ac:dyDescent="0.2">
      <c r="A8" s="7" t="s">
        <v>6820</v>
      </c>
      <c r="B8" s="7" t="s">
        <v>6821</v>
      </c>
      <c r="C8" s="7" t="s">
        <v>6821</v>
      </c>
      <c r="D8" s="5">
        <f>13*365</f>
        <v>4745</v>
      </c>
      <c r="E8" s="6" t="s">
        <v>23</v>
      </c>
      <c r="F8" s="6" t="s">
        <v>5137</v>
      </c>
      <c r="G8" s="6" t="s">
        <v>5142</v>
      </c>
      <c r="H8" s="6" t="s">
        <v>25</v>
      </c>
      <c r="I8" s="2" t="s">
        <v>102</v>
      </c>
    </row>
    <row r="9" spans="1:112" ht="85" x14ac:dyDescent="0.2">
      <c r="A9" s="7" t="s">
        <v>6822</v>
      </c>
      <c r="B9" s="7" t="s">
        <v>6823</v>
      </c>
      <c r="C9" s="7" t="s">
        <v>6823</v>
      </c>
      <c r="D9" s="5">
        <f>13*365</f>
        <v>4745</v>
      </c>
      <c r="E9" s="6" t="s">
        <v>23</v>
      </c>
      <c r="F9" s="6" t="s">
        <v>5137</v>
      </c>
      <c r="G9" s="6" t="s">
        <v>5142</v>
      </c>
      <c r="H9" s="6" t="s">
        <v>25</v>
      </c>
      <c r="I9" s="2" t="s">
        <v>102</v>
      </c>
    </row>
    <row r="10" spans="1:112" ht="85" x14ac:dyDescent="0.2">
      <c r="A10" s="7" t="s">
        <v>6824</v>
      </c>
      <c r="B10" s="7" t="s">
        <v>6825</v>
      </c>
      <c r="C10" s="7" t="s">
        <v>6825</v>
      </c>
      <c r="D10" s="5">
        <f>13*365</f>
        <v>4745</v>
      </c>
      <c r="E10" s="6" t="s">
        <v>23</v>
      </c>
      <c r="F10" s="6" t="s">
        <v>5137</v>
      </c>
      <c r="G10" s="6" t="s">
        <v>5142</v>
      </c>
      <c r="H10" s="6" t="s">
        <v>25</v>
      </c>
      <c r="I10" s="2" t="s">
        <v>102</v>
      </c>
    </row>
    <row r="11" spans="1:112" ht="51" x14ac:dyDescent="0.2">
      <c r="A11" s="7" t="s">
        <v>6182</v>
      </c>
      <c r="B11" s="2" t="s">
        <v>6387</v>
      </c>
      <c r="C11" s="2" t="s">
        <v>6387</v>
      </c>
      <c r="D11" s="1">
        <v>4380</v>
      </c>
      <c r="E11" s="2" t="s">
        <v>61</v>
      </c>
      <c r="F11" s="2" t="s">
        <v>62</v>
      </c>
      <c r="N11" s="12" t="s">
        <v>67</v>
      </c>
    </row>
    <row r="12" spans="1:112" ht="51" x14ac:dyDescent="0.2">
      <c r="A12" s="2" t="s">
        <v>58</v>
      </c>
      <c r="B12" s="2" t="s">
        <v>59</v>
      </c>
      <c r="C12" s="2" t="s">
        <v>60</v>
      </c>
      <c r="D12" s="1">
        <v>4380</v>
      </c>
      <c r="E12" s="2" t="s">
        <v>61</v>
      </c>
      <c r="F12" s="2" t="s">
        <v>62</v>
      </c>
      <c r="G12" s="2" t="s">
        <v>63</v>
      </c>
      <c r="J12" s="2" t="s">
        <v>27</v>
      </c>
      <c r="K12" s="2" t="s">
        <v>64</v>
      </c>
      <c r="L12" s="2" t="s">
        <v>65</v>
      </c>
      <c r="M12" s="2" t="s">
        <v>66</v>
      </c>
      <c r="N12" s="2" t="s">
        <v>67</v>
      </c>
      <c r="O12" s="2" t="s">
        <v>68</v>
      </c>
      <c r="P12" s="2" t="s">
        <v>52</v>
      </c>
      <c r="Q12" s="2" t="s">
        <v>41</v>
      </c>
      <c r="R12" s="2" t="s">
        <v>32</v>
      </c>
      <c r="S12" s="2" t="s">
        <v>33</v>
      </c>
      <c r="T12" s="2" t="s">
        <v>69</v>
      </c>
      <c r="U12" s="2" t="s">
        <v>70</v>
      </c>
    </row>
    <row r="13" spans="1:112" ht="68" x14ac:dyDescent="0.2">
      <c r="A13" s="7" t="s">
        <v>6154</v>
      </c>
      <c r="B13" s="2" t="s">
        <v>6358</v>
      </c>
      <c r="C13" s="2" t="s">
        <v>6358</v>
      </c>
      <c r="D13" s="1">
        <f>10*365</f>
        <v>3650</v>
      </c>
      <c r="E13" s="2" t="s">
        <v>23</v>
      </c>
      <c r="I13" s="2" t="s">
        <v>6726</v>
      </c>
      <c r="N13" s="12" t="s">
        <v>6554</v>
      </c>
    </row>
    <row r="14" spans="1:112" ht="85" x14ac:dyDescent="0.2">
      <c r="A14" s="7" t="s">
        <v>5134</v>
      </c>
      <c r="B14" s="7" t="s">
        <v>5135</v>
      </c>
      <c r="C14" s="2" t="s">
        <v>5136</v>
      </c>
      <c r="D14" s="1">
        <f>10*365</f>
        <v>3650</v>
      </c>
      <c r="E14" s="2" t="s">
        <v>23</v>
      </c>
      <c r="F14" s="2" t="s">
        <v>180</v>
      </c>
      <c r="G14" s="2" t="s">
        <v>155</v>
      </c>
      <c r="H14" s="2" t="s">
        <v>101</v>
      </c>
      <c r="I14" s="2" t="s">
        <v>102</v>
      </c>
      <c r="J14" s="12" t="s">
        <v>103</v>
      </c>
      <c r="K14" s="12" t="s">
        <v>104</v>
      </c>
      <c r="L14" s="12"/>
      <c r="M14" s="12" t="s">
        <v>181</v>
      </c>
      <c r="N14" s="12" t="s">
        <v>164</v>
      </c>
      <c r="O14" s="12" t="s">
        <v>108</v>
      </c>
      <c r="P14" s="12" t="s">
        <v>165</v>
      </c>
      <c r="Q14" s="12" t="s">
        <v>41</v>
      </c>
      <c r="R14" s="12" t="s">
        <v>32</v>
      </c>
      <c r="S14" s="12" t="s">
        <v>33</v>
      </c>
      <c r="T14" s="12" t="s">
        <v>160</v>
      </c>
      <c r="U14" s="12" t="s">
        <v>5138</v>
      </c>
      <c r="V14" s="12" t="s">
        <v>5138</v>
      </c>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row>
    <row r="15" spans="1:112" ht="85" x14ac:dyDescent="0.2">
      <c r="A15" s="7" t="s">
        <v>5144</v>
      </c>
      <c r="B15" s="7" t="s">
        <v>5135</v>
      </c>
      <c r="C15" s="2" t="s">
        <v>5136</v>
      </c>
      <c r="D15" s="1">
        <f>10*365</f>
        <v>3650</v>
      </c>
      <c r="E15" s="2" t="s">
        <v>23</v>
      </c>
      <c r="F15" s="2" t="s">
        <v>180</v>
      </c>
      <c r="G15" s="2" t="s">
        <v>155</v>
      </c>
      <c r="H15" s="2" t="s">
        <v>101</v>
      </c>
      <c r="I15" s="2" t="s">
        <v>102</v>
      </c>
      <c r="J15" s="12" t="s">
        <v>103</v>
      </c>
      <c r="K15" s="12" t="s">
        <v>104</v>
      </c>
      <c r="L15" s="12"/>
      <c r="M15" s="12" t="s">
        <v>181</v>
      </c>
      <c r="N15" s="12" t="s">
        <v>164</v>
      </c>
      <c r="O15" s="12" t="s">
        <v>108</v>
      </c>
      <c r="P15" s="12" t="s">
        <v>165</v>
      </c>
      <c r="Q15" s="12" t="s">
        <v>41</v>
      </c>
      <c r="R15" s="12" t="s">
        <v>32</v>
      </c>
      <c r="S15" s="12" t="s">
        <v>33</v>
      </c>
      <c r="T15" s="12" t="s">
        <v>160</v>
      </c>
      <c r="U15" s="12" t="s">
        <v>5138</v>
      </c>
      <c r="V15" s="12" t="s">
        <v>5138</v>
      </c>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row>
    <row r="16" spans="1:112" ht="85" x14ac:dyDescent="0.2">
      <c r="A16" s="7" t="s">
        <v>6816</v>
      </c>
      <c r="B16" s="7" t="s">
        <v>6817</v>
      </c>
      <c r="C16" s="7" t="s">
        <v>6817</v>
      </c>
      <c r="D16" s="1">
        <f>10*365</f>
        <v>3650</v>
      </c>
      <c r="E16" s="2" t="s">
        <v>23</v>
      </c>
      <c r="F16" s="2" t="s">
        <v>180</v>
      </c>
      <c r="G16" s="2" t="s">
        <v>155</v>
      </c>
      <c r="H16" s="2" t="s">
        <v>101</v>
      </c>
      <c r="I16" s="2" t="s">
        <v>102</v>
      </c>
    </row>
    <row r="17" spans="1:112" ht="85" x14ac:dyDescent="0.2">
      <c r="A17" s="7" t="s">
        <v>6818</v>
      </c>
      <c r="B17" s="7" t="s">
        <v>6819</v>
      </c>
      <c r="C17" s="7" t="s">
        <v>6819</v>
      </c>
      <c r="D17" s="1">
        <f>10*365</f>
        <v>3650</v>
      </c>
      <c r="E17" s="2" t="s">
        <v>23</v>
      </c>
      <c r="F17" s="2" t="s">
        <v>180</v>
      </c>
      <c r="G17" s="2" t="s">
        <v>155</v>
      </c>
      <c r="H17" s="2" t="s">
        <v>101</v>
      </c>
      <c r="I17" s="2" t="s">
        <v>102</v>
      </c>
    </row>
    <row r="18" spans="1:112" ht="85" x14ac:dyDescent="0.2">
      <c r="A18" s="2" t="s">
        <v>71</v>
      </c>
      <c r="B18" s="2" t="s">
        <v>72</v>
      </c>
      <c r="C18" s="2" t="s">
        <v>73</v>
      </c>
      <c r="D18" s="1">
        <v>3285</v>
      </c>
      <c r="E18" s="2" t="s">
        <v>23</v>
      </c>
      <c r="G18" s="2" t="s">
        <v>74</v>
      </c>
      <c r="H18" s="2" t="s">
        <v>25</v>
      </c>
      <c r="I18" s="2" t="s">
        <v>75</v>
      </c>
      <c r="J18" s="2" t="s">
        <v>27</v>
      </c>
      <c r="K18" s="2" t="s">
        <v>64</v>
      </c>
      <c r="L18" s="2" t="s">
        <v>76</v>
      </c>
      <c r="M18" s="2" t="s">
        <v>40</v>
      </c>
      <c r="N18" s="2" t="s">
        <v>77</v>
      </c>
      <c r="O18" s="2" t="s">
        <v>40</v>
      </c>
      <c r="P18" s="2" t="s">
        <v>41</v>
      </c>
      <c r="Q18" s="2" t="s">
        <v>30</v>
      </c>
      <c r="R18" s="2" t="s">
        <v>32</v>
      </c>
      <c r="S18" s="2" t="s">
        <v>33</v>
      </c>
      <c r="T18" s="2" t="s">
        <v>34</v>
      </c>
      <c r="U18" s="2" t="s">
        <v>35</v>
      </c>
      <c r="V18" s="2" t="s">
        <v>3673</v>
      </c>
      <c r="W18" s="2" t="s">
        <v>3674</v>
      </c>
    </row>
    <row r="19" spans="1:112" ht="85" x14ac:dyDescent="0.2">
      <c r="A19" s="2" t="s">
        <v>78</v>
      </c>
      <c r="B19" s="2" t="s">
        <v>79</v>
      </c>
      <c r="C19" s="2" t="s">
        <v>80</v>
      </c>
      <c r="D19" s="1">
        <v>3285</v>
      </c>
      <c r="E19" s="2" t="s">
        <v>23</v>
      </c>
      <c r="G19" s="2" t="s">
        <v>74</v>
      </c>
      <c r="H19" s="2" t="s">
        <v>25</v>
      </c>
      <c r="I19" s="2" t="s">
        <v>75</v>
      </c>
      <c r="J19" s="2" t="s">
        <v>27</v>
      </c>
      <c r="K19" s="2" t="s">
        <v>64</v>
      </c>
      <c r="L19" s="2" t="s">
        <v>76</v>
      </c>
      <c r="M19" s="2" t="s">
        <v>40</v>
      </c>
      <c r="N19" s="2" t="s">
        <v>81</v>
      </c>
      <c r="O19" s="2" t="s">
        <v>40</v>
      </c>
      <c r="P19" s="2" t="s">
        <v>41</v>
      </c>
      <c r="Q19" s="2" t="s">
        <v>40</v>
      </c>
      <c r="R19" s="2" t="s">
        <v>32</v>
      </c>
      <c r="S19" s="2" t="s">
        <v>33</v>
      </c>
      <c r="T19" s="2" t="s">
        <v>34</v>
      </c>
      <c r="U19" s="2" t="s">
        <v>42</v>
      </c>
    </row>
    <row r="20" spans="1:112" ht="85" x14ac:dyDescent="0.2">
      <c r="A20" s="2" t="s">
        <v>82</v>
      </c>
      <c r="B20" s="2" t="s">
        <v>83</v>
      </c>
      <c r="C20" s="2" t="s">
        <v>84</v>
      </c>
      <c r="D20" s="1">
        <v>3285</v>
      </c>
      <c r="E20" s="2" t="s">
        <v>23</v>
      </c>
      <c r="G20" s="2" t="s">
        <v>74</v>
      </c>
      <c r="H20" s="2" t="s">
        <v>25</v>
      </c>
      <c r="I20" s="2" t="s">
        <v>75</v>
      </c>
      <c r="J20" s="2" t="s">
        <v>27</v>
      </c>
      <c r="K20" s="2" t="s">
        <v>64</v>
      </c>
      <c r="L20" s="2" t="s">
        <v>76</v>
      </c>
      <c r="M20" s="2" t="s">
        <v>40</v>
      </c>
      <c r="N20" s="2" t="s">
        <v>81</v>
      </c>
      <c r="O20" s="2" t="s">
        <v>40</v>
      </c>
      <c r="P20" s="2" t="s">
        <v>41</v>
      </c>
      <c r="Q20" s="2" t="s">
        <v>30</v>
      </c>
      <c r="R20" s="2" t="s">
        <v>32</v>
      </c>
      <c r="S20" s="2" t="s">
        <v>33</v>
      </c>
      <c r="T20" s="2" t="s">
        <v>85</v>
      </c>
      <c r="U20" s="2" t="s">
        <v>3675</v>
      </c>
      <c r="V20" s="2" t="s">
        <v>3676</v>
      </c>
    </row>
    <row r="21" spans="1:112" ht="85" x14ac:dyDescent="0.2">
      <c r="A21" s="2" t="s">
        <v>86</v>
      </c>
      <c r="B21" s="2" t="s">
        <v>87</v>
      </c>
      <c r="C21" s="2" t="s">
        <v>88</v>
      </c>
      <c r="D21" s="1">
        <v>3285</v>
      </c>
      <c r="E21" s="2" t="s">
        <v>61</v>
      </c>
      <c r="F21" s="2" t="s">
        <v>89</v>
      </c>
      <c r="G21" s="2" t="s">
        <v>74</v>
      </c>
      <c r="H21" s="2" t="s">
        <v>25</v>
      </c>
      <c r="I21" s="2" t="s">
        <v>75</v>
      </c>
      <c r="J21" s="2" t="s">
        <v>27</v>
      </c>
      <c r="K21" s="2" t="s">
        <v>64</v>
      </c>
      <c r="L21" s="2" t="s">
        <v>90</v>
      </c>
      <c r="M21" s="2" t="s">
        <v>91</v>
      </c>
      <c r="N21" s="2" t="s">
        <v>92</v>
      </c>
      <c r="O21" s="2" t="s">
        <v>93</v>
      </c>
      <c r="P21" s="2" t="s">
        <v>94</v>
      </c>
      <c r="Q21" s="2" t="s">
        <v>41</v>
      </c>
      <c r="R21" s="2" t="s">
        <v>32</v>
      </c>
      <c r="S21" s="2" t="s">
        <v>33</v>
      </c>
      <c r="T21" s="2" t="s">
        <v>95</v>
      </c>
      <c r="U21" s="2" t="s">
        <v>96</v>
      </c>
    </row>
    <row r="22" spans="1:112" ht="85" x14ac:dyDescent="0.2">
      <c r="A22" s="7" t="s">
        <v>5299</v>
      </c>
      <c r="B22" s="7" t="s">
        <v>5300</v>
      </c>
      <c r="C22" s="2" t="s">
        <v>5301</v>
      </c>
      <c r="D22" s="1">
        <v>3285</v>
      </c>
      <c r="E22" s="2" t="s">
        <v>61</v>
      </c>
      <c r="F22" s="2" t="s">
        <v>89</v>
      </c>
      <c r="G22" s="2" t="s">
        <v>74</v>
      </c>
      <c r="H22" s="2" t="s">
        <v>25</v>
      </c>
      <c r="I22" s="2" t="s">
        <v>75</v>
      </c>
      <c r="J22" s="12" t="s">
        <v>27</v>
      </c>
      <c r="K22" s="12" t="s">
        <v>64</v>
      </c>
      <c r="L22" s="12" t="s">
        <v>90</v>
      </c>
      <c r="M22" s="12" t="s">
        <v>91</v>
      </c>
      <c r="N22" s="12" t="s">
        <v>92</v>
      </c>
      <c r="O22" s="12" t="s">
        <v>93</v>
      </c>
      <c r="P22" s="12" t="s">
        <v>94</v>
      </c>
      <c r="Q22" s="12" t="s">
        <v>199</v>
      </c>
      <c r="R22" s="12" t="s">
        <v>32</v>
      </c>
      <c r="S22" s="12" t="s">
        <v>33</v>
      </c>
      <c r="T22" s="12" t="s">
        <v>95</v>
      </c>
      <c r="U22" s="12" t="s">
        <v>96</v>
      </c>
      <c r="V22" s="12" t="s">
        <v>96</v>
      </c>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row>
    <row r="23" spans="1:112" ht="85" x14ac:dyDescent="0.2">
      <c r="A23" s="7" t="s">
        <v>5307</v>
      </c>
      <c r="B23" s="7" t="s">
        <v>5308</v>
      </c>
      <c r="C23" s="2" t="s">
        <v>5309</v>
      </c>
      <c r="D23" s="1">
        <v>3285</v>
      </c>
      <c r="E23" s="2" t="s">
        <v>61</v>
      </c>
      <c r="F23" s="2" t="s">
        <v>89</v>
      </c>
      <c r="G23" s="2" t="s">
        <v>74</v>
      </c>
      <c r="H23" s="2" t="s">
        <v>25</v>
      </c>
      <c r="I23" s="2" t="s">
        <v>75</v>
      </c>
      <c r="J23" s="12" t="s">
        <v>27</v>
      </c>
      <c r="K23" s="12" t="s">
        <v>64</v>
      </c>
      <c r="L23" s="12" t="s">
        <v>90</v>
      </c>
      <c r="M23" s="12" t="s">
        <v>91</v>
      </c>
      <c r="N23" s="12" t="s">
        <v>5310</v>
      </c>
      <c r="O23" s="12" t="s">
        <v>93</v>
      </c>
      <c r="P23" s="12" t="s">
        <v>441</v>
      </c>
      <c r="Q23" s="12" t="s">
        <v>41</v>
      </c>
      <c r="R23" s="12" t="s">
        <v>32</v>
      </c>
      <c r="S23" s="12" t="s">
        <v>33</v>
      </c>
      <c r="T23" s="12" t="s">
        <v>5311</v>
      </c>
      <c r="U23" s="12" t="s">
        <v>5312</v>
      </c>
      <c r="V23" s="12" t="s">
        <v>5312</v>
      </c>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row>
    <row r="24" spans="1:112" ht="59" customHeight="1" x14ac:dyDescent="0.2">
      <c r="A24" s="2" t="s">
        <v>97</v>
      </c>
      <c r="B24" s="2" t="s">
        <v>98</v>
      </c>
      <c r="C24" s="2" t="s">
        <v>99</v>
      </c>
      <c r="D24" s="1">
        <v>2920</v>
      </c>
      <c r="E24" s="2" t="s">
        <v>23</v>
      </c>
      <c r="G24" s="2" t="s">
        <v>100</v>
      </c>
      <c r="H24" s="2" t="s">
        <v>101</v>
      </c>
      <c r="I24" s="2" t="s">
        <v>102</v>
      </c>
      <c r="J24" s="2" t="s">
        <v>103</v>
      </c>
      <c r="K24" s="2" t="s">
        <v>104</v>
      </c>
      <c r="L24" s="2" t="s">
        <v>105</v>
      </c>
      <c r="M24" s="2" t="s">
        <v>106</v>
      </c>
      <c r="N24" s="2" t="s">
        <v>107</v>
      </c>
      <c r="O24" s="2" t="s">
        <v>108</v>
      </c>
      <c r="P24" s="2" t="s">
        <v>109</v>
      </c>
      <c r="Q24" s="2" t="s">
        <v>41</v>
      </c>
      <c r="R24" s="2" t="s">
        <v>32</v>
      </c>
      <c r="S24" s="2" t="s">
        <v>33</v>
      </c>
      <c r="T24" s="2" t="s">
        <v>110</v>
      </c>
      <c r="U24" s="2" t="s">
        <v>3677</v>
      </c>
      <c r="V24" s="2" t="s">
        <v>3678</v>
      </c>
      <c r="W24" s="2" t="s">
        <v>3679</v>
      </c>
    </row>
    <row r="25" spans="1:112" ht="85" x14ac:dyDescent="0.2">
      <c r="A25" s="2" t="s">
        <v>111</v>
      </c>
      <c r="B25" s="2" t="s">
        <v>112</v>
      </c>
      <c r="C25" s="2" t="s">
        <v>113</v>
      </c>
      <c r="D25" s="1">
        <v>2920</v>
      </c>
      <c r="E25" s="2" t="s">
        <v>23</v>
      </c>
      <c r="G25" s="2" t="s">
        <v>100</v>
      </c>
      <c r="H25" s="2" t="s">
        <v>101</v>
      </c>
      <c r="I25" s="2" t="s">
        <v>102</v>
      </c>
      <c r="J25" s="2" t="s">
        <v>103</v>
      </c>
      <c r="K25" s="2" t="s">
        <v>104</v>
      </c>
      <c r="L25" s="2" t="s">
        <v>105</v>
      </c>
      <c r="M25" s="2" t="s">
        <v>106</v>
      </c>
      <c r="N25" s="2" t="s">
        <v>114</v>
      </c>
      <c r="O25" s="2" t="s">
        <v>108</v>
      </c>
      <c r="P25" s="2" t="s">
        <v>115</v>
      </c>
      <c r="Q25" s="2" t="s">
        <v>41</v>
      </c>
      <c r="R25" s="2" t="s">
        <v>32</v>
      </c>
      <c r="S25" s="2" t="s">
        <v>33</v>
      </c>
      <c r="T25" s="2" t="s">
        <v>110</v>
      </c>
      <c r="U25" s="2" t="s">
        <v>116</v>
      </c>
    </row>
    <row r="26" spans="1:112" ht="85" x14ac:dyDescent="0.2">
      <c r="A26" s="2" t="s">
        <v>117</v>
      </c>
      <c r="B26" s="2" t="s">
        <v>118</v>
      </c>
      <c r="C26" s="2" t="s">
        <v>119</v>
      </c>
      <c r="D26" s="1">
        <v>2920</v>
      </c>
      <c r="E26" s="2" t="s">
        <v>23</v>
      </c>
      <c r="G26" s="2" t="s">
        <v>100</v>
      </c>
      <c r="H26" s="2" t="s">
        <v>101</v>
      </c>
      <c r="I26" s="2" t="s">
        <v>102</v>
      </c>
      <c r="J26" s="2" t="s">
        <v>103</v>
      </c>
      <c r="K26" s="2" t="s">
        <v>104</v>
      </c>
      <c r="L26" s="2" t="s">
        <v>120</v>
      </c>
      <c r="M26" s="2" t="s">
        <v>121</v>
      </c>
      <c r="N26" s="2" t="s">
        <v>122</v>
      </c>
      <c r="O26" s="2" t="s">
        <v>108</v>
      </c>
      <c r="P26" s="2" t="s">
        <v>123</v>
      </c>
      <c r="Q26" s="2" t="s">
        <v>41</v>
      </c>
      <c r="R26" s="2" t="s">
        <v>32</v>
      </c>
      <c r="S26" s="2" t="s">
        <v>33</v>
      </c>
      <c r="T26" s="2" t="s">
        <v>110</v>
      </c>
      <c r="U26" s="2" t="s">
        <v>124</v>
      </c>
    </row>
    <row r="27" spans="1:112" ht="85" x14ac:dyDescent="0.2">
      <c r="A27" s="2" t="s">
        <v>125</v>
      </c>
      <c r="B27" s="2" t="s">
        <v>126</v>
      </c>
      <c r="C27" s="2" t="s">
        <v>127</v>
      </c>
      <c r="D27" s="1">
        <v>2920</v>
      </c>
      <c r="E27" s="2" t="s">
        <v>23</v>
      </c>
      <c r="G27" s="2" t="s">
        <v>100</v>
      </c>
      <c r="H27" s="2" t="s">
        <v>101</v>
      </c>
      <c r="I27" s="2" t="s">
        <v>102</v>
      </c>
      <c r="J27" s="2" t="s">
        <v>103</v>
      </c>
      <c r="K27" s="2" t="s">
        <v>104</v>
      </c>
      <c r="L27" s="2" t="s">
        <v>120</v>
      </c>
      <c r="M27" s="2" t="s">
        <v>121</v>
      </c>
      <c r="N27" s="2" t="s">
        <v>128</v>
      </c>
      <c r="O27" s="2" t="s">
        <v>108</v>
      </c>
      <c r="P27" s="2" t="s">
        <v>108</v>
      </c>
      <c r="Q27" s="2" t="s">
        <v>41</v>
      </c>
      <c r="R27" s="2" t="s">
        <v>32</v>
      </c>
      <c r="S27" s="2" t="s">
        <v>33</v>
      </c>
      <c r="T27" s="2" t="s">
        <v>110</v>
      </c>
      <c r="U27" s="2" t="s">
        <v>129</v>
      </c>
    </row>
    <row r="28" spans="1:112" ht="102" x14ac:dyDescent="0.2">
      <c r="A28" s="2" t="s">
        <v>130</v>
      </c>
      <c r="B28" s="2" t="s">
        <v>131</v>
      </c>
      <c r="C28" s="2" t="s">
        <v>132</v>
      </c>
      <c r="D28" s="1">
        <v>2920</v>
      </c>
      <c r="E28" s="2" t="s">
        <v>23</v>
      </c>
      <c r="F28" s="2" t="s">
        <v>133</v>
      </c>
      <c r="G28" s="2" t="s">
        <v>134</v>
      </c>
      <c r="H28" s="2" t="s">
        <v>25</v>
      </c>
      <c r="I28" s="2" t="s">
        <v>135</v>
      </c>
      <c r="J28" s="2" t="s">
        <v>27</v>
      </c>
      <c r="K28" s="2" t="s">
        <v>64</v>
      </c>
      <c r="L28" s="2" t="s">
        <v>90</v>
      </c>
      <c r="M28" s="2" t="s">
        <v>91</v>
      </c>
      <c r="N28" s="2" t="s">
        <v>136</v>
      </c>
      <c r="O28" s="2" t="s">
        <v>93</v>
      </c>
      <c r="P28" s="2" t="s">
        <v>137</v>
      </c>
      <c r="Q28" s="2" t="s">
        <v>41</v>
      </c>
      <c r="R28" s="2" t="s">
        <v>32</v>
      </c>
      <c r="S28" s="2" t="s">
        <v>33</v>
      </c>
      <c r="T28" s="2" t="s">
        <v>138</v>
      </c>
      <c r="U28" s="2" t="s">
        <v>139</v>
      </c>
    </row>
    <row r="29" spans="1:112" ht="102" x14ac:dyDescent="0.2">
      <c r="A29" s="7" t="s">
        <v>6155</v>
      </c>
      <c r="B29" s="2" t="s">
        <v>6359</v>
      </c>
      <c r="C29" s="2" t="s">
        <v>6359</v>
      </c>
      <c r="D29" s="1">
        <f>8*365</f>
        <v>2920</v>
      </c>
      <c r="E29" s="2" t="s">
        <v>23</v>
      </c>
      <c r="F29" s="2" t="s">
        <v>6727</v>
      </c>
      <c r="I29" s="2" t="s">
        <v>6728</v>
      </c>
      <c r="N29" s="12" t="s">
        <v>6555</v>
      </c>
    </row>
    <row r="30" spans="1:112" ht="102" x14ac:dyDescent="0.2">
      <c r="A30" s="2" t="s">
        <v>150</v>
      </c>
      <c r="B30" s="2" t="s">
        <v>151</v>
      </c>
      <c r="C30" s="2" t="s">
        <v>152</v>
      </c>
      <c r="D30" s="1">
        <v>2555</v>
      </c>
      <c r="E30" s="2" t="s">
        <v>153</v>
      </c>
      <c r="F30" s="2" t="s">
        <v>154</v>
      </c>
      <c r="G30" s="2" t="s">
        <v>155</v>
      </c>
      <c r="H30" s="2" t="s">
        <v>101</v>
      </c>
      <c r="I30" s="2" t="s">
        <v>102</v>
      </c>
      <c r="J30" s="2" t="s">
        <v>103</v>
      </c>
      <c r="K30" s="2" t="s">
        <v>104</v>
      </c>
      <c r="L30" s="2" t="s">
        <v>156</v>
      </c>
      <c r="M30" s="2" t="s">
        <v>157</v>
      </c>
      <c r="N30" s="2" t="s">
        <v>158</v>
      </c>
      <c r="O30" s="2" t="s">
        <v>108</v>
      </c>
      <c r="P30" s="2" t="s">
        <v>159</v>
      </c>
      <c r="Q30" s="2" t="s">
        <v>41</v>
      </c>
      <c r="R30" s="2" t="s">
        <v>32</v>
      </c>
      <c r="S30" s="2" t="s">
        <v>33</v>
      </c>
      <c r="T30" s="2" t="s">
        <v>160</v>
      </c>
      <c r="U30" s="2" t="s">
        <v>3680</v>
      </c>
      <c r="V30" s="2" t="s">
        <v>3681</v>
      </c>
      <c r="W30" s="2" t="s">
        <v>3682</v>
      </c>
    </row>
    <row r="31" spans="1:112" ht="102" x14ac:dyDescent="0.2">
      <c r="A31" s="2" t="s">
        <v>161</v>
      </c>
      <c r="B31" s="2" t="s">
        <v>162</v>
      </c>
      <c r="C31" s="2" t="s">
        <v>163</v>
      </c>
      <c r="D31" s="1">
        <v>2555</v>
      </c>
      <c r="E31" s="2" t="s">
        <v>153</v>
      </c>
      <c r="F31" s="2" t="s">
        <v>154</v>
      </c>
      <c r="G31" s="2" t="s">
        <v>155</v>
      </c>
      <c r="H31" s="2" t="s">
        <v>101</v>
      </c>
      <c r="I31" s="4" t="s">
        <v>102</v>
      </c>
      <c r="J31" s="2" t="s">
        <v>103</v>
      </c>
      <c r="K31" s="2" t="s">
        <v>104</v>
      </c>
      <c r="L31" s="2" t="s">
        <v>156</v>
      </c>
      <c r="M31" s="2" t="s">
        <v>157</v>
      </c>
      <c r="N31" s="2" t="s">
        <v>164</v>
      </c>
      <c r="O31" s="2" t="s">
        <v>108</v>
      </c>
      <c r="P31" s="2" t="s">
        <v>165</v>
      </c>
      <c r="Q31" s="2" t="s">
        <v>41</v>
      </c>
      <c r="R31" s="2" t="s">
        <v>32</v>
      </c>
      <c r="S31" s="2" t="s">
        <v>33</v>
      </c>
      <c r="T31" s="2" t="s">
        <v>160</v>
      </c>
      <c r="U31" s="2" t="s">
        <v>3683</v>
      </c>
      <c r="V31" s="2" t="s">
        <v>3684</v>
      </c>
      <c r="W31" s="2" t="s">
        <v>3685</v>
      </c>
      <c r="X31" s="2" t="s">
        <v>3686</v>
      </c>
      <c r="Y31" s="2" t="s">
        <v>3687</v>
      </c>
    </row>
    <row r="32" spans="1:112" ht="102" x14ac:dyDescent="0.2">
      <c r="A32" s="2" t="s">
        <v>166</v>
      </c>
      <c r="B32" s="2" t="s">
        <v>167</v>
      </c>
      <c r="C32" s="2" t="s">
        <v>168</v>
      </c>
      <c r="D32" s="1">
        <v>2555</v>
      </c>
      <c r="E32" s="2" t="s">
        <v>153</v>
      </c>
      <c r="F32" s="2" t="s">
        <v>154</v>
      </c>
      <c r="G32" s="2" t="s">
        <v>155</v>
      </c>
      <c r="H32" s="2" t="s">
        <v>101</v>
      </c>
      <c r="I32" s="2" t="s">
        <v>102</v>
      </c>
      <c r="J32" s="2" t="s">
        <v>103</v>
      </c>
      <c r="K32" s="2" t="s">
        <v>104</v>
      </c>
      <c r="L32" s="2" t="s">
        <v>169</v>
      </c>
      <c r="M32" s="2" t="s">
        <v>170</v>
      </c>
      <c r="N32" s="2" t="s">
        <v>171</v>
      </c>
      <c r="O32" s="2" t="s">
        <v>108</v>
      </c>
      <c r="P32" s="2" t="s">
        <v>137</v>
      </c>
      <c r="Q32" s="2" t="s">
        <v>41</v>
      </c>
      <c r="R32" s="2" t="s">
        <v>32</v>
      </c>
      <c r="S32" s="2" t="s">
        <v>33</v>
      </c>
      <c r="T32" s="2" t="s">
        <v>172</v>
      </c>
      <c r="U32" s="2" t="s">
        <v>3688</v>
      </c>
      <c r="V32" s="2" t="s">
        <v>3689</v>
      </c>
    </row>
    <row r="33" spans="1:112" ht="102" x14ac:dyDescent="0.2">
      <c r="A33" s="2" t="s">
        <v>173</v>
      </c>
      <c r="B33" s="2" t="s">
        <v>174</v>
      </c>
      <c r="C33" s="2" t="s">
        <v>175</v>
      </c>
      <c r="D33" s="1">
        <v>2555</v>
      </c>
      <c r="E33" s="2" t="s">
        <v>153</v>
      </c>
      <c r="F33" s="2" t="s">
        <v>154</v>
      </c>
      <c r="G33" s="2" t="s">
        <v>155</v>
      </c>
      <c r="H33" s="2" t="s">
        <v>101</v>
      </c>
      <c r="I33" s="2" t="s">
        <v>102</v>
      </c>
      <c r="J33" s="2" t="s">
        <v>103</v>
      </c>
      <c r="K33" s="2" t="s">
        <v>104</v>
      </c>
      <c r="L33" s="2" t="s">
        <v>169</v>
      </c>
      <c r="M33" s="2" t="s">
        <v>170</v>
      </c>
      <c r="N33" s="2" t="s">
        <v>176</v>
      </c>
      <c r="O33" s="2" t="s">
        <v>108</v>
      </c>
      <c r="P33" s="2" t="s">
        <v>177</v>
      </c>
      <c r="Q33" s="2" t="s">
        <v>41</v>
      </c>
      <c r="R33" s="2" t="s">
        <v>32</v>
      </c>
      <c r="S33" s="2" t="s">
        <v>33</v>
      </c>
      <c r="T33" s="2" t="s">
        <v>172</v>
      </c>
      <c r="U33" s="2" t="s">
        <v>3690</v>
      </c>
      <c r="V33" s="2" t="s">
        <v>3691</v>
      </c>
    </row>
    <row r="34" spans="1:112" ht="85" x14ac:dyDescent="0.2">
      <c r="A34" s="2" t="s">
        <v>178</v>
      </c>
      <c r="B34" s="2" t="s">
        <v>179</v>
      </c>
      <c r="C34" s="2" t="s">
        <v>179</v>
      </c>
      <c r="D34" s="1">
        <v>2555</v>
      </c>
      <c r="E34" s="2" t="s">
        <v>23</v>
      </c>
      <c r="F34" s="2" t="s">
        <v>180</v>
      </c>
      <c r="G34" s="2" t="s">
        <v>155</v>
      </c>
      <c r="H34" s="2" t="s">
        <v>101</v>
      </c>
      <c r="I34" s="2" t="s">
        <v>102</v>
      </c>
      <c r="J34" s="2" t="s">
        <v>103</v>
      </c>
      <c r="K34" s="2" t="s">
        <v>104</v>
      </c>
      <c r="M34" s="2" t="s">
        <v>181</v>
      </c>
      <c r="N34" s="2" t="s">
        <v>182</v>
      </c>
      <c r="O34" s="2" t="s">
        <v>108</v>
      </c>
      <c r="P34" s="2" t="s">
        <v>183</v>
      </c>
      <c r="Q34" s="2" t="s">
        <v>41</v>
      </c>
      <c r="R34" s="2" t="s">
        <v>32</v>
      </c>
      <c r="S34" s="2" t="s">
        <v>33</v>
      </c>
      <c r="T34" s="2" t="s">
        <v>160</v>
      </c>
      <c r="U34" s="2" t="s">
        <v>3692</v>
      </c>
      <c r="V34" s="2" t="s">
        <v>3693</v>
      </c>
      <c r="W34" s="2" t="s">
        <v>3694</v>
      </c>
    </row>
    <row r="35" spans="1:112" ht="85" x14ac:dyDescent="0.2">
      <c r="A35" s="7" t="s">
        <v>5145</v>
      </c>
      <c r="B35" s="7" t="s">
        <v>5146</v>
      </c>
      <c r="C35" s="2" t="s">
        <v>5147</v>
      </c>
      <c r="D35" s="1">
        <v>2555</v>
      </c>
      <c r="E35" s="2" t="s">
        <v>23</v>
      </c>
      <c r="F35" s="2" t="s">
        <v>180</v>
      </c>
      <c r="G35" s="2" t="s">
        <v>155</v>
      </c>
      <c r="H35" s="2" t="s">
        <v>101</v>
      </c>
      <c r="I35" s="2" t="s">
        <v>102</v>
      </c>
      <c r="J35" s="12" t="s">
        <v>103</v>
      </c>
      <c r="K35" s="12" t="s">
        <v>104</v>
      </c>
      <c r="L35" s="12"/>
      <c r="M35" s="12" t="s">
        <v>5148</v>
      </c>
      <c r="N35" s="12" t="s">
        <v>362</v>
      </c>
      <c r="O35" s="12" t="s">
        <v>108</v>
      </c>
      <c r="P35" s="12" t="s">
        <v>94</v>
      </c>
      <c r="Q35" s="12" t="s">
        <v>41</v>
      </c>
      <c r="R35" s="12" t="s">
        <v>32</v>
      </c>
      <c r="S35" s="12" t="s">
        <v>33</v>
      </c>
      <c r="T35" s="12" t="s">
        <v>172</v>
      </c>
      <c r="U35" s="12" t="s">
        <v>5149</v>
      </c>
      <c r="V35" s="12" t="s">
        <v>5149</v>
      </c>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row>
    <row r="36" spans="1:112" ht="85" x14ac:dyDescent="0.2">
      <c r="A36" s="2" t="s">
        <v>184</v>
      </c>
      <c r="B36" s="2" t="s">
        <v>185</v>
      </c>
      <c r="C36" s="2" t="s">
        <v>186</v>
      </c>
      <c r="D36" s="1">
        <v>2555</v>
      </c>
      <c r="E36" s="2" t="s">
        <v>187</v>
      </c>
      <c r="F36" s="2" t="s">
        <v>188</v>
      </c>
      <c r="G36" s="2" t="s">
        <v>155</v>
      </c>
      <c r="H36" s="2" t="s">
        <v>189</v>
      </c>
      <c r="I36" s="2" t="s">
        <v>102</v>
      </c>
      <c r="J36" s="2" t="s">
        <v>103</v>
      </c>
      <c r="K36" s="2" t="s">
        <v>190</v>
      </c>
      <c r="L36" s="2" t="s">
        <v>191</v>
      </c>
      <c r="M36" s="2" t="s">
        <v>192</v>
      </c>
      <c r="N36" s="2" t="s">
        <v>193</v>
      </c>
      <c r="O36" s="2" t="s">
        <v>192</v>
      </c>
      <c r="P36" s="2" t="s">
        <v>194</v>
      </c>
      <c r="Q36" s="2" t="s">
        <v>41</v>
      </c>
      <c r="R36" s="2" t="s">
        <v>32</v>
      </c>
      <c r="S36" s="2" t="s">
        <v>33</v>
      </c>
      <c r="T36" s="2" t="s">
        <v>195</v>
      </c>
      <c r="U36" s="2" t="s">
        <v>3695</v>
      </c>
      <c r="V36" s="2" t="s">
        <v>3696</v>
      </c>
    </row>
    <row r="37" spans="1:112" ht="85" x14ac:dyDescent="0.2">
      <c r="A37" s="2" t="s">
        <v>196</v>
      </c>
      <c r="B37" s="2" t="s">
        <v>197</v>
      </c>
      <c r="C37" s="2" t="s">
        <v>198</v>
      </c>
      <c r="D37" s="1">
        <v>2555</v>
      </c>
      <c r="E37" s="2" t="s">
        <v>187</v>
      </c>
      <c r="F37" s="2" t="s">
        <v>188</v>
      </c>
      <c r="G37" s="2" t="s">
        <v>155</v>
      </c>
      <c r="H37" s="2" t="s">
        <v>189</v>
      </c>
      <c r="I37" s="2" t="s">
        <v>102</v>
      </c>
      <c r="J37" s="2" t="s">
        <v>103</v>
      </c>
      <c r="K37" s="2" t="s">
        <v>190</v>
      </c>
      <c r="L37" s="2" t="s">
        <v>191</v>
      </c>
      <c r="M37" s="2" t="s">
        <v>192</v>
      </c>
      <c r="N37" s="2" t="s">
        <v>193</v>
      </c>
      <c r="O37" s="2" t="s">
        <v>192</v>
      </c>
      <c r="P37" s="2" t="s">
        <v>194</v>
      </c>
      <c r="Q37" s="2" t="s">
        <v>199</v>
      </c>
      <c r="R37" s="2" t="s">
        <v>32</v>
      </c>
      <c r="S37" s="2" t="s">
        <v>33</v>
      </c>
      <c r="T37" s="2" t="s">
        <v>195</v>
      </c>
      <c r="U37" s="2" t="s">
        <v>3695</v>
      </c>
      <c r="V37" s="2" t="s">
        <v>3696</v>
      </c>
    </row>
    <row r="38" spans="1:112" ht="85" x14ac:dyDescent="0.2">
      <c r="A38" s="7" t="s">
        <v>6150</v>
      </c>
      <c r="B38" s="2" t="s">
        <v>6354</v>
      </c>
      <c r="C38" s="2" t="s">
        <v>6354</v>
      </c>
      <c r="D38" s="1">
        <v>2555</v>
      </c>
      <c r="E38" s="2" t="s">
        <v>23</v>
      </c>
      <c r="F38" s="2" t="s">
        <v>180</v>
      </c>
      <c r="G38" s="2" t="s">
        <v>155</v>
      </c>
      <c r="H38" s="2" t="s">
        <v>101</v>
      </c>
      <c r="I38" s="2" t="s">
        <v>102</v>
      </c>
      <c r="N38" s="12" t="s">
        <v>352</v>
      </c>
    </row>
    <row r="39" spans="1:112" ht="85" x14ac:dyDescent="0.2">
      <c r="A39" s="7" t="s">
        <v>6160</v>
      </c>
      <c r="B39" s="2" t="s">
        <v>6365</v>
      </c>
      <c r="C39" s="2" t="s">
        <v>6365</v>
      </c>
      <c r="D39" s="1">
        <v>2555</v>
      </c>
      <c r="E39" s="2" t="s">
        <v>187</v>
      </c>
      <c r="F39" s="2" t="s">
        <v>188</v>
      </c>
      <c r="G39" s="2" t="s">
        <v>155</v>
      </c>
      <c r="H39" s="2" t="s">
        <v>189</v>
      </c>
      <c r="I39" s="2" t="s">
        <v>102</v>
      </c>
      <c r="N39" s="12" t="s">
        <v>6559</v>
      </c>
    </row>
    <row r="40" spans="1:112" ht="85" x14ac:dyDescent="0.2">
      <c r="A40" s="7" t="s">
        <v>6164</v>
      </c>
      <c r="B40" s="2" t="s">
        <v>6369</v>
      </c>
      <c r="C40" s="2" t="s">
        <v>6369</v>
      </c>
      <c r="D40" s="1">
        <v>2555</v>
      </c>
      <c r="E40" s="2" t="s">
        <v>187</v>
      </c>
      <c r="F40" s="2" t="s">
        <v>188</v>
      </c>
      <c r="G40" s="2" t="s">
        <v>155</v>
      </c>
      <c r="H40" s="2" t="s">
        <v>189</v>
      </c>
      <c r="I40" s="2" t="s">
        <v>102</v>
      </c>
      <c r="N40" s="12" t="s">
        <v>6563</v>
      </c>
    </row>
    <row r="41" spans="1:112" ht="85" x14ac:dyDescent="0.2">
      <c r="A41" s="7" t="s">
        <v>6150</v>
      </c>
      <c r="B41" s="7" t="s">
        <v>6826</v>
      </c>
      <c r="C41" s="7" t="s">
        <v>6826</v>
      </c>
      <c r="D41" s="1">
        <v>2555</v>
      </c>
      <c r="E41" s="2" t="s">
        <v>23</v>
      </c>
      <c r="F41" s="2" t="s">
        <v>180</v>
      </c>
      <c r="G41" s="2" t="s">
        <v>155</v>
      </c>
      <c r="H41" s="2" t="s">
        <v>101</v>
      </c>
      <c r="I41" s="2" t="s">
        <v>102</v>
      </c>
    </row>
    <row r="42" spans="1:112" ht="85" x14ac:dyDescent="0.2">
      <c r="A42" s="7" t="s">
        <v>6827</v>
      </c>
      <c r="B42" s="7" t="s">
        <v>6828</v>
      </c>
      <c r="C42" s="7" t="s">
        <v>6828</v>
      </c>
      <c r="D42" s="1">
        <v>2555</v>
      </c>
      <c r="E42" s="2" t="s">
        <v>23</v>
      </c>
      <c r="F42" s="2" t="s">
        <v>180</v>
      </c>
      <c r="G42" s="2" t="s">
        <v>155</v>
      </c>
      <c r="H42" s="2" t="s">
        <v>101</v>
      </c>
      <c r="I42" s="2" t="s">
        <v>102</v>
      </c>
    </row>
    <row r="43" spans="1:112" ht="85" x14ac:dyDescent="0.2">
      <c r="A43" s="7" t="s">
        <v>6829</v>
      </c>
      <c r="B43" s="7" t="s">
        <v>6830</v>
      </c>
      <c r="C43" s="7" t="s">
        <v>6830</v>
      </c>
      <c r="D43" s="1">
        <v>2555</v>
      </c>
      <c r="E43" s="2" t="s">
        <v>23</v>
      </c>
      <c r="F43" s="2" t="s">
        <v>180</v>
      </c>
      <c r="G43" s="2" t="s">
        <v>155</v>
      </c>
      <c r="H43" s="2" t="s">
        <v>101</v>
      </c>
      <c r="I43" s="2" t="s">
        <v>102</v>
      </c>
    </row>
    <row r="44" spans="1:112" ht="85" x14ac:dyDescent="0.2">
      <c r="A44" s="7" t="s">
        <v>5131</v>
      </c>
      <c r="B44" s="7" t="s">
        <v>5132</v>
      </c>
      <c r="C44" s="2" t="s">
        <v>5133</v>
      </c>
      <c r="D44" s="1">
        <v>2190</v>
      </c>
      <c r="E44" s="2" t="s">
        <v>23</v>
      </c>
      <c r="G44" s="2" t="s">
        <v>203</v>
      </c>
      <c r="H44" s="2" t="s">
        <v>225</v>
      </c>
      <c r="I44" s="2" t="s">
        <v>102</v>
      </c>
      <c r="J44" s="12" t="s">
        <v>103</v>
      </c>
      <c r="K44" s="12" t="s">
        <v>190</v>
      </c>
      <c r="L44" s="12" t="s">
        <v>430</v>
      </c>
      <c r="M44" s="12" t="s">
        <v>431</v>
      </c>
      <c r="N44" s="12" t="s">
        <v>432</v>
      </c>
      <c r="O44" s="12" t="s">
        <v>123</v>
      </c>
      <c r="P44" s="12" t="s">
        <v>229</v>
      </c>
      <c r="Q44" s="12" t="s">
        <v>199</v>
      </c>
      <c r="R44" s="12" t="s">
        <v>32</v>
      </c>
      <c r="S44" s="12" t="s">
        <v>33</v>
      </c>
      <c r="T44" s="12" t="s">
        <v>433</v>
      </c>
      <c r="U44" s="12" t="s">
        <v>434</v>
      </c>
      <c r="V44" s="12" t="s">
        <v>434</v>
      </c>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row>
    <row r="45" spans="1:112" ht="69" customHeight="1" x14ac:dyDescent="0.2">
      <c r="A45" s="2" t="s">
        <v>223</v>
      </c>
      <c r="B45" s="2" t="s">
        <v>224</v>
      </c>
      <c r="C45" s="2" t="s">
        <v>224</v>
      </c>
      <c r="D45" s="1">
        <v>2190</v>
      </c>
      <c r="E45" s="2" t="s">
        <v>23</v>
      </c>
      <c r="G45" s="2" t="s">
        <v>203</v>
      </c>
      <c r="H45" s="2" t="s">
        <v>225</v>
      </c>
      <c r="I45" s="2" t="s">
        <v>102</v>
      </c>
      <c r="J45" s="2" t="s">
        <v>103</v>
      </c>
      <c r="K45" s="2" t="s">
        <v>190</v>
      </c>
      <c r="L45" s="2" t="s">
        <v>226</v>
      </c>
      <c r="M45" s="2" t="s">
        <v>227</v>
      </c>
      <c r="N45" s="2" t="s">
        <v>228</v>
      </c>
      <c r="O45" s="2" t="s">
        <v>227</v>
      </c>
      <c r="P45" s="2" t="s">
        <v>229</v>
      </c>
      <c r="Q45" s="2" t="s">
        <v>41</v>
      </c>
      <c r="R45" s="2" t="s">
        <v>32</v>
      </c>
      <c r="S45" s="2" t="s">
        <v>33</v>
      </c>
      <c r="T45" s="2" t="s">
        <v>230</v>
      </c>
      <c r="U45" s="2" t="s">
        <v>231</v>
      </c>
    </row>
    <row r="46" spans="1:112" ht="85" x14ac:dyDescent="0.2">
      <c r="A46" s="2" t="s">
        <v>232</v>
      </c>
      <c r="B46" s="2" t="s">
        <v>233</v>
      </c>
      <c r="C46" s="2" t="s">
        <v>233</v>
      </c>
      <c r="D46" s="1">
        <v>2190</v>
      </c>
      <c r="E46" s="2" t="s">
        <v>23</v>
      </c>
      <c r="G46" s="2" t="s">
        <v>203</v>
      </c>
      <c r="H46" s="2" t="s">
        <v>225</v>
      </c>
      <c r="I46" s="2" t="s">
        <v>102</v>
      </c>
      <c r="J46" s="2" t="s">
        <v>103</v>
      </c>
      <c r="K46" s="2" t="s">
        <v>190</v>
      </c>
      <c r="L46" s="2" t="s">
        <v>226</v>
      </c>
      <c r="M46" s="2" t="s">
        <v>227</v>
      </c>
      <c r="N46" s="2" t="s">
        <v>234</v>
      </c>
      <c r="O46" s="2" t="s">
        <v>227</v>
      </c>
      <c r="P46" s="2" t="s">
        <v>194</v>
      </c>
      <c r="Q46" s="2" t="s">
        <v>41</v>
      </c>
      <c r="R46" s="2" t="s">
        <v>32</v>
      </c>
      <c r="S46" s="2" t="s">
        <v>33</v>
      </c>
      <c r="T46" s="2" t="s">
        <v>230</v>
      </c>
      <c r="U46" s="2" t="s">
        <v>235</v>
      </c>
    </row>
    <row r="47" spans="1:112" ht="85" x14ac:dyDescent="0.2">
      <c r="A47" s="2" t="s">
        <v>236</v>
      </c>
      <c r="B47" s="2" t="s">
        <v>237</v>
      </c>
      <c r="C47" s="2" t="s">
        <v>238</v>
      </c>
      <c r="D47" s="1">
        <v>2190</v>
      </c>
      <c r="E47" s="2" t="s">
        <v>23</v>
      </c>
      <c r="G47" s="2" t="s">
        <v>203</v>
      </c>
      <c r="H47" s="2" t="s">
        <v>225</v>
      </c>
      <c r="I47" s="2" t="s">
        <v>102</v>
      </c>
      <c r="J47" s="2" t="s">
        <v>103</v>
      </c>
      <c r="K47" s="2" t="s">
        <v>190</v>
      </c>
      <c r="L47" s="2" t="s">
        <v>226</v>
      </c>
      <c r="M47" s="2" t="s">
        <v>227</v>
      </c>
      <c r="N47" s="2" t="s">
        <v>239</v>
      </c>
      <c r="O47" s="2" t="s">
        <v>227</v>
      </c>
      <c r="P47" s="2" t="s">
        <v>40</v>
      </c>
      <c r="Q47" s="2" t="s">
        <v>41</v>
      </c>
      <c r="R47" s="2" t="s">
        <v>32</v>
      </c>
      <c r="S47" s="2" t="s">
        <v>33</v>
      </c>
      <c r="T47" s="2" t="s">
        <v>240</v>
      </c>
      <c r="U47" s="2" t="s">
        <v>3697</v>
      </c>
      <c r="V47" s="2" t="s">
        <v>3698</v>
      </c>
    </row>
    <row r="48" spans="1:112" ht="85" x14ac:dyDescent="0.2">
      <c r="A48" s="2" t="s">
        <v>241</v>
      </c>
      <c r="B48" s="2" t="s">
        <v>242</v>
      </c>
      <c r="C48" s="2" t="s">
        <v>243</v>
      </c>
      <c r="D48" s="1">
        <v>2190</v>
      </c>
      <c r="E48" s="2" t="s">
        <v>23</v>
      </c>
      <c r="G48" s="2" t="s">
        <v>203</v>
      </c>
      <c r="H48" s="2" t="s">
        <v>225</v>
      </c>
      <c r="I48" s="2" t="s">
        <v>102</v>
      </c>
      <c r="J48" s="2" t="s">
        <v>103</v>
      </c>
      <c r="K48" s="2" t="s">
        <v>190</v>
      </c>
      <c r="L48" s="2" t="s">
        <v>226</v>
      </c>
      <c r="M48" s="2" t="s">
        <v>227</v>
      </c>
      <c r="N48" s="2" t="s">
        <v>239</v>
      </c>
      <c r="O48" s="2" t="s">
        <v>227</v>
      </c>
      <c r="P48" s="2" t="s">
        <v>40</v>
      </c>
      <c r="Q48" s="2" t="s">
        <v>199</v>
      </c>
      <c r="R48" s="2" t="s">
        <v>32</v>
      </c>
      <c r="S48" s="2" t="s">
        <v>33</v>
      </c>
      <c r="T48" s="2" t="s">
        <v>240</v>
      </c>
      <c r="U48" s="2" t="s">
        <v>3697</v>
      </c>
      <c r="V48" s="2" t="s">
        <v>3698</v>
      </c>
    </row>
    <row r="49" spans="1:112" ht="85" x14ac:dyDescent="0.2">
      <c r="A49" s="7" t="s">
        <v>5162</v>
      </c>
      <c r="B49" s="7" t="s">
        <v>5163</v>
      </c>
      <c r="C49" s="2" t="s">
        <v>5164</v>
      </c>
      <c r="D49" s="1">
        <v>2190</v>
      </c>
      <c r="E49" s="2" t="s">
        <v>23</v>
      </c>
      <c r="G49" s="2" t="s">
        <v>203</v>
      </c>
      <c r="H49" s="2" t="s">
        <v>225</v>
      </c>
      <c r="I49" s="2" t="s">
        <v>102</v>
      </c>
      <c r="J49" s="12" t="s">
        <v>103</v>
      </c>
      <c r="K49" s="12" t="s">
        <v>190</v>
      </c>
      <c r="L49" s="12" t="s">
        <v>226</v>
      </c>
      <c r="M49" s="12" t="s">
        <v>227</v>
      </c>
      <c r="N49" s="12" t="s">
        <v>5165</v>
      </c>
      <c r="O49" s="12" t="s">
        <v>227</v>
      </c>
      <c r="P49" s="12" t="s">
        <v>68</v>
      </c>
      <c r="Q49" s="12" t="s">
        <v>41</v>
      </c>
      <c r="R49" s="12" t="s">
        <v>32</v>
      </c>
      <c r="S49" s="12" t="s">
        <v>33</v>
      </c>
      <c r="T49" s="12" t="s">
        <v>240</v>
      </c>
      <c r="U49" s="12" t="s">
        <v>5166</v>
      </c>
      <c r="V49" s="12" t="s">
        <v>5166</v>
      </c>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row>
    <row r="50" spans="1:112" ht="85" x14ac:dyDescent="0.2">
      <c r="A50" s="7" t="s">
        <v>5170</v>
      </c>
      <c r="B50" s="7" t="s">
        <v>5171</v>
      </c>
      <c r="C50" s="2" t="s">
        <v>5171</v>
      </c>
      <c r="D50" s="1">
        <v>2190</v>
      </c>
      <c r="E50" s="2" t="s">
        <v>23</v>
      </c>
      <c r="G50" s="2" t="s">
        <v>203</v>
      </c>
      <c r="H50" s="2" t="s">
        <v>225</v>
      </c>
      <c r="I50" s="2" t="s">
        <v>102</v>
      </c>
      <c r="J50" s="12" t="s">
        <v>103</v>
      </c>
      <c r="K50" s="12" t="s">
        <v>190</v>
      </c>
      <c r="L50" s="12" t="s">
        <v>887</v>
      </c>
      <c r="M50" s="12" t="s">
        <v>888</v>
      </c>
      <c r="N50" s="12" t="s">
        <v>900</v>
      </c>
      <c r="O50" s="12" t="s">
        <v>564</v>
      </c>
      <c r="P50" s="12" t="s">
        <v>229</v>
      </c>
      <c r="Q50" s="12" t="s">
        <v>199</v>
      </c>
      <c r="R50" s="12" t="s">
        <v>32</v>
      </c>
      <c r="S50" s="12" t="s">
        <v>33</v>
      </c>
      <c r="T50" s="12" t="s">
        <v>890</v>
      </c>
      <c r="U50" s="12" t="s">
        <v>901</v>
      </c>
      <c r="V50" s="12" t="s">
        <v>901</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row>
    <row r="51" spans="1:112" ht="153" x14ac:dyDescent="0.2">
      <c r="A51" s="2" t="s">
        <v>253</v>
      </c>
      <c r="B51" s="2" t="s">
        <v>254</v>
      </c>
      <c r="C51" s="2" t="s">
        <v>254</v>
      </c>
      <c r="D51" s="1">
        <v>2190</v>
      </c>
      <c r="E51" s="2" t="s">
        <v>153</v>
      </c>
      <c r="F51" s="2" t="s">
        <v>246</v>
      </c>
      <c r="G51" s="2" t="s">
        <v>255</v>
      </c>
      <c r="H51" s="2" t="s">
        <v>25</v>
      </c>
      <c r="I51" s="2" t="s">
        <v>248</v>
      </c>
      <c r="J51" s="2" t="s">
        <v>27</v>
      </c>
      <c r="K51" s="2" t="s">
        <v>64</v>
      </c>
      <c r="L51" s="2" t="s">
        <v>90</v>
      </c>
      <c r="M51" s="2" t="s">
        <v>91</v>
      </c>
      <c r="N51" s="2" t="s">
        <v>256</v>
      </c>
      <c r="O51" s="2" t="s">
        <v>93</v>
      </c>
      <c r="P51" s="2" t="s">
        <v>257</v>
      </c>
      <c r="Q51" s="2" t="s">
        <v>41</v>
      </c>
      <c r="R51" s="2" t="s">
        <v>32</v>
      </c>
      <c r="S51" s="2" t="s">
        <v>33</v>
      </c>
      <c r="T51" s="2" t="s">
        <v>258</v>
      </c>
      <c r="U51" s="2" t="s">
        <v>3701</v>
      </c>
      <c r="V51" s="2" t="s">
        <v>3702</v>
      </c>
      <c r="W51" s="2" t="s">
        <v>3703</v>
      </c>
      <c r="X51" s="2" t="s">
        <v>3704</v>
      </c>
      <c r="Y51" s="2" t="s">
        <v>3705</v>
      </c>
    </row>
    <row r="52" spans="1:112" ht="153" x14ac:dyDescent="0.2">
      <c r="A52" s="2" t="s">
        <v>259</v>
      </c>
      <c r="B52" s="2" t="s">
        <v>260</v>
      </c>
      <c r="C52" s="2" t="s">
        <v>261</v>
      </c>
      <c r="D52" s="1">
        <v>2190</v>
      </c>
      <c r="E52" s="2" t="s">
        <v>153</v>
      </c>
      <c r="F52" s="2" t="s">
        <v>246</v>
      </c>
      <c r="G52" s="2" t="s">
        <v>255</v>
      </c>
      <c r="H52" s="2" t="s">
        <v>25</v>
      </c>
      <c r="I52" s="2" t="s">
        <v>248</v>
      </c>
      <c r="J52" s="2" t="s">
        <v>27</v>
      </c>
      <c r="K52" s="2" t="s">
        <v>64</v>
      </c>
      <c r="L52" s="2" t="s">
        <v>90</v>
      </c>
      <c r="M52" s="2" t="s">
        <v>91</v>
      </c>
      <c r="N52" s="2" t="s">
        <v>262</v>
      </c>
      <c r="O52" s="2" t="s">
        <v>93</v>
      </c>
      <c r="P52" s="2" t="s">
        <v>68</v>
      </c>
      <c r="Q52" s="2" t="s">
        <v>41</v>
      </c>
      <c r="R52" s="2" t="s">
        <v>32</v>
      </c>
      <c r="S52" s="2" t="s">
        <v>33</v>
      </c>
      <c r="T52" s="2" t="s">
        <v>263</v>
      </c>
      <c r="U52" s="2" t="s">
        <v>3706</v>
      </c>
      <c r="V52" s="2" t="s">
        <v>3707</v>
      </c>
    </row>
    <row r="53" spans="1:112" ht="153" x14ac:dyDescent="0.2">
      <c r="A53" s="2" t="s">
        <v>264</v>
      </c>
      <c r="B53" s="2" t="s">
        <v>265</v>
      </c>
      <c r="C53" s="2" t="s">
        <v>266</v>
      </c>
      <c r="D53" s="1">
        <v>2190</v>
      </c>
      <c r="E53" s="2" t="s">
        <v>153</v>
      </c>
      <c r="F53" s="2" t="s">
        <v>246</v>
      </c>
      <c r="G53" s="2" t="s">
        <v>255</v>
      </c>
      <c r="H53" s="2" t="s">
        <v>25</v>
      </c>
      <c r="I53" s="2" t="s">
        <v>248</v>
      </c>
      <c r="J53" s="2" t="s">
        <v>27</v>
      </c>
      <c r="K53" s="2" t="s">
        <v>64</v>
      </c>
      <c r="L53" s="2" t="s">
        <v>90</v>
      </c>
      <c r="M53" s="2" t="s">
        <v>91</v>
      </c>
      <c r="N53" s="2" t="s">
        <v>267</v>
      </c>
      <c r="O53" s="2" t="s">
        <v>93</v>
      </c>
      <c r="P53" s="2" t="s">
        <v>93</v>
      </c>
      <c r="Q53" s="2" t="s">
        <v>41</v>
      </c>
      <c r="R53" s="2" t="s">
        <v>32</v>
      </c>
      <c r="S53" s="2" t="s">
        <v>33</v>
      </c>
      <c r="T53" s="2" t="s">
        <v>268</v>
      </c>
      <c r="U53" s="2" t="s">
        <v>269</v>
      </c>
    </row>
    <row r="54" spans="1:112" ht="85" x14ac:dyDescent="0.2">
      <c r="A54" s="7" t="s">
        <v>6152</v>
      </c>
      <c r="B54" s="2" t="s">
        <v>6356</v>
      </c>
      <c r="C54" s="2" t="s">
        <v>6356</v>
      </c>
      <c r="D54" s="1">
        <v>2190</v>
      </c>
      <c r="E54" s="2" t="s">
        <v>23</v>
      </c>
      <c r="G54" s="2" t="s">
        <v>203</v>
      </c>
      <c r="H54" s="2" t="s">
        <v>225</v>
      </c>
      <c r="I54" s="2" t="s">
        <v>102</v>
      </c>
      <c r="N54" s="12" t="s">
        <v>234</v>
      </c>
    </row>
    <row r="55" spans="1:112" ht="85" x14ac:dyDescent="0.2">
      <c r="A55" s="2" t="s">
        <v>200</v>
      </c>
      <c r="B55" s="2" t="s">
        <v>201</v>
      </c>
      <c r="C55" s="2" t="s">
        <v>201</v>
      </c>
      <c r="D55" s="1">
        <f>6*365</f>
        <v>2190</v>
      </c>
      <c r="E55" s="2" t="s">
        <v>23</v>
      </c>
      <c r="G55" s="2" t="s">
        <v>203</v>
      </c>
      <c r="H55" s="2" t="s">
        <v>25</v>
      </c>
      <c r="I55" s="2" t="s">
        <v>6714</v>
      </c>
      <c r="J55" s="2" t="s">
        <v>144</v>
      </c>
      <c r="K55" s="2" t="s">
        <v>144</v>
      </c>
      <c r="L55" s="2" t="s">
        <v>205</v>
      </c>
      <c r="M55" s="2" t="s">
        <v>206</v>
      </c>
      <c r="N55" s="2" t="s">
        <v>207</v>
      </c>
      <c r="O55" s="2" t="s">
        <v>146</v>
      </c>
      <c r="P55" s="2" t="s">
        <v>208</v>
      </c>
      <c r="Q55" s="2" t="s">
        <v>41</v>
      </c>
      <c r="R55" s="2" t="s">
        <v>32</v>
      </c>
      <c r="S55" s="2" t="s">
        <v>33</v>
      </c>
      <c r="T55" s="2" t="s">
        <v>209</v>
      </c>
      <c r="U55" s="2" t="s">
        <v>210</v>
      </c>
    </row>
    <row r="56" spans="1:112" ht="153" x14ac:dyDescent="0.2">
      <c r="A56" s="2" t="s">
        <v>270</v>
      </c>
      <c r="B56" s="2" t="s">
        <v>271</v>
      </c>
      <c r="C56" s="2" t="s">
        <v>272</v>
      </c>
      <c r="D56" s="1">
        <v>1825</v>
      </c>
      <c r="E56" s="2" t="s">
        <v>153</v>
      </c>
      <c r="F56" s="2" t="s">
        <v>246</v>
      </c>
      <c r="G56" s="2" t="s">
        <v>1863</v>
      </c>
      <c r="H56" s="2" t="s">
        <v>25</v>
      </c>
      <c r="I56" s="2" t="s">
        <v>6776</v>
      </c>
      <c r="J56" s="2" t="s">
        <v>27</v>
      </c>
      <c r="K56" s="2" t="s">
        <v>64</v>
      </c>
      <c r="L56" s="2" t="s">
        <v>90</v>
      </c>
      <c r="M56" s="2" t="s">
        <v>91</v>
      </c>
      <c r="N56" s="2" t="s">
        <v>273</v>
      </c>
      <c r="O56" s="2" t="s">
        <v>93</v>
      </c>
      <c r="P56" s="2" t="s">
        <v>165</v>
      </c>
      <c r="Q56" s="2" t="s">
        <v>41</v>
      </c>
      <c r="R56" s="2" t="s">
        <v>32</v>
      </c>
      <c r="S56" s="2" t="s">
        <v>33</v>
      </c>
      <c r="T56" s="2" t="s">
        <v>274</v>
      </c>
      <c r="U56" s="2" t="s">
        <v>3708</v>
      </c>
      <c r="V56" s="2" t="s">
        <v>3709</v>
      </c>
      <c r="W56" s="2" t="s">
        <v>3710</v>
      </c>
      <c r="X56" s="2" t="s">
        <v>3711</v>
      </c>
      <c r="Y56" s="2" t="s">
        <v>3712</v>
      </c>
      <c r="Z56" s="2" t="s">
        <v>3713</v>
      </c>
      <c r="AA56" s="2" t="s">
        <v>3714</v>
      </c>
      <c r="AB56" s="2" t="s">
        <v>3715</v>
      </c>
      <c r="AC56" s="2" t="s">
        <v>3716</v>
      </c>
      <c r="AD56" s="2" t="s">
        <v>3717</v>
      </c>
      <c r="AE56" s="2" t="s">
        <v>3718</v>
      </c>
    </row>
    <row r="57" spans="1:112" ht="85" x14ac:dyDescent="0.2">
      <c r="A57" s="2" t="s">
        <v>140</v>
      </c>
      <c r="B57" s="2" t="s">
        <v>141</v>
      </c>
      <c r="C57" s="2" t="s">
        <v>141</v>
      </c>
      <c r="D57" s="1">
        <v>1825</v>
      </c>
      <c r="E57" s="2" t="s">
        <v>23</v>
      </c>
      <c r="G57" s="2" t="s">
        <v>517</v>
      </c>
      <c r="H57" s="2" t="s">
        <v>142</v>
      </c>
      <c r="I57" s="2" t="s">
        <v>6713</v>
      </c>
      <c r="J57" s="2" t="s">
        <v>144</v>
      </c>
      <c r="K57" s="2" t="s">
        <v>144</v>
      </c>
      <c r="L57" s="2" t="s">
        <v>145</v>
      </c>
      <c r="M57" s="2" t="s">
        <v>146</v>
      </c>
      <c r="N57" s="2" t="s">
        <v>147</v>
      </c>
      <c r="O57" s="2" t="s">
        <v>146</v>
      </c>
      <c r="P57" s="2" t="s">
        <v>146</v>
      </c>
      <c r="Q57" s="2" t="s">
        <v>41</v>
      </c>
      <c r="R57" s="2" t="s">
        <v>32</v>
      </c>
      <c r="S57" s="2" t="s">
        <v>33</v>
      </c>
      <c r="T57" s="2" t="s">
        <v>148</v>
      </c>
      <c r="U57" s="2" t="s">
        <v>149</v>
      </c>
    </row>
    <row r="58" spans="1:112" ht="65" customHeight="1" x14ac:dyDescent="0.2">
      <c r="A58" s="2" t="s">
        <v>211</v>
      </c>
      <c r="B58" s="2" t="s">
        <v>212</v>
      </c>
      <c r="C58" s="2" t="s">
        <v>212</v>
      </c>
      <c r="D58" s="1">
        <v>1825</v>
      </c>
      <c r="E58" s="2" t="s">
        <v>23</v>
      </c>
      <c r="G58" s="2">
        <v>5</v>
      </c>
      <c r="H58" s="2" t="s">
        <v>25</v>
      </c>
      <c r="I58" s="2" t="s">
        <v>6712</v>
      </c>
      <c r="J58" s="2" t="s">
        <v>144</v>
      </c>
      <c r="K58" s="2" t="s">
        <v>144</v>
      </c>
      <c r="L58" s="2" t="s">
        <v>205</v>
      </c>
      <c r="M58" s="2" t="s">
        <v>206</v>
      </c>
      <c r="N58" s="2" t="s">
        <v>213</v>
      </c>
      <c r="O58" s="2" t="s">
        <v>146</v>
      </c>
      <c r="P58" s="2" t="s">
        <v>214</v>
      </c>
      <c r="Q58" s="2" t="s">
        <v>41</v>
      </c>
      <c r="R58" s="2" t="s">
        <v>32</v>
      </c>
      <c r="S58" s="2" t="s">
        <v>33</v>
      </c>
      <c r="T58" s="2" t="s">
        <v>215</v>
      </c>
      <c r="U58" s="2" t="s">
        <v>216</v>
      </c>
    </row>
    <row r="59" spans="1:112" ht="85" x14ac:dyDescent="0.2">
      <c r="A59" s="2" t="s">
        <v>217</v>
      </c>
      <c r="B59" s="2" t="s">
        <v>218</v>
      </c>
      <c r="C59" s="2" t="s">
        <v>218</v>
      </c>
      <c r="D59" s="1">
        <v>1825</v>
      </c>
      <c r="E59" s="2" t="s">
        <v>23</v>
      </c>
      <c r="G59" s="2">
        <v>5</v>
      </c>
      <c r="H59" s="2" t="s">
        <v>25</v>
      </c>
      <c r="I59" s="2" t="s">
        <v>6712</v>
      </c>
      <c r="J59" s="2" t="s">
        <v>144</v>
      </c>
      <c r="K59" s="2" t="s">
        <v>144</v>
      </c>
      <c r="L59" s="2" t="s">
        <v>205</v>
      </c>
      <c r="M59" s="2" t="s">
        <v>206</v>
      </c>
      <c r="N59" s="2" t="s">
        <v>219</v>
      </c>
      <c r="O59" s="2" t="s">
        <v>146</v>
      </c>
      <c r="P59" s="2" t="s">
        <v>220</v>
      </c>
      <c r="Q59" s="2" t="s">
        <v>41</v>
      </c>
      <c r="R59" s="2" t="s">
        <v>32</v>
      </c>
      <c r="S59" s="2" t="s">
        <v>33</v>
      </c>
      <c r="T59" s="2" t="s">
        <v>221</v>
      </c>
      <c r="U59" s="2" t="s">
        <v>222</v>
      </c>
    </row>
    <row r="60" spans="1:112" ht="51" x14ac:dyDescent="0.2">
      <c r="A60" s="2" t="s">
        <v>275</v>
      </c>
      <c r="B60" s="2" t="s">
        <v>276</v>
      </c>
      <c r="C60" s="2" t="s">
        <v>277</v>
      </c>
      <c r="D60" s="1">
        <v>1825</v>
      </c>
      <c r="E60" s="2" t="s">
        <v>23</v>
      </c>
      <c r="G60" s="2" t="s">
        <v>278</v>
      </c>
      <c r="I60" s="2" t="s">
        <v>204</v>
      </c>
      <c r="J60" s="2" t="s">
        <v>144</v>
      </c>
      <c r="K60" s="2" t="s">
        <v>144</v>
      </c>
      <c r="L60" s="2" t="s">
        <v>279</v>
      </c>
      <c r="M60" s="2" t="s">
        <v>280</v>
      </c>
      <c r="N60" s="2" t="s">
        <v>281</v>
      </c>
      <c r="O60" s="2" t="s">
        <v>183</v>
      </c>
      <c r="P60" s="2" t="s">
        <v>137</v>
      </c>
      <c r="Q60" s="2" t="s">
        <v>41</v>
      </c>
      <c r="R60" s="2" t="s">
        <v>32</v>
      </c>
      <c r="S60" s="2" t="s">
        <v>33</v>
      </c>
      <c r="T60" s="2" t="s">
        <v>282</v>
      </c>
      <c r="U60" s="2" t="s">
        <v>3719</v>
      </c>
      <c r="V60" s="2" t="s">
        <v>3720</v>
      </c>
      <c r="W60" s="2" t="s">
        <v>3721</v>
      </c>
      <c r="X60" s="2" t="s">
        <v>3722</v>
      </c>
    </row>
    <row r="61" spans="1:112" ht="51" x14ac:dyDescent="0.2">
      <c r="A61" s="2" t="s">
        <v>283</v>
      </c>
      <c r="B61" s="2" t="s">
        <v>284</v>
      </c>
      <c r="C61" s="2" t="s">
        <v>285</v>
      </c>
      <c r="D61" s="1">
        <v>1825</v>
      </c>
      <c r="E61" s="2" t="s">
        <v>23</v>
      </c>
      <c r="G61" s="2" t="s">
        <v>278</v>
      </c>
      <c r="I61" s="2" t="s">
        <v>204</v>
      </c>
      <c r="J61" s="2" t="s">
        <v>144</v>
      </c>
      <c r="K61" s="2" t="s">
        <v>144</v>
      </c>
      <c r="L61" s="2" t="s">
        <v>279</v>
      </c>
      <c r="M61" s="2" t="s">
        <v>280</v>
      </c>
      <c r="N61" s="2" t="s">
        <v>286</v>
      </c>
      <c r="O61" s="2" t="s">
        <v>183</v>
      </c>
      <c r="P61" s="2" t="s">
        <v>109</v>
      </c>
      <c r="Q61" s="2" t="s">
        <v>41</v>
      </c>
      <c r="R61" s="2" t="s">
        <v>32</v>
      </c>
      <c r="S61" s="2" t="s">
        <v>33</v>
      </c>
      <c r="T61" s="2" t="s">
        <v>287</v>
      </c>
      <c r="U61" s="2" t="s">
        <v>3723</v>
      </c>
      <c r="V61" s="2" t="s">
        <v>3724</v>
      </c>
      <c r="W61" s="2" t="s">
        <v>3725</v>
      </c>
      <c r="X61" s="2" t="s">
        <v>3726</v>
      </c>
      <c r="Y61" s="2" t="s">
        <v>3727</v>
      </c>
      <c r="Z61" s="2" t="s">
        <v>3728</v>
      </c>
    </row>
    <row r="62" spans="1:112" ht="85" x14ac:dyDescent="0.2">
      <c r="A62" s="2" t="s">
        <v>341</v>
      </c>
      <c r="B62" s="2" t="s">
        <v>342</v>
      </c>
      <c r="C62" s="2" t="s">
        <v>343</v>
      </c>
      <c r="D62" s="1">
        <v>1825</v>
      </c>
      <c r="E62" s="2" t="s">
        <v>23</v>
      </c>
      <c r="F62" s="2" t="s">
        <v>6711</v>
      </c>
      <c r="G62" s="2">
        <v>5</v>
      </c>
      <c r="H62" s="2" t="s">
        <v>25</v>
      </c>
      <c r="I62" s="2" t="s">
        <v>6712</v>
      </c>
      <c r="J62" s="2" t="s">
        <v>144</v>
      </c>
      <c r="K62" s="2" t="s">
        <v>144</v>
      </c>
      <c r="L62" s="2" t="s">
        <v>205</v>
      </c>
      <c r="M62" s="2" t="s">
        <v>206</v>
      </c>
      <c r="N62" s="2" t="s">
        <v>344</v>
      </c>
      <c r="O62" s="2" t="s">
        <v>146</v>
      </c>
      <c r="P62" s="2" t="s">
        <v>123</v>
      </c>
      <c r="Q62" s="2" t="s">
        <v>41</v>
      </c>
      <c r="R62" s="2" t="s">
        <v>32</v>
      </c>
      <c r="S62" s="2" t="s">
        <v>33</v>
      </c>
      <c r="T62" s="2" t="s">
        <v>345</v>
      </c>
      <c r="U62" s="2" t="s">
        <v>3732</v>
      </c>
      <c r="V62" s="2" t="s">
        <v>3733</v>
      </c>
      <c r="W62" s="2" t="s">
        <v>3734</v>
      </c>
      <c r="X62" s="2" t="s">
        <v>3735</v>
      </c>
      <c r="Y62" s="2" t="s">
        <v>3736</v>
      </c>
      <c r="Z62" s="2" t="s">
        <v>3737</v>
      </c>
      <c r="AA62" s="2" t="s">
        <v>3738</v>
      </c>
      <c r="AB62" s="2" t="s">
        <v>3739</v>
      </c>
      <c r="AC62" s="2" t="s">
        <v>3740</v>
      </c>
      <c r="AD62" s="2" t="s">
        <v>3741</v>
      </c>
      <c r="AE62" s="2" t="s">
        <v>3742</v>
      </c>
      <c r="AF62" s="2" t="s">
        <v>3743</v>
      </c>
      <c r="AG62" s="2" t="s">
        <v>3744</v>
      </c>
      <c r="AH62" s="2" t="s">
        <v>3745</v>
      </c>
      <c r="AI62" s="2" t="s">
        <v>3746</v>
      </c>
      <c r="AJ62" s="2" t="s">
        <v>3747</v>
      </c>
      <c r="AK62" s="2" t="s">
        <v>3748</v>
      </c>
      <c r="AL62" s="2" t="s">
        <v>3749</v>
      </c>
      <c r="AM62" s="2" t="s">
        <v>3750</v>
      </c>
      <c r="AN62" s="2" t="s">
        <v>3751</v>
      </c>
      <c r="AO62" s="2" t="s">
        <v>3752</v>
      </c>
      <c r="AP62" s="2" t="s">
        <v>3753</v>
      </c>
      <c r="AQ62" s="2" t="s">
        <v>3754</v>
      </c>
      <c r="AR62" s="2" t="s">
        <v>3755</v>
      </c>
      <c r="AS62" s="2" t="s">
        <v>3756</v>
      </c>
      <c r="AT62" s="2" t="s">
        <v>3757</v>
      </c>
      <c r="AU62" s="2" t="s">
        <v>3758</v>
      </c>
      <c r="AV62" s="2" t="s">
        <v>3759</v>
      </c>
      <c r="AW62" s="2" t="s">
        <v>3760</v>
      </c>
      <c r="AX62" s="2" t="s">
        <v>3761</v>
      </c>
      <c r="AY62" s="2" t="s">
        <v>3762</v>
      </c>
      <c r="AZ62" s="2" t="s">
        <v>3763</v>
      </c>
      <c r="BA62" s="2" t="s">
        <v>3764</v>
      </c>
      <c r="BB62" s="2" t="s">
        <v>3765</v>
      </c>
      <c r="BC62" s="2" t="s">
        <v>293</v>
      </c>
      <c r="BD62" s="2" t="s">
        <v>294</v>
      </c>
      <c r="BE62" s="2" t="s">
        <v>295</v>
      </c>
      <c r="BF62" s="2" t="s">
        <v>296</v>
      </c>
      <c r="BG62" s="2" t="s">
        <v>297</v>
      </c>
      <c r="BH62" s="2" t="s">
        <v>298</v>
      </c>
      <c r="BI62" s="2" t="s">
        <v>299</v>
      </c>
      <c r="BJ62" s="2" t="s">
        <v>300</v>
      </c>
      <c r="BK62" s="2" t="s">
        <v>301</v>
      </c>
      <c r="BL62" s="2" t="s">
        <v>302</v>
      </c>
      <c r="BM62" s="2" t="s">
        <v>303</v>
      </c>
      <c r="BN62" s="2" t="s">
        <v>304</v>
      </c>
      <c r="BO62" s="2" t="s">
        <v>305</v>
      </c>
      <c r="BP62" s="2" t="s">
        <v>306</v>
      </c>
      <c r="BQ62" s="2" t="s">
        <v>307</v>
      </c>
      <c r="BR62" s="2" t="s">
        <v>308</v>
      </c>
      <c r="BS62" s="2" t="s">
        <v>309</v>
      </c>
      <c r="BT62" s="2" t="s">
        <v>310</v>
      </c>
      <c r="BU62" s="2" t="s">
        <v>311</v>
      </c>
      <c r="BV62" s="2" t="s">
        <v>312</v>
      </c>
      <c r="BW62" s="2" t="s">
        <v>313</v>
      </c>
      <c r="BX62" s="2" t="s">
        <v>314</v>
      </c>
      <c r="BY62" s="2" t="s">
        <v>315</v>
      </c>
      <c r="BZ62" s="2" t="s">
        <v>316</v>
      </c>
      <c r="CA62" s="2" t="s">
        <v>317</v>
      </c>
      <c r="CB62" s="2" t="s">
        <v>318</v>
      </c>
      <c r="CC62" s="2" t="s">
        <v>319</v>
      </c>
      <c r="CD62" s="2" t="s">
        <v>320</v>
      </c>
      <c r="CE62" s="2" t="s">
        <v>321</v>
      </c>
      <c r="CF62" s="2" t="s">
        <v>322</v>
      </c>
      <c r="CG62" s="2" t="s">
        <v>323</v>
      </c>
      <c r="CH62" s="2" t="s">
        <v>324</v>
      </c>
      <c r="CI62" s="2" t="s">
        <v>325</v>
      </c>
      <c r="CJ62" s="2" t="s">
        <v>326</v>
      </c>
      <c r="CK62" s="2" t="s">
        <v>327</v>
      </c>
      <c r="CL62" s="2" t="s">
        <v>328</v>
      </c>
      <c r="CM62" s="2" t="s">
        <v>329</v>
      </c>
    </row>
    <row r="63" spans="1:112" ht="13" customHeight="1" x14ac:dyDescent="0.2">
      <c r="A63" s="2" t="s">
        <v>346</v>
      </c>
      <c r="B63" s="2" t="s">
        <v>347</v>
      </c>
      <c r="C63" s="2" t="s">
        <v>348</v>
      </c>
      <c r="D63" s="1">
        <v>1825</v>
      </c>
      <c r="E63" s="2" t="s">
        <v>23</v>
      </c>
      <c r="G63" s="2" t="s">
        <v>349</v>
      </c>
      <c r="H63" s="2" t="s">
        <v>101</v>
      </c>
      <c r="I63" s="2" t="s">
        <v>102</v>
      </c>
      <c r="J63" s="2" t="s">
        <v>103</v>
      </c>
      <c r="K63" s="2" t="s">
        <v>104</v>
      </c>
      <c r="L63" s="2" t="s">
        <v>350</v>
      </c>
      <c r="M63" s="2" t="s">
        <v>351</v>
      </c>
      <c r="N63" s="2" t="s">
        <v>352</v>
      </c>
      <c r="O63" s="2" t="s">
        <v>108</v>
      </c>
      <c r="P63" s="2" t="s">
        <v>353</v>
      </c>
      <c r="Q63" s="2" t="s">
        <v>41</v>
      </c>
      <c r="R63" s="2" t="s">
        <v>32</v>
      </c>
      <c r="S63" s="2" t="s">
        <v>33</v>
      </c>
      <c r="T63" s="2" t="s">
        <v>160</v>
      </c>
      <c r="U63" s="2" t="s">
        <v>3766</v>
      </c>
      <c r="V63" s="2" t="s">
        <v>3767</v>
      </c>
    </row>
    <row r="64" spans="1:112" ht="69" customHeight="1" x14ac:dyDescent="0.2">
      <c r="A64" s="2" t="s">
        <v>354</v>
      </c>
      <c r="B64" s="2" t="s">
        <v>355</v>
      </c>
      <c r="C64" s="2" t="s">
        <v>356</v>
      </c>
      <c r="D64" s="1">
        <v>1825</v>
      </c>
      <c r="E64" s="2" t="s">
        <v>23</v>
      </c>
      <c r="G64" s="2" t="s">
        <v>349</v>
      </c>
      <c r="H64" s="2" t="s">
        <v>101</v>
      </c>
      <c r="I64" s="2" t="s">
        <v>102</v>
      </c>
      <c r="J64" s="2" t="s">
        <v>103</v>
      </c>
      <c r="K64" s="2" t="s">
        <v>104</v>
      </c>
      <c r="L64" s="2" t="s">
        <v>350</v>
      </c>
      <c r="M64" s="2" t="s">
        <v>351</v>
      </c>
      <c r="N64" s="2" t="s">
        <v>182</v>
      </c>
      <c r="O64" s="2" t="s">
        <v>108</v>
      </c>
      <c r="P64" s="2" t="s">
        <v>183</v>
      </c>
      <c r="Q64" s="2" t="s">
        <v>41</v>
      </c>
      <c r="R64" s="2" t="s">
        <v>32</v>
      </c>
      <c r="S64" s="2" t="s">
        <v>33</v>
      </c>
      <c r="T64" s="2" t="s">
        <v>160</v>
      </c>
      <c r="U64" s="2" t="s">
        <v>3692</v>
      </c>
      <c r="V64" s="2" t="s">
        <v>3693</v>
      </c>
      <c r="W64" s="2" t="s">
        <v>3694</v>
      </c>
    </row>
    <row r="65" spans="1:112" ht="69" customHeight="1" x14ac:dyDescent="0.2">
      <c r="A65" s="2" t="s">
        <v>357</v>
      </c>
      <c r="B65" s="2" t="s">
        <v>358</v>
      </c>
      <c r="C65" s="2" t="s">
        <v>359</v>
      </c>
      <c r="D65" s="1">
        <v>1825</v>
      </c>
      <c r="E65" s="2" t="s">
        <v>23</v>
      </c>
      <c r="G65" s="2" t="s">
        <v>349</v>
      </c>
      <c r="H65" s="2" t="s">
        <v>101</v>
      </c>
      <c r="I65" s="2" t="s">
        <v>102</v>
      </c>
      <c r="J65" s="2" t="s">
        <v>103</v>
      </c>
      <c r="K65" s="2" t="s">
        <v>104</v>
      </c>
      <c r="L65" s="2" t="s">
        <v>360</v>
      </c>
      <c r="M65" s="2" t="s">
        <v>361</v>
      </c>
      <c r="N65" s="2" t="s">
        <v>362</v>
      </c>
      <c r="O65" s="2" t="s">
        <v>108</v>
      </c>
      <c r="P65" s="2" t="s">
        <v>94</v>
      </c>
      <c r="Q65" s="2" t="s">
        <v>41</v>
      </c>
      <c r="R65" s="2" t="s">
        <v>32</v>
      </c>
      <c r="S65" s="2" t="s">
        <v>33</v>
      </c>
      <c r="T65" s="2" t="s">
        <v>172</v>
      </c>
      <c r="U65" s="2" t="s">
        <v>3768</v>
      </c>
      <c r="V65" s="2" t="s">
        <v>3769</v>
      </c>
    </row>
    <row r="66" spans="1:112" ht="85" x14ac:dyDescent="0.2">
      <c r="A66" s="2" t="s">
        <v>363</v>
      </c>
      <c r="B66" s="2" t="s">
        <v>364</v>
      </c>
      <c r="C66" s="2" t="s">
        <v>365</v>
      </c>
      <c r="D66" s="1">
        <v>1825</v>
      </c>
      <c r="E66" s="2" t="s">
        <v>23</v>
      </c>
      <c r="G66" s="2" t="s">
        <v>349</v>
      </c>
      <c r="H66" s="2" t="s">
        <v>101</v>
      </c>
      <c r="I66" s="2" t="s">
        <v>102</v>
      </c>
      <c r="J66" s="2" t="s">
        <v>103</v>
      </c>
      <c r="K66" s="2" t="s">
        <v>104</v>
      </c>
      <c r="L66" s="2" t="s">
        <v>360</v>
      </c>
      <c r="M66" s="2" t="s">
        <v>361</v>
      </c>
      <c r="N66" s="2" t="s">
        <v>366</v>
      </c>
      <c r="O66" s="2" t="s">
        <v>108</v>
      </c>
      <c r="P66" s="2" t="s">
        <v>229</v>
      </c>
      <c r="Q66" s="2" t="s">
        <v>41</v>
      </c>
      <c r="R66" s="2" t="s">
        <v>32</v>
      </c>
      <c r="S66" s="2" t="s">
        <v>33</v>
      </c>
      <c r="T66" s="2" t="s">
        <v>172</v>
      </c>
      <c r="U66" s="2" t="s">
        <v>3770</v>
      </c>
      <c r="V66" s="2" t="s">
        <v>3771</v>
      </c>
    </row>
    <row r="67" spans="1:112" ht="85" x14ac:dyDescent="0.2">
      <c r="A67" s="2" t="s">
        <v>367</v>
      </c>
      <c r="B67" s="2" t="s">
        <v>368</v>
      </c>
      <c r="C67" s="2" t="s">
        <v>368</v>
      </c>
      <c r="D67" s="1">
        <v>730</v>
      </c>
      <c r="E67" s="2" t="s">
        <v>23</v>
      </c>
      <c r="G67" s="2" t="s">
        <v>680</v>
      </c>
      <c r="H67" s="2" t="s">
        <v>370</v>
      </c>
      <c r="I67" s="2" t="s">
        <v>6894</v>
      </c>
      <c r="J67" s="2" t="s">
        <v>27</v>
      </c>
      <c r="K67" s="2" t="s">
        <v>64</v>
      </c>
      <c r="L67" s="2" t="s">
        <v>372</v>
      </c>
      <c r="M67" s="2" t="s">
        <v>373</v>
      </c>
      <c r="N67" s="2" t="s">
        <v>374</v>
      </c>
      <c r="O67" s="2" t="s">
        <v>375</v>
      </c>
      <c r="P67" s="2" t="s">
        <v>30</v>
      </c>
      <c r="Q67" s="2" t="s">
        <v>41</v>
      </c>
      <c r="R67" s="2" t="s">
        <v>32</v>
      </c>
      <c r="S67" s="2" t="s">
        <v>33</v>
      </c>
      <c r="T67" s="2" t="s">
        <v>376</v>
      </c>
      <c r="U67" s="2" t="s">
        <v>3772</v>
      </c>
      <c r="V67" s="2" t="s">
        <v>3773</v>
      </c>
      <c r="W67" s="2" t="s">
        <v>3774</v>
      </c>
      <c r="X67" s="2" t="s">
        <v>3775</v>
      </c>
      <c r="Y67" s="2" t="s">
        <v>3776</v>
      </c>
      <c r="Z67" s="2" t="s">
        <v>3777</v>
      </c>
    </row>
    <row r="68" spans="1:112" ht="136" x14ac:dyDescent="0.2">
      <c r="A68" s="2" t="s">
        <v>377</v>
      </c>
      <c r="B68" s="2" t="s">
        <v>378</v>
      </c>
      <c r="C68" s="2" t="s">
        <v>379</v>
      </c>
      <c r="D68" s="1">
        <v>1825</v>
      </c>
      <c r="E68" s="2" t="s">
        <v>380</v>
      </c>
      <c r="F68" s="2" t="s">
        <v>202</v>
      </c>
      <c r="G68" s="2" t="s">
        <v>369</v>
      </c>
      <c r="H68" s="2" t="s">
        <v>25</v>
      </c>
      <c r="I68" s="2" t="s">
        <v>381</v>
      </c>
      <c r="J68" s="2" t="s">
        <v>27</v>
      </c>
      <c r="K68" s="2" t="s">
        <v>64</v>
      </c>
      <c r="L68" s="2" t="s">
        <v>90</v>
      </c>
      <c r="M68" s="2" t="s">
        <v>91</v>
      </c>
      <c r="N68" s="2" t="s">
        <v>382</v>
      </c>
      <c r="O68" s="2" t="s">
        <v>93</v>
      </c>
      <c r="P68" s="2" t="s">
        <v>229</v>
      </c>
      <c r="Q68" s="2" t="s">
        <v>41</v>
      </c>
      <c r="R68" s="2" t="s">
        <v>32</v>
      </c>
      <c r="S68" s="2" t="s">
        <v>33</v>
      </c>
      <c r="T68" s="2" t="s">
        <v>383</v>
      </c>
      <c r="U68" s="2" t="s">
        <v>3778</v>
      </c>
      <c r="V68" s="2" t="s">
        <v>3779</v>
      </c>
      <c r="W68" s="2" t="s">
        <v>3780</v>
      </c>
    </row>
    <row r="69" spans="1:112" ht="102" x14ac:dyDescent="0.2">
      <c r="A69" s="7" t="s">
        <v>5302</v>
      </c>
      <c r="B69" s="7" t="s">
        <v>5303</v>
      </c>
      <c r="C69" s="2" t="s">
        <v>5304</v>
      </c>
      <c r="D69" s="1">
        <v>1825</v>
      </c>
      <c r="E69" s="2" t="s">
        <v>23</v>
      </c>
      <c r="H69" s="2" t="s">
        <v>6707</v>
      </c>
      <c r="I69" s="2" t="s">
        <v>6706</v>
      </c>
      <c r="J69" s="12" t="s">
        <v>27</v>
      </c>
      <c r="K69" s="12" t="s">
        <v>64</v>
      </c>
      <c r="L69" s="12" t="s">
        <v>90</v>
      </c>
      <c r="M69" s="12" t="s">
        <v>91</v>
      </c>
      <c r="N69" s="12" t="s">
        <v>5305</v>
      </c>
      <c r="O69" s="12" t="s">
        <v>93</v>
      </c>
      <c r="P69" s="12" t="s">
        <v>109</v>
      </c>
      <c r="Q69" s="12" t="s">
        <v>41</v>
      </c>
      <c r="R69" s="12" t="s">
        <v>32</v>
      </c>
      <c r="S69" s="12" t="s">
        <v>33</v>
      </c>
      <c r="T69" s="12" t="s">
        <v>383</v>
      </c>
      <c r="U69" s="12" t="s">
        <v>5306</v>
      </c>
      <c r="V69" s="12" t="s">
        <v>5306</v>
      </c>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row>
    <row r="70" spans="1:112" ht="69" customHeight="1" x14ac:dyDescent="0.2">
      <c r="A70" s="2" t="s">
        <v>397</v>
      </c>
      <c r="B70" s="2" t="s">
        <v>398</v>
      </c>
      <c r="C70" s="2" t="s">
        <v>399</v>
      </c>
      <c r="D70" s="1">
        <v>1825</v>
      </c>
      <c r="E70" s="2" t="s">
        <v>23</v>
      </c>
      <c r="F70" s="2" t="s">
        <v>387</v>
      </c>
      <c r="G70" s="2" t="s">
        <v>369</v>
      </c>
      <c r="H70" s="2" t="s">
        <v>388</v>
      </c>
      <c r="I70" s="2" t="s">
        <v>248</v>
      </c>
      <c r="J70" s="2" t="s">
        <v>27</v>
      </c>
      <c r="K70" s="2" t="s">
        <v>64</v>
      </c>
      <c r="L70" s="2" t="s">
        <v>389</v>
      </c>
      <c r="M70" s="2" t="s">
        <v>390</v>
      </c>
      <c r="N70" s="2" t="s">
        <v>391</v>
      </c>
      <c r="O70" s="2" t="s">
        <v>93</v>
      </c>
      <c r="P70" s="2" t="s">
        <v>30</v>
      </c>
      <c r="Q70" s="2" t="s">
        <v>30</v>
      </c>
      <c r="R70" s="2" t="s">
        <v>32</v>
      </c>
      <c r="S70" s="2" t="s">
        <v>392</v>
      </c>
      <c r="T70" s="2" t="s">
        <v>393</v>
      </c>
      <c r="U70" s="2" t="s">
        <v>3781</v>
      </c>
      <c r="V70" s="2" t="s">
        <v>3782</v>
      </c>
      <c r="W70" s="2" t="s">
        <v>3783</v>
      </c>
      <c r="X70" s="2" t="s">
        <v>3784</v>
      </c>
      <c r="Y70" s="2" t="s">
        <v>3785</v>
      </c>
      <c r="Z70" s="2" t="s">
        <v>3786</v>
      </c>
      <c r="AA70" s="2" t="s">
        <v>3787</v>
      </c>
    </row>
    <row r="71" spans="1:112" ht="153" x14ac:dyDescent="0.2">
      <c r="A71" s="2" t="s">
        <v>400</v>
      </c>
      <c r="B71" s="2" t="s">
        <v>401</v>
      </c>
      <c r="C71" s="2" t="s">
        <v>402</v>
      </c>
      <c r="D71" s="1">
        <v>1825</v>
      </c>
      <c r="E71" s="2" t="s">
        <v>23</v>
      </c>
      <c r="F71" s="2" t="s">
        <v>387</v>
      </c>
      <c r="G71" s="2" t="s">
        <v>369</v>
      </c>
      <c r="H71" s="2" t="s">
        <v>388</v>
      </c>
      <c r="I71" s="2" t="s">
        <v>248</v>
      </c>
      <c r="J71" s="2" t="s">
        <v>27</v>
      </c>
      <c r="K71" s="2" t="s">
        <v>64</v>
      </c>
      <c r="L71" s="2" t="s">
        <v>389</v>
      </c>
      <c r="M71" s="2" t="s">
        <v>390</v>
      </c>
      <c r="N71" s="2" t="s">
        <v>391</v>
      </c>
      <c r="O71" s="2" t="s">
        <v>93</v>
      </c>
      <c r="P71" s="2" t="s">
        <v>30</v>
      </c>
      <c r="Q71" s="2" t="s">
        <v>403</v>
      </c>
      <c r="R71" s="2" t="s">
        <v>32</v>
      </c>
      <c r="S71" s="2" t="s">
        <v>392</v>
      </c>
      <c r="T71" s="2" t="s">
        <v>393</v>
      </c>
      <c r="U71" s="2" t="s">
        <v>3781</v>
      </c>
      <c r="V71" s="2" t="s">
        <v>3782</v>
      </c>
      <c r="W71" s="2" t="s">
        <v>3783</v>
      </c>
      <c r="X71" s="2" t="s">
        <v>3784</v>
      </c>
      <c r="Y71" s="2" t="s">
        <v>3785</v>
      </c>
      <c r="Z71" s="2" t="s">
        <v>3786</v>
      </c>
      <c r="AA71" s="2" t="s">
        <v>3787</v>
      </c>
    </row>
    <row r="72" spans="1:112" ht="153" x14ac:dyDescent="0.2">
      <c r="A72" s="2" t="s">
        <v>404</v>
      </c>
      <c r="B72" s="2" t="s">
        <v>405</v>
      </c>
      <c r="C72" s="2" t="s">
        <v>406</v>
      </c>
      <c r="D72" s="1">
        <v>1825</v>
      </c>
      <c r="E72" s="2" t="s">
        <v>23</v>
      </c>
      <c r="F72" s="2" t="s">
        <v>387</v>
      </c>
      <c r="G72" s="2" t="s">
        <v>369</v>
      </c>
      <c r="H72" s="2" t="s">
        <v>388</v>
      </c>
      <c r="I72" s="2" t="s">
        <v>248</v>
      </c>
      <c r="J72" s="2" t="s">
        <v>27</v>
      </c>
      <c r="K72" s="2" t="s">
        <v>64</v>
      </c>
      <c r="L72" s="2" t="s">
        <v>389</v>
      </c>
      <c r="M72" s="2" t="s">
        <v>390</v>
      </c>
      <c r="N72" s="2" t="s">
        <v>391</v>
      </c>
      <c r="O72" s="2" t="s">
        <v>93</v>
      </c>
      <c r="P72" s="2" t="s">
        <v>30</v>
      </c>
      <c r="Q72" s="2" t="s">
        <v>40</v>
      </c>
      <c r="R72" s="2" t="s">
        <v>32</v>
      </c>
      <c r="S72" s="2" t="s">
        <v>392</v>
      </c>
      <c r="T72" s="2" t="s">
        <v>393</v>
      </c>
      <c r="U72" s="2" t="s">
        <v>3781</v>
      </c>
      <c r="V72" s="2" t="s">
        <v>3782</v>
      </c>
      <c r="W72" s="2" t="s">
        <v>3783</v>
      </c>
      <c r="X72" s="2" t="s">
        <v>3784</v>
      </c>
      <c r="Y72" s="2" t="s">
        <v>3785</v>
      </c>
      <c r="Z72" s="2" t="s">
        <v>3786</v>
      </c>
      <c r="AA72" s="2" t="s">
        <v>3787</v>
      </c>
    </row>
    <row r="73" spans="1:112" ht="153" x14ac:dyDescent="0.2">
      <c r="A73" s="7" t="s">
        <v>5513</v>
      </c>
      <c r="B73" s="7" t="s">
        <v>5514</v>
      </c>
      <c r="C73" s="2" t="s">
        <v>5515</v>
      </c>
      <c r="D73" s="1">
        <v>1825</v>
      </c>
      <c r="E73" s="2" t="s">
        <v>23</v>
      </c>
      <c r="F73" s="2" t="s">
        <v>387</v>
      </c>
      <c r="G73" s="2" t="s">
        <v>369</v>
      </c>
      <c r="H73" s="2" t="s">
        <v>388</v>
      </c>
      <c r="I73" s="2" t="s">
        <v>248</v>
      </c>
      <c r="J73" s="12" t="s">
        <v>27</v>
      </c>
      <c r="K73" s="12" t="s">
        <v>64</v>
      </c>
      <c r="L73" s="12" t="s">
        <v>389</v>
      </c>
      <c r="M73" s="12" t="s">
        <v>390</v>
      </c>
      <c r="N73" s="12" t="s">
        <v>391</v>
      </c>
      <c r="O73" s="12" t="s">
        <v>93</v>
      </c>
      <c r="P73" s="12" t="s">
        <v>30</v>
      </c>
      <c r="Q73" s="12" t="s">
        <v>997</v>
      </c>
      <c r="R73" s="12" t="s">
        <v>32</v>
      </c>
      <c r="S73" s="12" t="s">
        <v>392</v>
      </c>
      <c r="T73" s="12" t="s">
        <v>393</v>
      </c>
      <c r="U73" s="12" t="s">
        <v>5516</v>
      </c>
      <c r="V73" s="12" t="s">
        <v>5516</v>
      </c>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row>
    <row r="74" spans="1:112" ht="153" x14ac:dyDescent="0.2">
      <c r="A74" s="7" t="s">
        <v>5521</v>
      </c>
      <c r="B74" s="7" t="s">
        <v>5522</v>
      </c>
      <c r="C74" s="2" t="s">
        <v>5522</v>
      </c>
      <c r="D74" s="1">
        <v>1825</v>
      </c>
      <c r="E74" s="2" t="s">
        <v>23</v>
      </c>
      <c r="F74" s="2" t="s">
        <v>387</v>
      </c>
      <c r="G74" s="2" t="s">
        <v>369</v>
      </c>
      <c r="H74" s="2" t="s">
        <v>388</v>
      </c>
      <c r="I74" s="2" t="s">
        <v>248</v>
      </c>
      <c r="J74" s="12" t="s">
        <v>27</v>
      </c>
      <c r="K74" s="12" t="s">
        <v>64</v>
      </c>
      <c r="L74" s="12" t="s">
        <v>5519</v>
      </c>
      <c r="M74" s="12" t="s">
        <v>5520</v>
      </c>
      <c r="N74" s="12" t="s">
        <v>391</v>
      </c>
      <c r="O74" s="12" t="s">
        <v>93</v>
      </c>
      <c r="P74" s="12" t="s">
        <v>30</v>
      </c>
      <c r="Q74" s="12" t="s">
        <v>30</v>
      </c>
      <c r="R74" s="12" t="s">
        <v>32</v>
      </c>
      <c r="S74" s="12" t="s">
        <v>392</v>
      </c>
      <c r="T74" s="12" t="s">
        <v>393</v>
      </c>
      <c r="U74" s="12" t="s">
        <v>5516</v>
      </c>
      <c r="V74" s="12" t="s">
        <v>5516</v>
      </c>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row>
    <row r="75" spans="1:112" ht="85" x14ac:dyDescent="0.2">
      <c r="A75" s="7" t="s">
        <v>6139</v>
      </c>
      <c r="B75" s="2" t="s">
        <v>6343</v>
      </c>
      <c r="C75" s="2" t="s">
        <v>6343</v>
      </c>
      <c r="D75" s="1">
        <v>1825</v>
      </c>
      <c r="E75" s="2" t="s">
        <v>23</v>
      </c>
      <c r="G75" s="2">
        <v>5</v>
      </c>
      <c r="H75" s="2" t="s">
        <v>25</v>
      </c>
      <c r="I75" s="2" t="s">
        <v>6712</v>
      </c>
      <c r="N75" s="12" t="s">
        <v>344</v>
      </c>
    </row>
    <row r="76" spans="1:112" ht="85" x14ac:dyDescent="0.2">
      <c r="A76" s="7" t="s">
        <v>6142</v>
      </c>
      <c r="B76" s="2" t="s">
        <v>6346</v>
      </c>
      <c r="C76" s="2" t="s">
        <v>6346</v>
      </c>
      <c r="D76" s="1">
        <v>1825</v>
      </c>
      <c r="E76" s="2" t="s">
        <v>23</v>
      </c>
      <c r="G76" s="2">
        <v>5</v>
      </c>
      <c r="H76" s="2" t="s">
        <v>25</v>
      </c>
      <c r="I76" s="2" t="s">
        <v>6712</v>
      </c>
      <c r="N76" s="12" t="s">
        <v>6547</v>
      </c>
    </row>
    <row r="77" spans="1:112" ht="85" x14ac:dyDescent="0.2">
      <c r="A77" s="2" t="s">
        <v>244</v>
      </c>
      <c r="B77" s="2" t="s">
        <v>245</v>
      </c>
      <c r="C77" s="2" t="s">
        <v>245</v>
      </c>
      <c r="D77" s="1">
        <v>1825</v>
      </c>
      <c r="E77" s="2" t="s">
        <v>23</v>
      </c>
      <c r="F77" s="2" t="s">
        <v>6731</v>
      </c>
      <c r="G77" s="2" t="s">
        <v>1418</v>
      </c>
      <c r="H77" s="2" t="s">
        <v>247</v>
      </c>
      <c r="I77" s="2" t="s">
        <v>6732</v>
      </c>
      <c r="J77" s="2" t="s">
        <v>27</v>
      </c>
      <c r="K77" s="2" t="s">
        <v>48</v>
      </c>
      <c r="L77" s="2" t="s">
        <v>249</v>
      </c>
      <c r="M77" s="2" t="s">
        <v>250</v>
      </c>
      <c r="N77" s="2" t="s">
        <v>251</v>
      </c>
      <c r="O77" s="2" t="s">
        <v>250</v>
      </c>
      <c r="P77" s="2" t="s">
        <v>93</v>
      </c>
      <c r="Q77" s="2" t="s">
        <v>41</v>
      </c>
      <c r="R77" s="2" t="s">
        <v>32</v>
      </c>
      <c r="S77" s="2" t="s">
        <v>33</v>
      </c>
      <c r="T77" s="2" t="s">
        <v>252</v>
      </c>
      <c r="U77" s="2" t="s">
        <v>3699</v>
      </c>
      <c r="V77" s="2" t="s">
        <v>3700</v>
      </c>
    </row>
    <row r="78" spans="1:112" ht="34" x14ac:dyDescent="0.2">
      <c r="A78" s="7" t="s">
        <v>6210</v>
      </c>
      <c r="B78" s="2" t="s">
        <v>6415</v>
      </c>
      <c r="C78" s="2" t="s">
        <v>6415</v>
      </c>
      <c r="D78" s="1">
        <v>1825</v>
      </c>
      <c r="E78" s="2" t="s">
        <v>61</v>
      </c>
      <c r="F78" s="2" t="s">
        <v>6758</v>
      </c>
      <c r="N78" s="12" t="s">
        <v>6582</v>
      </c>
    </row>
    <row r="79" spans="1:112" ht="102" x14ac:dyDescent="0.2">
      <c r="A79" s="7" t="s">
        <v>6883</v>
      </c>
      <c r="B79" s="7" t="s">
        <v>6884</v>
      </c>
      <c r="C79" s="7" t="s">
        <v>6884</v>
      </c>
      <c r="D79" s="1">
        <v>1825</v>
      </c>
      <c r="E79" s="2" t="s">
        <v>23</v>
      </c>
      <c r="G79" s="2" t="s">
        <v>369</v>
      </c>
      <c r="H79" s="2" t="s">
        <v>25</v>
      </c>
      <c r="I79" s="2" t="s">
        <v>6706</v>
      </c>
    </row>
    <row r="80" spans="1:112" ht="153" x14ac:dyDescent="0.2">
      <c r="A80" s="2" t="s">
        <v>384</v>
      </c>
      <c r="B80" s="2" t="s">
        <v>385</v>
      </c>
      <c r="C80" s="2" t="s">
        <v>386</v>
      </c>
      <c r="D80" s="1">
        <f>4*365</f>
        <v>1460</v>
      </c>
      <c r="E80" s="2" t="s">
        <v>23</v>
      </c>
      <c r="F80" s="2" t="s">
        <v>387</v>
      </c>
      <c r="G80" s="2" t="s">
        <v>369</v>
      </c>
      <c r="H80" s="2" t="s">
        <v>388</v>
      </c>
      <c r="I80" s="2" t="s">
        <v>6776</v>
      </c>
      <c r="J80" s="2" t="s">
        <v>27</v>
      </c>
      <c r="K80" s="2" t="s">
        <v>64</v>
      </c>
      <c r="L80" s="2" t="s">
        <v>389</v>
      </c>
      <c r="M80" s="2" t="s">
        <v>390</v>
      </c>
      <c r="N80" s="2" t="s">
        <v>391</v>
      </c>
      <c r="O80" s="2" t="s">
        <v>93</v>
      </c>
      <c r="P80" s="2" t="s">
        <v>30</v>
      </c>
      <c r="Q80" s="2" t="s">
        <v>41</v>
      </c>
      <c r="R80" s="2" t="s">
        <v>32</v>
      </c>
      <c r="S80" s="2" t="s">
        <v>392</v>
      </c>
      <c r="T80" s="2" t="s">
        <v>393</v>
      </c>
      <c r="U80" s="2" t="s">
        <v>3781</v>
      </c>
      <c r="V80" s="2" t="s">
        <v>3782</v>
      </c>
      <c r="W80" s="2" t="s">
        <v>3783</v>
      </c>
      <c r="X80" s="2" t="s">
        <v>3784</v>
      </c>
      <c r="Y80" s="2" t="s">
        <v>3785</v>
      </c>
      <c r="Z80" s="2" t="s">
        <v>3786</v>
      </c>
      <c r="AA80" s="2" t="s">
        <v>3787</v>
      </c>
    </row>
    <row r="81" spans="1:112" ht="153" x14ac:dyDescent="0.2">
      <c r="A81" s="2" t="s">
        <v>394</v>
      </c>
      <c r="B81" s="2" t="s">
        <v>395</v>
      </c>
      <c r="C81" s="2" t="s">
        <v>396</v>
      </c>
      <c r="D81" s="1">
        <f>4*365</f>
        <v>1460</v>
      </c>
      <c r="E81" s="2" t="s">
        <v>23</v>
      </c>
      <c r="F81" s="2" t="s">
        <v>387</v>
      </c>
      <c r="G81" s="2" t="s">
        <v>369</v>
      </c>
      <c r="H81" s="2" t="s">
        <v>388</v>
      </c>
      <c r="I81" s="2" t="s">
        <v>6776</v>
      </c>
      <c r="J81" s="2" t="s">
        <v>27</v>
      </c>
      <c r="K81" s="2" t="s">
        <v>64</v>
      </c>
      <c r="L81" s="2" t="s">
        <v>389</v>
      </c>
      <c r="M81" s="2" t="s">
        <v>390</v>
      </c>
      <c r="N81" s="2" t="s">
        <v>391</v>
      </c>
      <c r="O81" s="2" t="s">
        <v>93</v>
      </c>
      <c r="P81" s="2" t="s">
        <v>30</v>
      </c>
      <c r="Q81" s="2" t="s">
        <v>199</v>
      </c>
      <c r="R81" s="2" t="s">
        <v>32</v>
      </c>
      <c r="S81" s="2" t="s">
        <v>392</v>
      </c>
      <c r="T81" s="2" t="s">
        <v>393</v>
      </c>
      <c r="U81" s="2" t="s">
        <v>3781</v>
      </c>
      <c r="V81" s="2" t="s">
        <v>3782</v>
      </c>
      <c r="W81" s="2" t="s">
        <v>3783</v>
      </c>
      <c r="X81" s="2" t="s">
        <v>3784</v>
      </c>
      <c r="Y81" s="2" t="s">
        <v>3785</v>
      </c>
      <c r="Z81" s="2" t="s">
        <v>3786</v>
      </c>
      <c r="AA81" s="2" t="s">
        <v>3787</v>
      </c>
    </row>
    <row r="82" spans="1:112" ht="153" x14ac:dyDescent="0.2">
      <c r="A82" s="7" t="s">
        <v>5517</v>
      </c>
      <c r="B82" s="7" t="s">
        <v>5518</v>
      </c>
      <c r="C82" s="2" t="s">
        <v>5518</v>
      </c>
      <c r="D82" s="1">
        <f>4*365</f>
        <v>1460</v>
      </c>
      <c r="E82" s="2" t="s">
        <v>23</v>
      </c>
      <c r="F82" s="2" t="s">
        <v>387</v>
      </c>
      <c r="G82" s="2" t="s">
        <v>369</v>
      </c>
      <c r="H82" s="2" t="s">
        <v>388</v>
      </c>
      <c r="I82" s="2" t="s">
        <v>6776</v>
      </c>
      <c r="J82" s="12" t="s">
        <v>27</v>
      </c>
      <c r="K82" s="12" t="s">
        <v>64</v>
      </c>
      <c r="L82" s="12" t="s">
        <v>5519</v>
      </c>
      <c r="M82" s="12" t="s">
        <v>5520</v>
      </c>
      <c r="N82" s="12" t="s">
        <v>391</v>
      </c>
      <c r="O82" s="12" t="s">
        <v>93</v>
      </c>
      <c r="P82" s="12" t="s">
        <v>30</v>
      </c>
      <c r="Q82" s="12" t="s">
        <v>41</v>
      </c>
      <c r="R82" s="12" t="s">
        <v>32</v>
      </c>
      <c r="S82" s="12" t="s">
        <v>392</v>
      </c>
      <c r="T82" s="12" t="s">
        <v>393</v>
      </c>
      <c r="U82" s="12" t="s">
        <v>5516</v>
      </c>
      <c r="V82" s="12" t="s">
        <v>5516</v>
      </c>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row>
    <row r="83" spans="1:112" ht="170" x14ac:dyDescent="0.2">
      <c r="A83" s="2" t="s">
        <v>407</v>
      </c>
      <c r="B83" s="2" t="s">
        <v>408</v>
      </c>
      <c r="C83" s="2" t="s">
        <v>408</v>
      </c>
      <c r="D83" s="1">
        <v>1460</v>
      </c>
      <c r="E83" s="2" t="s">
        <v>153</v>
      </c>
      <c r="F83" s="2" t="s">
        <v>409</v>
      </c>
      <c r="G83" s="2" t="s">
        <v>410</v>
      </c>
      <c r="H83" s="2" t="s">
        <v>411</v>
      </c>
      <c r="I83" s="2" t="s">
        <v>412</v>
      </c>
      <c r="J83" s="2" t="s">
        <v>27</v>
      </c>
      <c r="K83" s="2" t="s">
        <v>48</v>
      </c>
      <c r="L83" s="2" t="s">
        <v>413</v>
      </c>
      <c r="M83" s="2" t="s">
        <v>137</v>
      </c>
      <c r="N83" s="2" t="s">
        <v>414</v>
      </c>
      <c r="O83" s="2" t="s">
        <v>137</v>
      </c>
      <c r="P83" s="2" t="s">
        <v>40</v>
      </c>
      <c r="Q83" s="2" t="s">
        <v>41</v>
      </c>
      <c r="R83" s="2" t="s">
        <v>32</v>
      </c>
      <c r="S83" s="2" t="s">
        <v>33</v>
      </c>
      <c r="T83" s="2" t="s">
        <v>415</v>
      </c>
      <c r="U83" s="2" t="s">
        <v>3788</v>
      </c>
      <c r="V83" s="2" t="s">
        <v>3789</v>
      </c>
      <c r="W83" s="2" t="s">
        <v>3790</v>
      </c>
      <c r="X83" s="2" t="s">
        <v>3791</v>
      </c>
      <c r="Y83" s="2" t="s">
        <v>3792</v>
      </c>
    </row>
    <row r="84" spans="1:112" ht="170" x14ac:dyDescent="0.2">
      <c r="A84" s="2" t="s">
        <v>416</v>
      </c>
      <c r="B84" s="2" t="s">
        <v>417</v>
      </c>
      <c r="C84" s="2" t="s">
        <v>417</v>
      </c>
      <c r="D84" s="1">
        <v>1460</v>
      </c>
      <c r="E84" s="2" t="s">
        <v>153</v>
      </c>
      <c r="F84" s="2" t="s">
        <v>409</v>
      </c>
      <c r="G84" s="2" t="s">
        <v>418</v>
      </c>
      <c r="H84" s="2" t="s">
        <v>411</v>
      </c>
      <c r="I84" s="2" t="s">
        <v>412</v>
      </c>
      <c r="J84" s="2" t="s">
        <v>27</v>
      </c>
      <c r="K84" s="2" t="s">
        <v>48</v>
      </c>
      <c r="L84" s="2" t="s">
        <v>413</v>
      </c>
      <c r="M84" s="2" t="s">
        <v>137</v>
      </c>
      <c r="N84" s="2" t="s">
        <v>414</v>
      </c>
      <c r="O84" s="2" t="s">
        <v>137</v>
      </c>
      <c r="P84" s="2" t="s">
        <v>40</v>
      </c>
      <c r="Q84" s="2" t="s">
        <v>199</v>
      </c>
      <c r="R84" s="2" t="s">
        <v>32</v>
      </c>
      <c r="S84" s="2" t="s">
        <v>33</v>
      </c>
      <c r="T84" s="2" t="s">
        <v>415</v>
      </c>
      <c r="U84" s="2" t="s">
        <v>3788</v>
      </c>
      <c r="V84" s="2" t="s">
        <v>3789</v>
      </c>
      <c r="W84" s="2" t="s">
        <v>3790</v>
      </c>
      <c r="X84" s="2" t="s">
        <v>3791</v>
      </c>
      <c r="Y84" s="2" t="s">
        <v>3792</v>
      </c>
    </row>
    <row r="85" spans="1:112" ht="85" x14ac:dyDescent="0.2">
      <c r="A85" s="2" t="s">
        <v>419</v>
      </c>
      <c r="B85" s="2" t="s">
        <v>420</v>
      </c>
      <c r="C85" s="2" t="s">
        <v>421</v>
      </c>
      <c r="D85" s="1">
        <v>1460</v>
      </c>
      <c r="E85" s="2" t="s">
        <v>153</v>
      </c>
      <c r="F85" s="2" t="s">
        <v>422</v>
      </c>
      <c r="G85" s="2" t="s">
        <v>410</v>
      </c>
      <c r="H85" s="2" t="s">
        <v>423</v>
      </c>
      <c r="J85" s="2" t="s">
        <v>27</v>
      </c>
      <c r="K85" s="2" t="s">
        <v>48</v>
      </c>
      <c r="L85" s="2" t="s">
        <v>424</v>
      </c>
      <c r="M85" s="2" t="s">
        <v>229</v>
      </c>
      <c r="N85" s="2" t="s">
        <v>425</v>
      </c>
      <c r="O85" s="2" t="s">
        <v>229</v>
      </c>
      <c r="P85" s="2" t="s">
        <v>30</v>
      </c>
      <c r="Q85" s="2" t="s">
        <v>41</v>
      </c>
      <c r="R85" s="2" t="s">
        <v>32</v>
      </c>
      <c r="S85" s="2" t="s">
        <v>33</v>
      </c>
      <c r="T85" s="2" t="s">
        <v>426</v>
      </c>
      <c r="U85" s="2" t="s">
        <v>3793</v>
      </c>
      <c r="V85" s="2" t="s">
        <v>3794</v>
      </c>
    </row>
    <row r="86" spans="1:112" ht="69" customHeight="1" x14ac:dyDescent="0.2">
      <c r="A86" s="2" t="s">
        <v>427</v>
      </c>
      <c r="B86" s="2" t="s">
        <v>428</v>
      </c>
      <c r="C86" s="2" t="s">
        <v>429</v>
      </c>
      <c r="D86" s="1">
        <v>1460</v>
      </c>
      <c r="E86" s="2" t="s">
        <v>23</v>
      </c>
      <c r="G86" s="2" t="s">
        <v>410</v>
      </c>
      <c r="H86" s="2" t="s">
        <v>101</v>
      </c>
      <c r="I86" s="2" t="s">
        <v>102</v>
      </c>
      <c r="J86" s="2" t="s">
        <v>103</v>
      </c>
      <c r="K86" s="2" t="s">
        <v>190</v>
      </c>
      <c r="L86" s="2" t="s">
        <v>430</v>
      </c>
      <c r="M86" s="2" t="s">
        <v>431</v>
      </c>
      <c r="N86" s="2" t="s">
        <v>432</v>
      </c>
      <c r="O86" s="2" t="s">
        <v>123</v>
      </c>
      <c r="P86" s="2" t="s">
        <v>229</v>
      </c>
      <c r="Q86" s="2" t="s">
        <v>41</v>
      </c>
      <c r="R86" s="2" t="s">
        <v>32</v>
      </c>
      <c r="S86" s="2" t="s">
        <v>33</v>
      </c>
      <c r="T86" s="2" t="s">
        <v>433</v>
      </c>
      <c r="U86" s="2" t="s">
        <v>434</v>
      </c>
    </row>
    <row r="87" spans="1:112" ht="69" customHeight="1" x14ac:dyDescent="0.2">
      <c r="A87" s="2" t="s">
        <v>435</v>
      </c>
      <c r="B87" s="2" t="s">
        <v>436</v>
      </c>
      <c r="C87" s="2" t="s">
        <v>437</v>
      </c>
      <c r="D87" s="1">
        <v>1460</v>
      </c>
      <c r="E87" s="2" t="s">
        <v>23</v>
      </c>
      <c r="G87" s="2" t="s">
        <v>410</v>
      </c>
      <c r="H87" s="2" t="s">
        <v>101</v>
      </c>
      <c r="I87" s="2" t="s">
        <v>102</v>
      </c>
      <c r="J87" s="2" t="s">
        <v>103</v>
      </c>
      <c r="K87" s="2" t="s">
        <v>190</v>
      </c>
      <c r="L87" s="2" t="s">
        <v>438</v>
      </c>
      <c r="M87" s="2" t="s">
        <v>439</v>
      </c>
      <c r="N87" s="2" t="s">
        <v>440</v>
      </c>
      <c r="O87" s="2" t="s">
        <v>441</v>
      </c>
      <c r="P87" s="2" t="s">
        <v>68</v>
      </c>
      <c r="Q87" s="2" t="s">
        <v>41</v>
      </c>
      <c r="R87" s="2" t="s">
        <v>32</v>
      </c>
      <c r="S87" s="2" t="s">
        <v>33</v>
      </c>
      <c r="T87" s="2" t="s">
        <v>442</v>
      </c>
      <c r="U87" s="2" t="s">
        <v>3795</v>
      </c>
      <c r="V87" s="2" t="s">
        <v>3796</v>
      </c>
    </row>
    <row r="88" spans="1:112" ht="85" x14ac:dyDescent="0.2">
      <c r="A88" s="2" t="s">
        <v>443</v>
      </c>
      <c r="B88" s="2" t="s">
        <v>444</v>
      </c>
      <c r="C88" s="2" t="s">
        <v>444</v>
      </c>
      <c r="D88" s="1">
        <v>1460</v>
      </c>
      <c r="E88" s="2" t="s">
        <v>23</v>
      </c>
      <c r="G88" s="2" t="s">
        <v>410</v>
      </c>
      <c r="H88" s="2" t="s">
        <v>101</v>
      </c>
      <c r="I88" s="2" t="s">
        <v>102</v>
      </c>
      <c r="J88" s="2" t="s">
        <v>103</v>
      </c>
      <c r="K88" s="2" t="s">
        <v>190</v>
      </c>
      <c r="L88" s="2" t="s">
        <v>226</v>
      </c>
      <c r="M88" s="2" t="s">
        <v>227</v>
      </c>
      <c r="N88" s="2" t="s">
        <v>445</v>
      </c>
      <c r="O88" s="2" t="s">
        <v>227</v>
      </c>
      <c r="P88" s="2" t="s">
        <v>353</v>
      </c>
      <c r="Q88" s="2" t="s">
        <v>41</v>
      </c>
      <c r="R88" s="2" t="s">
        <v>32</v>
      </c>
      <c r="S88" s="2" t="s">
        <v>33</v>
      </c>
      <c r="T88" s="2" t="s">
        <v>230</v>
      </c>
      <c r="U88" s="2" t="s">
        <v>446</v>
      </c>
    </row>
    <row r="89" spans="1:112" ht="85" x14ac:dyDescent="0.2">
      <c r="A89" s="2" t="s">
        <v>447</v>
      </c>
      <c r="B89" s="2" t="s">
        <v>448</v>
      </c>
      <c r="C89" s="2" t="s">
        <v>448</v>
      </c>
      <c r="D89" s="1">
        <v>1460</v>
      </c>
      <c r="E89" s="2" t="s">
        <v>23</v>
      </c>
      <c r="G89" s="2" t="s">
        <v>410</v>
      </c>
      <c r="H89" s="2" t="s">
        <v>101</v>
      </c>
      <c r="I89" s="2" t="s">
        <v>102</v>
      </c>
      <c r="J89" s="2" t="s">
        <v>103</v>
      </c>
      <c r="K89" s="2" t="s">
        <v>190</v>
      </c>
      <c r="L89" s="2" t="s">
        <v>226</v>
      </c>
      <c r="M89" s="2" t="s">
        <v>227</v>
      </c>
      <c r="N89" s="2" t="s">
        <v>449</v>
      </c>
      <c r="O89" s="2" t="s">
        <v>227</v>
      </c>
      <c r="P89" s="2" t="s">
        <v>137</v>
      </c>
      <c r="Q89" s="2" t="s">
        <v>41</v>
      </c>
      <c r="R89" s="2" t="s">
        <v>32</v>
      </c>
      <c r="S89" s="2" t="s">
        <v>33</v>
      </c>
      <c r="T89" s="2" t="s">
        <v>230</v>
      </c>
      <c r="U89" s="2" t="s">
        <v>450</v>
      </c>
    </row>
    <row r="90" spans="1:112" ht="102" x14ac:dyDescent="0.2">
      <c r="A90" s="2" t="s">
        <v>465</v>
      </c>
      <c r="B90" s="2" t="s">
        <v>466</v>
      </c>
      <c r="C90" s="2" t="s">
        <v>466</v>
      </c>
      <c r="D90" s="1">
        <v>1460</v>
      </c>
      <c r="E90" s="2" t="s">
        <v>153</v>
      </c>
      <c r="F90" s="2" t="s">
        <v>467</v>
      </c>
      <c r="G90" s="2" t="s">
        <v>468</v>
      </c>
      <c r="H90" s="2" t="s">
        <v>25</v>
      </c>
      <c r="I90" s="2" t="s">
        <v>135</v>
      </c>
      <c r="J90" s="2" t="s">
        <v>469</v>
      </c>
      <c r="K90" s="2" t="s">
        <v>470</v>
      </c>
      <c r="L90" s="2" t="s">
        <v>471</v>
      </c>
      <c r="M90" s="2" t="s">
        <v>472</v>
      </c>
      <c r="N90" s="2" t="s">
        <v>473</v>
      </c>
      <c r="O90" s="2" t="s">
        <v>472</v>
      </c>
      <c r="P90" s="2" t="s">
        <v>229</v>
      </c>
      <c r="Q90" s="2" t="s">
        <v>41</v>
      </c>
      <c r="R90" s="2" t="s">
        <v>32</v>
      </c>
      <c r="S90" s="2" t="s">
        <v>33</v>
      </c>
      <c r="T90" s="2" t="s">
        <v>474</v>
      </c>
      <c r="U90" s="2" t="s">
        <v>3800</v>
      </c>
      <c r="V90" s="2" t="s">
        <v>3801</v>
      </c>
    </row>
    <row r="91" spans="1:112" ht="102" x14ac:dyDescent="0.2">
      <c r="A91" s="2" t="s">
        <v>475</v>
      </c>
      <c r="B91" s="2" t="s">
        <v>476</v>
      </c>
      <c r="C91" s="2" t="s">
        <v>476</v>
      </c>
      <c r="D91" s="1">
        <v>1460</v>
      </c>
      <c r="E91" s="2" t="s">
        <v>153</v>
      </c>
      <c r="F91" s="2" t="s">
        <v>477</v>
      </c>
      <c r="G91" s="2" t="s">
        <v>468</v>
      </c>
      <c r="H91" s="2" t="s">
        <v>25</v>
      </c>
      <c r="I91" s="2" t="s">
        <v>135</v>
      </c>
      <c r="J91" s="2" t="s">
        <v>469</v>
      </c>
      <c r="K91" s="2" t="s">
        <v>470</v>
      </c>
      <c r="L91" s="2" t="s">
        <v>471</v>
      </c>
      <c r="M91" s="2" t="s">
        <v>472</v>
      </c>
      <c r="N91" s="2" t="s">
        <v>478</v>
      </c>
      <c r="O91" s="2" t="s">
        <v>472</v>
      </c>
      <c r="P91" s="2" t="s">
        <v>194</v>
      </c>
      <c r="Q91" s="2" t="s">
        <v>41</v>
      </c>
      <c r="R91" s="2" t="s">
        <v>32</v>
      </c>
      <c r="S91" s="2" t="s">
        <v>33</v>
      </c>
      <c r="T91" s="2" t="s">
        <v>479</v>
      </c>
      <c r="U91" s="2" t="s">
        <v>3802</v>
      </c>
      <c r="V91" s="2" t="s">
        <v>3803</v>
      </c>
    </row>
    <row r="92" spans="1:112" ht="68" x14ac:dyDescent="0.2">
      <c r="A92" s="2" t="s">
        <v>488</v>
      </c>
      <c r="B92" s="2" t="s">
        <v>489</v>
      </c>
      <c r="C92" s="2" t="s">
        <v>490</v>
      </c>
      <c r="D92" s="1">
        <v>1460</v>
      </c>
      <c r="E92" s="2" t="s">
        <v>61</v>
      </c>
      <c r="F92" s="2" t="s">
        <v>454</v>
      </c>
      <c r="G92" s="2" t="s">
        <v>491</v>
      </c>
      <c r="H92" s="2" t="s">
        <v>492</v>
      </c>
      <c r="I92" s="2" t="s">
        <v>493</v>
      </c>
      <c r="J92" s="2" t="s">
        <v>27</v>
      </c>
      <c r="K92" s="2" t="s">
        <v>64</v>
      </c>
      <c r="L92" s="2" t="s">
        <v>494</v>
      </c>
      <c r="M92" s="2" t="s">
        <v>495</v>
      </c>
      <c r="N92" s="2" t="s">
        <v>496</v>
      </c>
      <c r="O92" s="2" t="s">
        <v>183</v>
      </c>
      <c r="P92" s="2" t="s">
        <v>497</v>
      </c>
      <c r="Q92" s="2" t="s">
        <v>41</v>
      </c>
      <c r="R92" s="2" t="s">
        <v>32</v>
      </c>
      <c r="S92" s="2" t="s">
        <v>33</v>
      </c>
      <c r="T92" s="2" t="s">
        <v>498</v>
      </c>
      <c r="U92" s="2" t="s">
        <v>3804</v>
      </c>
      <c r="V92" s="2" t="s">
        <v>3805</v>
      </c>
      <c r="W92" s="2" t="s">
        <v>3806</v>
      </c>
    </row>
    <row r="93" spans="1:112" ht="119" x14ac:dyDescent="0.2">
      <c r="A93" s="2" t="s">
        <v>6133</v>
      </c>
      <c r="C93" s="2" t="s">
        <v>6122</v>
      </c>
      <c r="D93" s="1">
        <v>1460</v>
      </c>
      <c r="E93" s="2" t="s">
        <v>61</v>
      </c>
      <c r="F93" s="2" t="s">
        <v>6125</v>
      </c>
      <c r="H93" s="2" t="s">
        <v>6124</v>
      </c>
      <c r="I93" s="2" t="s">
        <v>6123</v>
      </c>
      <c r="M93" s="2" t="s">
        <v>6126</v>
      </c>
    </row>
    <row r="94" spans="1:112" ht="17" x14ac:dyDescent="0.2">
      <c r="A94" s="7" t="s">
        <v>6151</v>
      </c>
      <c r="B94" s="2" t="s">
        <v>6355</v>
      </c>
      <c r="C94" s="2" t="s">
        <v>6355</v>
      </c>
      <c r="D94" s="1">
        <v>1460</v>
      </c>
      <c r="E94" s="2" t="s">
        <v>23</v>
      </c>
      <c r="G94" s="2" t="s">
        <v>410</v>
      </c>
      <c r="H94" s="2" t="s">
        <v>101</v>
      </c>
      <c r="N94" s="12" t="s">
        <v>440</v>
      </c>
    </row>
    <row r="95" spans="1:112" ht="69" customHeight="1" x14ac:dyDescent="0.2">
      <c r="A95" s="7" t="s">
        <v>6157</v>
      </c>
      <c r="B95" s="2" t="s">
        <v>6361</v>
      </c>
      <c r="C95" s="2" t="s">
        <v>6361</v>
      </c>
      <c r="D95" s="1">
        <f>4*365</f>
        <v>1460</v>
      </c>
      <c r="E95" s="2" t="s">
        <v>6724</v>
      </c>
      <c r="I95" s="2" t="s">
        <v>6725</v>
      </c>
      <c r="N95" s="12" t="s">
        <v>6556</v>
      </c>
    </row>
    <row r="96" spans="1:112" ht="85" x14ac:dyDescent="0.2">
      <c r="A96" s="7" t="s">
        <v>6204</v>
      </c>
      <c r="B96" s="2" t="s">
        <v>6409</v>
      </c>
      <c r="C96" s="2" t="s">
        <v>6409</v>
      </c>
      <c r="D96" s="1">
        <f>365*4</f>
        <v>1460</v>
      </c>
      <c r="E96" s="2" t="s">
        <v>23</v>
      </c>
      <c r="I96" s="2" t="s">
        <v>6754</v>
      </c>
      <c r="N96" s="12" t="s">
        <v>6578</v>
      </c>
    </row>
    <row r="97" spans="1:27" ht="102" x14ac:dyDescent="0.2">
      <c r="A97" s="7" t="s">
        <v>6194</v>
      </c>
      <c r="B97" s="2" t="s">
        <v>6399</v>
      </c>
      <c r="C97" s="2" t="s">
        <v>6399</v>
      </c>
      <c r="D97" s="1">
        <f>4*365</f>
        <v>1460</v>
      </c>
      <c r="I97" s="2" t="s">
        <v>6677</v>
      </c>
      <c r="N97" s="12" t="s">
        <v>6572</v>
      </c>
    </row>
    <row r="98" spans="1:27" ht="68" x14ac:dyDescent="0.2">
      <c r="A98" s="7" t="s">
        <v>6235</v>
      </c>
      <c r="B98" s="2" t="s">
        <v>6440</v>
      </c>
      <c r="C98" s="2" t="s">
        <v>6440</v>
      </c>
      <c r="D98" s="1">
        <v>1460</v>
      </c>
      <c r="E98" s="2" t="s">
        <v>61</v>
      </c>
      <c r="F98" s="2" t="s">
        <v>454</v>
      </c>
      <c r="G98" s="2" t="s">
        <v>491</v>
      </c>
      <c r="H98" s="2" t="s">
        <v>492</v>
      </c>
      <c r="I98" s="2" t="s">
        <v>493</v>
      </c>
      <c r="N98" s="12" t="s">
        <v>496</v>
      </c>
    </row>
    <row r="99" spans="1:27" ht="153" x14ac:dyDescent="0.2">
      <c r="A99" s="7" t="s">
        <v>6244</v>
      </c>
      <c r="B99" s="2" t="s">
        <v>6450</v>
      </c>
      <c r="C99" s="2" t="s">
        <v>6450</v>
      </c>
      <c r="D99" s="1">
        <f>4*365</f>
        <v>1460</v>
      </c>
      <c r="G99" s="2" t="s">
        <v>1863</v>
      </c>
      <c r="H99" s="2" t="s">
        <v>25</v>
      </c>
      <c r="I99" s="2" t="s">
        <v>6776</v>
      </c>
      <c r="L99" s="2" t="s">
        <v>6776</v>
      </c>
      <c r="N99" s="12" t="s">
        <v>391</v>
      </c>
    </row>
    <row r="100" spans="1:27" ht="153" x14ac:dyDescent="0.2">
      <c r="A100" s="7" t="s">
        <v>6245</v>
      </c>
      <c r="B100" s="2" t="s">
        <v>6451</v>
      </c>
      <c r="C100" s="2" t="s">
        <v>6451</v>
      </c>
      <c r="D100" s="1">
        <f>4*365</f>
        <v>1460</v>
      </c>
      <c r="E100" s="2" t="s">
        <v>23</v>
      </c>
      <c r="L100" s="2" t="s">
        <v>6776</v>
      </c>
      <c r="N100" s="12" t="s">
        <v>391</v>
      </c>
    </row>
    <row r="101" spans="1:27" ht="153" x14ac:dyDescent="0.2">
      <c r="A101" s="7" t="s">
        <v>6246</v>
      </c>
      <c r="B101" s="2" t="s">
        <v>6452</v>
      </c>
      <c r="C101" s="2" t="s">
        <v>6452</v>
      </c>
      <c r="D101" s="1">
        <f>4*365</f>
        <v>1460</v>
      </c>
      <c r="E101" s="2" t="s">
        <v>23</v>
      </c>
      <c r="L101" s="2" t="s">
        <v>6776</v>
      </c>
      <c r="N101" s="12" t="s">
        <v>391</v>
      </c>
    </row>
    <row r="102" spans="1:27" ht="102" x14ac:dyDescent="0.2">
      <c r="A102" s="12" t="s">
        <v>6881</v>
      </c>
      <c r="B102" s="12" t="s">
        <v>6882</v>
      </c>
      <c r="D102" s="1">
        <v>1460</v>
      </c>
      <c r="E102" s="2" t="s">
        <v>153</v>
      </c>
      <c r="F102" s="2" t="s">
        <v>477</v>
      </c>
      <c r="G102" s="2" t="s">
        <v>468</v>
      </c>
      <c r="H102" s="2" t="s">
        <v>25</v>
      </c>
      <c r="I102" s="2" t="s">
        <v>135</v>
      </c>
    </row>
    <row r="103" spans="1:27" ht="69" customHeight="1" x14ac:dyDescent="0.2">
      <c r="A103" s="2" t="s">
        <v>499</v>
      </c>
      <c r="B103" s="2" t="s">
        <v>500</v>
      </c>
      <c r="C103" s="2" t="s">
        <v>501</v>
      </c>
      <c r="D103" s="1">
        <v>1277.5</v>
      </c>
      <c r="E103" s="2" t="s">
        <v>23</v>
      </c>
      <c r="G103" s="2" t="s">
        <v>502</v>
      </c>
      <c r="H103" s="2" t="s">
        <v>370</v>
      </c>
      <c r="I103" s="2" t="s">
        <v>102</v>
      </c>
      <c r="J103" s="2" t="s">
        <v>103</v>
      </c>
      <c r="K103" s="2" t="s">
        <v>190</v>
      </c>
      <c r="L103" s="2" t="s">
        <v>191</v>
      </c>
      <c r="M103" s="2" t="s">
        <v>192</v>
      </c>
      <c r="N103" s="2" t="s">
        <v>503</v>
      </c>
      <c r="O103" s="2" t="s">
        <v>192</v>
      </c>
      <c r="P103" s="2" t="s">
        <v>68</v>
      </c>
      <c r="Q103" s="2" t="s">
        <v>41</v>
      </c>
      <c r="R103" s="2" t="s">
        <v>32</v>
      </c>
      <c r="S103" s="2" t="s">
        <v>33</v>
      </c>
      <c r="T103" s="2" t="s">
        <v>195</v>
      </c>
      <c r="U103" s="2" t="s">
        <v>3807</v>
      </c>
      <c r="V103" s="2" t="s">
        <v>3808</v>
      </c>
    </row>
    <row r="104" spans="1:27" ht="69" customHeight="1" x14ac:dyDescent="0.2">
      <c r="A104" s="7" t="s">
        <v>6165</v>
      </c>
      <c r="B104" s="2" t="s">
        <v>6370</v>
      </c>
      <c r="C104" s="2" t="s">
        <v>6370</v>
      </c>
      <c r="D104" s="1">
        <v>1277.5</v>
      </c>
      <c r="E104" s="2" t="s">
        <v>23</v>
      </c>
      <c r="G104" s="2" t="s">
        <v>502</v>
      </c>
      <c r="H104" s="2" t="s">
        <v>370</v>
      </c>
      <c r="I104" s="2" t="s">
        <v>102</v>
      </c>
      <c r="N104" s="12" t="s">
        <v>6564</v>
      </c>
    </row>
    <row r="105" spans="1:27" ht="85" x14ac:dyDescent="0.2">
      <c r="A105" s="7" t="s">
        <v>6167</v>
      </c>
      <c r="B105" s="2" t="s">
        <v>6372</v>
      </c>
      <c r="C105" s="2" t="s">
        <v>6372</v>
      </c>
      <c r="D105" s="1">
        <v>1277.5</v>
      </c>
      <c r="E105" s="2" t="s">
        <v>23</v>
      </c>
      <c r="G105" s="2" t="s">
        <v>502</v>
      </c>
      <c r="H105" s="2" t="s">
        <v>370</v>
      </c>
      <c r="I105" s="2" t="s">
        <v>102</v>
      </c>
      <c r="N105" s="12" t="s">
        <v>6566</v>
      </c>
    </row>
    <row r="106" spans="1:27" ht="153" x14ac:dyDescent="0.2">
      <c r="A106" s="2" t="s">
        <v>480</v>
      </c>
      <c r="B106" s="2" t="s">
        <v>481</v>
      </c>
      <c r="C106" s="2" t="s">
        <v>482</v>
      </c>
      <c r="D106" s="1">
        <f>3*365</f>
        <v>1095</v>
      </c>
      <c r="E106" s="2" t="s">
        <v>23</v>
      </c>
      <c r="G106" s="2" t="s">
        <v>468</v>
      </c>
      <c r="H106" s="2" t="s">
        <v>25</v>
      </c>
      <c r="I106" s="2" t="s">
        <v>6776</v>
      </c>
      <c r="J106" s="2" t="s">
        <v>27</v>
      </c>
      <c r="K106" s="2" t="s">
        <v>64</v>
      </c>
      <c r="L106" s="2" t="s">
        <v>483</v>
      </c>
      <c r="M106" s="2" t="s">
        <v>484</v>
      </c>
      <c r="N106" s="2" t="s">
        <v>391</v>
      </c>
      <c r="O106" s="2" t="s">
        <v>93</v>
      </c>
      <c r="P106" s="2" t="s">
        <v>30</v>
      </c>
      <c r="Q106" s="2" t="s">
        <v>41</v>
      </c>
      <c r="R106" s="2" t="s">
        <v>32</v>
      </c>
      <c r="S106" s="2" t="s">
        <v>33</v>
      </c>
      <c r="T106" s="2" t="s">
        <v>393</v>
      </c>
      <c r="U106" s="2" t="s">
        <v>3781</v>
      </c>
      <c r="V106" s="2" t="s">
        <v>3782</v>
      </c>
      <c r="W106" s="2" t="s">
        <v>3783</v>
      </c>
      <c r="X106" s="2" t="s">
        <v>3784</v>
      </c>
      <c r="Y106" s="2" t="s">
        <v>3785</v>
      </c>
      <c r="Z106" s="2" t="s">
        <v>3786</v>
      </c>
      <c r="AA106" s="2" t="s">
        <v>3787</v>
      </c>
    </row>
    <row r="107" spans="1:27" ht="153" x14ac:dyDescent="0.2">
      <c r="A107" s="2" t="s">
        <v>485</v>
      </c>
      <c r="B107" s="2" t="s">
        <v>486</v>
      </c>
      <c r="C107" s="2" t="s">
        <v>487</v>
      </c>
      <c r="D107" s="1">
        <f>3*365</f>
        <v>1095</v>
      </c>
      <c r="E107" s="2" t="s">
        <v>23</v>
      </c>
      <c r="G107" s="2" t="s">
        <v>468</v>
      </c>
      <c r="H107" s="2" t="s">
        <v>25</v>
      </c>
      <c r="I107" s="2" t="s">
        <v>6776</v>
      </c>
      <c r="J107" s="2" t="s">
        <v>27</v>
      </c>
      <c r="K107" s="2" t="s">
        <v>64</v>
      </c>
      <c r="L107" s="2" t="s">
        <v>483</v>
      </c>
      <c r="M107" s="2" t="s">
        <v>484</v>
      </c>
      <c r="N107" s="2" t="s">
        <v>391</v>
      </c>
      <c r="O107" s="2" t="s">
        <v>93</v>
      </c>
      <c r="P107" s="2" t="s">
        <v>30</v>
      </c>
      <c r="Q107" s="2" t="s">
        <v>199</v>
      </c>
      <c r="R107" s="2" t="s">
        <v>32</v>
      </c>
      <c r="S107" s="2" t="s">
        <v>33</v>
      </c>
      <c r="T107" s="2" t="s">
        <v>393</v>
      </c>
      <c r="U107" s="2" t="s">
        <v>3781</v>
      </c>
      <c r="V107" s="2" t="s">
        <v>3782</v>
      </c>
      <c r="W107" s="2" t="s">
        <v>3783</v>
      </c>
      <c r="X107" s="2" t="s">
        <v>3784</v>
      </c>
      <c r="Y107" s="2" t="s">
        <v>3785</v>
      </c>
      <c r="Z107" s="2" t="s">
        <v>3786</v>
      </c>
      <c r="AA107" s="2" t="s">
        <v>3787</v>
      </c>
    </row>
    <row r="108" spans="1:27" ht="136" x14ac:dyDescent="0.2">
      <c r="A108" s="2" t="s">
        <v>504</v>
      </c>
      <c r="B108" s="2" t="s">
        <v>505</v>
      </c>
      <c r="C108" s="2" t="s">
        <v>506</v>
      </c>
      <c r="D108" s="1">
        <v>1095</v>
      </c>
      <c r="E108" s="2" t="s">
        <v>153</v>
      </c>
      <c r="F108" s="2" t="s">
        <v>507</v>
      </c>
      <c r="G108" s="2" t="s">
        <v>508</v>
      </c>
      <c r="H108" s="2" t="s">
        <v>509</v>
      </c>
      <c r="I108" s="2" t="s">
        <v>510</v>
      </c>
      <c r="J108" s="2" t="s">
        <v>27</v>
      </c>
      <c r="K108" s="2" t="s">
        <v>48</v>
      </c>
      <c r="L108" s="2" t="s">
        <v>49</v>
      </c>
      <c r="M108" s="2" t="s">
        <v>50</v>
      </c>
      <c r="N108" s="2" t="s">
        <v>511</v>
      </c>
      <c r="O108" s="2" t="s">
        <v>52</v>
      </c>
      <c r="P108" s="2" t="s">
        <v>52</v>
      </c>
      <c r="Q108" s="2" t="s">
        <v>30</v>
      </c>
      <c r="R108" s="2" t="s">
        <v>32</v>
      </c>
      <c r="S108" s="2" t="s">
        <v>33</v>
      </c>
      <c r="T108" s="2" t="s">
        <v>512</v>
      </c>
      <c r="U108" s="2" t="s">
        <v>513</v>
      </c>
    </row>
    <row r="109" spans="1:27" ht="102" x14ac:dyDescent="0.2">
      <c r="A109" s="2" t="s">
        <v>514</v>
      </c>
      <c r="B109" s="2" t="s">
        <v>515</v>
      </c>
      <c r="C109" s="2" t="s">
        <v>516</v>
      </c>
      <c r="D109" s="1">
        <f>3*365</f>
        <v>1095</v>
      </c>
      <c r="E109" s="2" t="s">
        <v>23</v>
      </c>
      <c r="G109" s="2" t="s">
        <v>517</v>
      </c>
      <c r="H109" s="2" t="s">
        <v>370</v>
      </c>
      <c r="I109" s="2" t="s">
        <v>371</v>
      </c>
      <c r="J109" s="2" t="s">
        <v>27</v>
      </c>
      <c r="K109" s="2" t="s">
        <v>64</v>
      </c>
      <c r="L109" s="2" t="s">
        <v>518</v>
      </c>
      <c r="M109" s="2" t="s">
        <v>519</v>
      </c>
      <c r="N109" s="2" t="s">
        <v>520</v>
      </c>
      <c r="O109" s="2" t="s">
        <v>68</v>
      </c>
      <c r="P109" s="2" t="s">
        <v>68</v>
      </c>
      <c r="Q109" s="2" t="s">
        <v>41</v>
      </c>
      <c r="R109" s="2" t="s">
        <v>32</v>
      </c>
      <c r="S109" s="2" t="s">
        <v>33</v>
      </c>
      <c r="T109" s="2" t="s">
        <v>521</v>
      </c>
      <c r="U109" s="2" t="s">
        <v>3809</v>
      </c>
      <c r="V109" s="2" t="s">
        <v>3810</v>
      </c>
    </row>
    <row r="110" spans="1:27" ht="102" x14ac:dyDescent="0.2">
      <c r="A110" s="2" t="s">
        <v>522</v>
      </c>
      <c r="B110" s="2" t="s">
        <v>523</v>
      </c>
      <c r="C110" s="2" t="s">
        <v>524</v>
      </c>
      <c r="D110" s="1">
        <v>730</v>
      </c>
      <c r="E110" s="2" t="s">
        <v>23</v>
      </c>
      <c r="F110" s="2" t="s">
        <v>525</v>
      </c>
      <c r="G110" s="2" t="s">
        <v>526</v>
      </c>
      <c r="H110" s="2" t="s">
        <v>369</v>
      </c>
      <c r="I110" s="2" t="s">
        <v>527</v>
      </c>
      <c r="J110" s="2" t="s">
        <v>27</v>
      </c>
      <c r="K110" s="2" t="s">
        <v>64</v>
      </c>
      <c r="L110" s="2" t="s">
        <v>389</v>
      </c>
      <c r="M110" s="2" t="s">
        <v>390</v>
      </c>
      <c r="N110" s="2" t="s">
        <v>528</v>
      </c>
      <c r="O110" s="2" t="s">
        <v>183</v>
      </c>
      <c r="P110" s="2" t="s">
        <v>30</v>
      </c>
      <c r="Q110" s="2" t="s">
        <v>30</v>
      </c>
      <c r="R110" s="2" t="s">
        <v>32</v>
      </c>
      <c r="S110" s="2" t="s">
        <v>392</v>
      </c>
      <c r="T110" s="2" t="s">
        <v>529</v>
      </c>
      <c r="U110" s="2" t="s">
        <v>530</v>
      </c>
    </row>
    <row r="111" spans="1:27" ht="102" x14ac:dyDescent="0.2">
      <c r="A111" s="2" t="s">
        <v>531</v>
      </c>
      <c r="B111" s="2" t="s">
        <v>532</v>
      </c>
      <c r="C111" s="2" t="s">
        <v>533</v>
      </c>
      <c r="D111" s="1">
        <v>730</v>
      </c>
      <c r="E111" s="2" t="s">
        <v>23</v>
      </c>
      <c r="F111" s="2" t="s">
        <v>525</v>
      </c>
      <c r="G111" s="2" t="s">
        <v>526</v>
      </c>
      <c r="H111" s="2" t="s">
        <v>369</v>
      </c>
      <c r="I111" s="2" t="s">
        <v>527</v>
      </c>
      <c r="J111" s="2" t="s">
        <v>27</v>
      </c>
      <c r="K111" s="2" t="s">
        <v>64</v>
      </c>
      <c r="L111" s="2" t="s">
        <v>389</v>
      </c>
      <c r="M111" s="2" t="s">
        <v>390</v>
      </c>
      <c r="N111" s="2" t="s">
        <v>528</v>
      </c>
      <c r="O111" s="2" t="s">
        <v>183</v>
      </c>
      <c r="P111" s="2" t="s">
        <v>30</v>
      </c>
      <c r="Q111" s="2" t="s">
        <v>403</v>
      </c>
      <c r="R111" s="2" t="s">
        <v>32</v>
      </c>
      <c r="S111" s="2" t="s">
        <v>392</v>
      </c>
      <c r="T111" s="2" t="s">
        <v>529</v>
      </c>
      <c r="U111" s="2" t="s">
        <v>530</v>
      </c>
    </row>
    <row r="112" spans="1:27" ht="85" x14ac:dyDescent="0.2">
      <c r="A112" s="2" t="s">
        <v>534</v>
      </c>
      <c r="B112" s="2" t="s">
        <v>535</v>
      </c>
      <c r="C112" s="2" t="s">
        <v>535</v>
      </c>
      <c r="D112" s="1">
        <v>730</v>
      </c>
      <c r="E112" s="2" t="s">
        <v>23</v>
      </c>
      <c r="F112" s="2" t="s">
        <v>536</v>
      </c>
      <c r="G112" s="2" t="s">
        <v>537</v>
      </c>
      <c r="H112" s="2" t="s">
        <v>538</v>
      </c>
      <c r="I112" s="2" t="s">
        <v>204</v>
      </c>
      <c r="J112" s="2" t="s">
        <v>144</v>
      </c>
      <c r="K112" s="2" t="s">
        <v>144</v>
      </c>
      <c r="L112" s="2" t="s">
        <v>205</v>
      </c>
      <c r="M112" s="2" t="s">
        <v>206</v>
      </c>
      <c r="N112" s="2" t="s">
        <v>539</v>
      </c>
      <c r="O112" s="2" t="s">
        <v>146</v>
      </c>
      <c r="P112" s="2" t="s">
        <v>540</v>
      </c>
      <c r="Q112" s="2" t="s">
        <v>41</v>
      </c>
      <c r="R112" s="2" t="s">
        <v>32</v>
      </c>
      <c r="S112" s="2" t="s">
        <v>33</v>
      </c>
      <c r="T112" s="2" t="s">
        <v>541</v>
      </c>
      <c r="U112" s="2" t="s">
        <v>3811</v>
      </c>
      <c r="V112" s="2" t="s">
        <v>3812</v>
      </c>
    </row>
    <row r="113" spans="1:112" ht="68" x14ac:dyDescent="0.2">
      <c r="A113" s="7" t="s">
        <v>5107</v>
      </c>
      <c r="B113" s="7" t="s">
        <v>5108</v>
      </c>
      <c r="C113" s="2" t="s">
        <v>5108</v>
      </c>
      <c r="D113" s="1">
        <v>730</v>
      </c>
      <c r="E113" s="2" t="s">
        <v>23</v>
      </c>
      <c r="F113" s="2" t="s">
        <v>536</v>
      </c>
      <c r="G113" s="2" t="s">
        <v>537</v>
      </c>
      <c r="H113" s="2" t="s">
        <v>538</v>
      </c>
      <c r="I113" s="2" t="s">
        <v>204</v>
      </c>
      <c r="J113" s="12" t="s">
        <v>144</v>
      </c>
      <c r="K113" s="12" t="s">
        <v>144</v>
      </c>
      <c r="L113" s="12" t="s">
        <v>205</v>
      </c>
      <c r="M113" s="12" t="s">
        <v>206</v>
      </c>
      <c r="N113" s="12" t="s">
        <v>539</v>
      </c>
      <c r="O113" s="12" t="s">
        <v>146</v>
      </c>
      <c r="P113" s="12" t="s">
        <v>540</v>
      </c>
      <c r="Q113" s="12" t="s">
        <v>199</v>
      </c>
      <c r="R113" s="12" t="s">
        <v>32</v>
      </c>
      <c r="S113" s="12" t="s">
        <v>33</v>
      </c>
      <c r="T113" s="12" t="s">
        <v>541</v>
      </c>
      <c r="U113" s="12" t="s">
        <v>5109</v>
      </c>
      <c r="V113" s="12" t="s">
        <v>5109</v>
      </c>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2"/>
      <c r="CY113" s="12"/>
      <c r="CZ113" s="12"/>
      <c r="DA113" s="12"/>
      <c r="DB113" s="12"/>
      <c r="DC113" s="12"/>
      <c r="DD113" s="12"/>
      <c r="DE113" s="12"/>
      <c r="DF113" s="12"/>
      <c r="DG113" s="12"/>
      <c r="DH113" s="12"/>
    </row>
    <row r="114" spans="1:112" ht="85" x14ac:dyDescent="0.2">
      <c r="A114" s="2" t="s">
        <v>542</v>
      </c>
      <c r="B114" s="2" t="s">
        <v>535</v>
      </c>
      <c r="C114" s="2" t="s">
        <v>535</v>
      </c>
      <c r="D114" s="1">
        <v>730</v>
      </c>
      <c r="E114" s="2" t="s">
        <v>23</v>
      </c>
      <c r="F114" s="2" t="s">
        <v>536</v>
      </c>
      <c r="G114" s="2" t="s">
        <v>537</v>
      </c>
      <c r="H114" s="2" t="s">
        <v>538</v>
      </c>
      <c r="I114" s="2" t="s">
        <v>204</v>
      </c>
      <c r="J114" s="2" t="s">
        <v>144</v>
      </c>
      <c r="K114" s="2" t="s">
        <v>144</v>
      </c>
      <c r="L114" s="2" t="s">
        <v>205</v>
      </c>
      <c r="M114" s="2" t="s">
        <v>206</v>
      </c>
      <c r="N114" s="2" t="s">
        <v>543</v>
      </c>
      <c r="O114" s="2" t="s">
        <v>146</v>
      </c>
      <c r="P114" s="2" t="s">
        <v>544</v>
      </c>
      <c r="Q114" s="2" t="s">
        <v>41</v>
      </c>
      <c r="R114" s="2" t="s">
        <v>32</v>
      </c>
      <c r="S114" s="2" t="s">
        <v>33</v>
      </c>
      <c r="T114" s="2" t="s">
        <v>545</v>
      </c>
      <c r="U114" s="2" t="s">
        <v>546</v>
      </c>
    </row>
    <row r="115" spans="1:112" ht="68" x14ac:dyDescent="0.2">
      <c r="A115" s="7" t="s">
        <v>5110</v>
      </c>
      <c r="B115" s="7" t="s">
        <v>5108</v>
      </c>
      <c r="C115" s="2" t="s">
        <v>5108</v>
      </c>
      <c r="D115" s="1">
        <v>730</v>
      </c>
      <c r="E115" s="2" t="s">
        <v>23</v>
      </c>
      <c r="F115" s="2" t="s">
        <v>536</v>
      </c>
      <c r="G115" s="2" t="s">
        <v>537</v>
      </c>
      <c r="H115" s="2" t="s">
        <v>538</v>
      </c>
      <c r="I115" s="2" t="s">
        <v>204</v>
      </c>
      <c r="J115" s="12" t="s">
        <v>144</v>
      </c>
      <c r="K115" s="12" t="s">
        <v>144</v>
      </c>
      <c r="L115" s="12" t="s">
        <v>205</v>
      </c>
      <c r="M115" s="12" t="s">
        <v>206</v>
      </c>
      <c r="N115" s="12" t="s">
        <v>543</v>
      </c>
      <c r="O115" s="12" t="s">
        <v>146</v>
      </c>
      <c r="P115" s="12" t="s">
        <v>544</v>
      </c>
      <c r="Q115" s="12" t="s">
        <v>199</v>
      </c>
      <c r="R115" s="12" t="s">
        <v>32</v>
      </c>
      <c r="S115" s="12" t="s">
        <v>33</v>
      </c>
      <c r="T115" s="12" t="s">
        <v>545</v>
      </c>
      <c r="U115" s="12" t="s">
        <v>546</v>
      </c>
      <c r="V115" s="12" t="s">
        <v>546</v>
      </c>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row>
    <row r="116" spans="1:112" ht="85" x14ac:dyDescent="0.2">
      <c r="A116" s="2" t="s">
        <v>547</v>
      </c>
      <c r="B116" s="2" t="s">
        <v>548</v>
      </c>
      <c r="C116" s="2" t="s">
        <v>549</v>
      </c>
      <c r="D116" s="1">
        <v>730</v>
      </c>
      <c r="E116" s="2" t="s">
        <v>23</v>
      </c>
      <c r="G116" s="2" t="s">
        <v>537</v>
      </c>
      <c r="H116" s="2" t="s">
        <v>101</v>
      </c>
      <c r="I116" s="2" t="s">
        <v>102</v>
      </c>
      <c r="J116" s="2" t="s">
        <v>103</v>
      </c>
      <c r="K116" s="2" t="s">
        <v>190</v>
      </c>
      <c r="L116" s="2" t="s">
        <v>550</v>
      </c>
      <c r="M116" s="2" t="s">
        <v>551</v>
      </c>
      <c r="N116" s="2" t="s">
        <v>552</v>
      </c>
      <c r="O116" s="2" t="s">
        <v>123</v>
      </c>
      <c r="P116" s="2" t="s">
        <v>137</v>
      </c>
      <c r="Q116" s="2" t="s">
        <v>41</v>
      </c>
      <c r="R116" s="2" t="s">
        <v>32</v>
      </c>
      <c r="S116" s="2" t="s">
        <v>33</v>
      </c>
      <c r="T116" s="2" t="s">
        <v>553</v>
      </c>
      <c r="U116" s="2" t="s">
        <v>3813</v>
      </c>
      <c r="V116" s="2" t="s">
        <v>3814</v>
      </c>
    </row>
    <row r="117" spans="1:112" ht="85" x14ac:dyDescent="0.2">
      <c r="A117" s="7" t="s">
        <v>5127</v>
      </c>
      <c r="B117" s="7" t="s">
        <v>5128</v>
      </c>
      <c r="C117" s="2" t="s">
        <v>5129</v>
      </c>
      <c r="D117" s="1">
        <v>730</v>
      </c>
      <c r="E117" s="2" t="s">
        <v>23</v>
      </c>
      <c r="G117" s="2" t="s">
        <v>537</v>
      </c>
      <c r="H117" s="2" t="s">
        <v>101</v>
      </c>
      <c r="I117" s="2" t="s">
        <v>102</v>
      </c>
      <c r="J117" s="12" t="s">
        <v>103</v>
      </c>
      <c r="K117" s="12" t="s">
        <v>190</v>
      </c>
      <c r="L117" s="12" t="s">
        <v>550</v>
      </c>
      <c r="M117" s="12" t="s">
        <v>551</v>
      </c>
      <c r="N117" s="12" t="s">
        <v>552</v>
      </c>
      <c r="O117" s="12" t="s">
        <v>123</v>
      </c>
      <c r="P117" s="12" t="s">
        <v>137</v>
      </c>
      <c r="Q117" s="12" t="s">
        <v>199</v>
      </c>
      <c r="R117" s="12" t="s">
        <v>32</v>
      </c>
      <c r="S117" s="12" t="s">
        <v>33</v>
      </c>
      <c r="T117" s="12" t="s">
        <v>553</v>
      </c>
      <c r="U117" s="12" t="s">
        <v>5130</v>
      </c>
      <c r="V117" s="12" t="s">
        <v>5130</v>
      </c>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row>
    <row r="118" spans="1:112" ht="85" x14ac:dyDescent="0.2">
      <c r="A118" s="2" t="s">
        <v>554</v>
      </c>
      <c r="B118" s="2" t="s">
        <v>555</v>
      </c>
      <c r="C118" s="2" t="s">
        <v>556</v>
      </c>
      <c r="D118" s="1">
        <v>730</v>
      </c>
      <c r="E118" s="2" t="s">
        <v>23</v>
      </c>
      <c r="G118" s="2" t="s">
        <v>537</v>
      </c>
      <c r="H118" s="2" t="s">
        <v>101</v>
      </c>
      <c r="I118" s="2" t="s">
        <v>102</v>
      </c>
      <c r="J118" s="2" t="s">
        <v>103</v>
      </c>
      <c r="K118" s="2" t="s">
        <v>190</v>
      </c>
      <c r="L118" s="2" t="s">
        <v>557</v>
      </c>
      <c r="M118" s="2" t="s">
        <v>558</v>
      </c>
      <c r="N118" s="2" t="s">
        <v>559</v>
      </c>
      <c r="O118" s="2" t="s">
        <v>441</v>
      </c>
      <c r="P118" s="2" t="s">
        <v>52</v>
      </c>
      <c r="Q118" s="2" t="s">
        <v>41</v>
      </c>
      <c r="R118" s="2" t="s">
        <v>32</v>
      </c>
      <c r="S118" s="2" t="s">
        <v>33</v>
      </c>
      <c r="T118" s="2" t="s">
        <v>560</v>
      </c>
      <c r="U118" s="2" t="s">
        <v>3815</v>
      </c>
      <c r="V118" s="2" t="s">
        <v>3816</v>
      </c>
    </row>
    <row r="119" spans="1:112" ht="85" x14ac:dyDescent="0.2">
      <c r="A119" s="7" t="s">
        <v>5150</v>
      </c>
      <c r="B119" s="7" t="s">
        <v>5151</v>
      </c>
      <c r="C119" s="2" t="s">
        <v>5152</v>
      </c>
      <c r="D119" s="1">
        <v>730</v>
      </c>
      <c r="E119" s="2" t="s">
        <v>23</v>
      </c>
      <c r="G119" s="2" t="s">
        <v>537</v>
      </c>
      <c r="H119" s="2" t="s">
        <v>101</v>
      </c>
      <c r="I119" s="2" t="s">
        <v>102</v>
      </c>
      <c r="J119" s="12" t="s">
        <v>103</v>
      </c>
      <c r="K119" s="12" t="s">
        <v>190</v>
      </c>
      <c r="L119" s="12" t="s">
        <v>557</v>
      </c>
      <c r="M119" s="12" t="s">
        <v>558</v>
      </c>
      <c r="N119" s="12" t="s">
        <v>559</v>
      </c>
      <c r="O119" s="12" t="s">
        <v>441</v>
      </c>
      <c r="P119" s="12" t="s">
        <v>52</v>
      </c>
      <c r="Q119" s="12" t="s">
        <v>199</v>
      </c>
      <c r="R119" s="12" t="s">
        <v>32</v>
      </c>
      <c r="S119" s="12" t="s">
        <v>33</v>
      </c>
      <c r="T119" s="12" t="s">
        <v>560</v>
      </c>
      <c r="U119" s="12" t="s">
        <v>5153</v>
      </c>
      <c r="V119" s="12" t="s">
        <v>5153</v>
      </c>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row>
    <row r="120" spans="1:112" ht="85" x14ac:dyDescent="0.2">
      <c r="A120" s="2" t="s">
        <v>561</v>
      </c>
      <c r="B120" s="2" t="s">
        <v>562</v>
      </c>
      <c r="C120" s="2" t="s">
        <v>562</v>
      </c>
      <c r="D120" s="1">
        <v>730</v>
      </c>
      <c r="E120" s="2" t="s">
        <v>23</v>
      </c>
      <c r="G120" s="2" t="s">
        <v>537</v>
      </c>
      <c r="H120" s="2" t="s">
        <v>225</v>
      </c>
      <c r="I120" s="2" t="s">
        <v>102</v>
      </c>
      <c r="J120" s="2" t="s">
        <v>103</v>
      </c>
      <c r="K120" s="2" t="s">
        <v>190</v>
      </c>
      <c r="L120" s="2" t="s">
        <v>226</v>
      </c>
      <c r="M120" s="2" t="s">
        <v>227</v>
      </c>
      <c r="N120" s="2" t="s">
        <v>563</v>
      </c>
      <c r="O120" s="2" t="s">
        <v>227</v>
      </c>
      <c r="P120" s="2" t="s">
        <v>564</v>
      </c>
      <c r="Q120" s="2" t="s">
        <v>41</v>
      </c>
      <c r="R120" s="2" t="s">
        <v>32</v>
      </c>
      <c r="S120" s="2" t="s">
        <v>33</v>
      </c>
      <c r="T120" s="2" t="s">
        <v>230</v>
      </c>
      <c r="U120" s="2" t="s">
        <v>565</v>
      </c>
    </row>
    <row r="121" spans="1:112" ht="85" x14ac:dyDescent="0.2">
      <c r="A121" s="2" t="s">
        <v>566</v>
      </c>
      <c r="B121" s="2" t="s">
        <v>567</v>
      </c>
      <c r="C121" s="2" t="s">
        <v>567</v>
      </c>
      <c r="D121" s="1">
        <v>730</v>
      </c>
      <c r="E121" s="2" t="s">
        <v>23</v>
      </c>
      <c r="G121" s="2" t="s">
        <v>537</v>
      </c>
      <c r="H121" s="2" t="s">
        <v>225</v>
      </c>
      <c r="I121" s="2" t="s">
        <v>102</v>
      </c>
      <c r="J121" s="2" t="s">
        <v>103</v>
      </c>
      <c r="K121" s="2" t="s">
        <v>190</v>
      </c>
      <c r="L121" s="2" t="s">
        <v>226</v>
      </c>
      <c r="M121" s="2" t="s">
        <v>227</v>
      </c>
      <c r="N121" s="2" t="s">
        <v>568</v>
      </c>
      <c r="O121" s="2" t="s">
        <v>227</v>
      </c>
      <c r="P121" s="2" t="s">
        <v>192</v>
      </c>
      <c r="Q121" s="2" t="s">
        <v>41</v>
      </c>
      <c r="R121" s="2" t="s">
        <v>32</v>
      </c>
      <c r="S121" s="2" t="s">
        <v>33</v>
      </c>
      <c r="T121" s="2" t="s">
        <v>230</v>
      </c>
      <c r="U121" s="2" t="s">
        <v>569</v>
      </c>
    </row>
    <row r="122" spans="1:112" ht="85" x14ac:dyDescent="0.2">
      <c r="A122" s="2" t="s">
        <v>570</v>
      </c>
      <c r="B122" s="2" t="s">
        <v>571</v>
      </c>
      <c r="C122" s="2" t="s">
        <v>571</v>
      </c>
      <c r="D122" s="1">
        <v>730</v>
      </c>
      <c r="E122" s="2" t="s">
        <v>23</v>
      </c>
      <c r="G122" s="2" t="s">
        <v>537</v>
      </c>
      <c r="H122" s="2" t="s">
        <v>225</v>
      </c>
      <c r="I122" s="2" t="s">
        <v>102</v>
      </c>
      <c r="J122" s="2" t="s">
        <v>103</v>
      </c>
      <c r="K122" s="2" t="s">
        <v>190</v>
      </c>
      <c r="L122" s="2" t="s">
        <v>226</v>
      </c>
      <c r="M122" s="2" t="s">
        <v>227</v>
      </c>
      <c r="N122" s="2" t="s">
        <v>572</v>
      </c>
      <c r="O122" s="2" t="s">
        <v>227</v>
      </c>
      <c r="P122" s="2" t="s">
        <v>257</v>
      </c>
      <c r="Q122" s="2" t="s">
        <v>41</v>
      </c>
      <c r="R122" s="2" t="s">
        <v>32</v>
      </c>
      <c r="S122" s="2" t="s">
        <v>33</v>
      </c>
      <c r="T122" s="2" t="s">
        <v>230</v>
      </c>
      <c r="U122" s="2" t="s">
        <v>573</v>
      </c>
    </row>
    <row r="123" spans="1:112" ht="85" x14ac:dyDescent="0.2">
      <c r="A123" s="7" t="s">
        <v>5160</v>
      </c>
      <c r="B123" s="7" t="s">
        <v>5161</v>
      </c>
      <c r="C123" s="2" t="s">
        <v>5161</v>
      </c>
      <c r="D123" s="1">
        <v>730</v>
      </c>
      <c r="E123" s="2" t="s">
        <v>23</v>
      </c>
      <c r="G123" s="2" t="s">
        <v>537</v>
      </c>
      <c r="H123" s="2" t="s">
        <v>225</v>
      </c>
      <c r="I123" s="2" t="s">
        <v>102</v>
      </c>
      <c r="J123" s="12" t="s">
        <v>103</v>
      </c>
      <c r="K123" s="12" t="s">
        <v>190</v>
      </c>
      <c r="L123" s="12" t="s">
        <v>226</v>
      </c>
      <c r="M123" s="12" t="s">
        <v>227</v>
      </c>
      <c r="N123" s="12" t="s">
        <v>572</v>
      </c>
      <c r="O123" s="12" t="s">
        <v>227</v>
      </c>
      <c r="P123" s="12" t="s">
        <v>257</v>
      </c>
      <c r="Q123" s="12" t="s">
        <v>199</v>
      </c>
      <c r="R123" s="12" t="s">
        <v>32</v>
      </c>
      <c r="S123" s="12" t="s">
        <v>33</v>
      </c>
      <c r="T123" s="12" t="s">
        <v>230</v>
      </c>
      <c r="U123" s="12" t="s">
        <v>573</v>
      </c>
      <c r="V123" s="12" t="s">
        <v>573</v>
      </c>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row>
    <row r="124" spans="1:112" ht="85" x14ac:dyDescent="0.2">
      <c r="A124" s="2" t="s">
        <v>574</v>
      </c>
      <c r="B124" s="2" t="s">
        <v>575</v>
      </c>
      <c r="C124" s="2" t="s">
        <v>575</v>
      </c>
      <c r="D124" s="1">
        <v>730</v>
      </c>
      <c r="E124" s="2" t="s">
        <v>23</v>
      </c>
      <c r="G124" s="2" t="s">
        <v>537</v>
      </c>
      <c r="H124" s="2" t="s">
        <v>225</v>
      </c>
      <c r="I124" s="2" t="s">
        <v>102</v>
      </c>
      <c r="J124" s="2" t="s">
        <v>103</v>
      </c>
      <c r="K124" s="2" t="s">
        <v>190</v>
      </c>
      <c r="L124" s="2" t="s">
        <v>226</v>
      </c>
      <c r="M124" s="2" t="s">
        <v>227</v>
      </c>
      <c r="N124" s="2" t="s">
        <v>576</v>
      </c>
      <c r="O124" s="2" t="s">
        <v>227</v>
      </c>
      <c r="P124" s="2" t="s">
        <v>339</v>
      </c>
      <c r="Q124" s="2" t="s">
        <v>41</v>
      </c>
      <c r="R124" s="2" t="s">
        <v>32</v>
      </c>
      <c r="S124" s="2" t="s">
        <v>33</v>
      </c>
      <c r="T124" s="2" t="s">
        <v>230</v>
      </c>
      <c r="U124" s="2" t="s">
        <v>577</v>
      </c>
    </row>
    <row r="125" spans="1:112" ht="85" x14ac:dyDescent="0.2">
      <c r="A125" s="2" t="s">
        <v>578</v>
      </c>
      <c r="B125" s="2" t="s">
        <v>579</v>
      </c>
      <c r="C125" s="2" t="s">
        <v>579</v>
      </c>
      <c r="D125" s="1">
        <v>730</v>
      </c>
      <c r="E125" s="2" t="s">
        <v>23</v>
      </c>
      <c r="G125" s="2" t="s">
        <v>537</v>
      </c>
      <c r="H125" s="2" t="s">
        <v>225</v>
      </c>
      <c r="I125" s="2" t="s">
        <v>102</v>
      </c>
      <c r="J125" s="2" t="s">
        <v>103</v>
      </c>
      <c r="K125" s="2" t="s">
        <v>190</v>
      </c>
      <c r="L125" s="2" t="s">
        <v>226</v>
      </c>
      <c r="M125" s="2" t="s">
        <v>227</v>
      </c>
      <c r="N125" s="2" t="s">
        <v>580</v>
      </c>
      <c r="O125" s="2" t="s">
        <v>227</v>
      </c>
      <c r="P125" s="2" t="s">
        <v>52</v>
      </c>
      <c r="Q125" s="2" t="s">
        <v>41</v>
      </c>
      <c r="R125" s="2" t="s">
        <v>32</v>
      </c>
      <c r="S125" s="2" t="s">
        <v>33</v>
      </c>
      <c r="T125" s="2" t="s">
        <v>240</v>
      </c>
      <c r="U125" s="2" t="s">
        <v>3817</v>
      </c>
      <c r="V125" s="2" t="s">
        <v>3818</v>
      </c>
      <c r="W125" s="2" t="s">
        <v>3819</v>
      </c>
    </row>
    <row r="126" spans="1:112" ht="85" x14ac:dyDescent="0.2">
      <c r="A126" s="2" t="s">
        <v>581</v>
      </c>
      <c r="B126" s="2" t="s">
        <v>582</v>
      </c>
      <c r="C126" s="2" t="s">
        <v>582</v>
      </c>
      <c r="D126" s="1">
        <v>730</v>
      </c>
      <c r="E126" s="2" t="s">
        <v>23</v>
      </c>
      <c r="G126" s="2" t="s">
        <v>537</v>
      </c>
      <c r="H126" s="2" t="s">
        <v>225</v>
      </c>
      <c r="I126" s="2" t="s">
        <v>102</v>
      </c>
      <c r="J126" s="2" t="s">
        <v>103</v>
      </c>
      <c r="K126" s="2" t="s">
        <v>190</v>
      </c>
      <c r="L126" s="2" t="s">
        <v>226</v>
      </c>
      <c r="M126" s="2" t="s">
        <v>227</v>
      </c>
      <c r="N126" s="2" t="s">
        <v>580</v>
      </c>
      <c r="O126" s="2" t="s">
        <v>227</v>
      </c>
      <c r="P126" s="2" t="s">
        <v>52</v>
      </c>
      <c r="Q126" s="2" t="s">
        <v>199</v>
      </c>
      <c r="R126" s="2" t="s">
        <v>32</v>
      </c>
      <c r="S126" s="2" t="s">
        <v>33</v>
      </c>
      <c r="T126" s="2" t="s">
        <v>240</v>
      </c>
      <c r="U126" s="2" t="s">
        <v>3817</v>
      </c>
      <c r="V126" s="2" t="s">
        <v>3818</v>
      </c>
      <c r="W126" s="2" t="s">
        <v>3819</v>
      </c>
    </row>
    <row r="127" spans="1:112" ht="85" x14ac:dyDescent="0.2">
      <c r="A127" s="2" t="s">
        <v>583</v>
      </c>
      <c r="B127" s="2" t="s">
        <v>584</v>
      </c>
      <c r="C127" s="2" t="s">
        <v>584</v>
      </c>
      <c r="D127" s="1">
        <v>730</v>
      </c>
      <c r="E127" s="2" t="s">
        <v>23</v>
      </c>
      <c r="G127" s="2" t="s">
        <v>537</v>
      </c>
      <c r="H127" s="2" t="s">
        <v>225</v>
      </c>
      <c r="I127" s="2" t="s">
        <v>102</v>
      </c>
      <c r="J127" s="2" t="s">
        <v>103</v>
      </c>
      <c r="K127" s="2" t="s">
        <v>190</v>
      </c>
      <c r="L127" s="2" t="s">
        <v>226</v>
      </c>
      <c r="M127" s="2" t="s">
        <v>227</v>
      </c>
      <c r="N127" s="2" t="s">
        <v>585</v>
      </c>
      <c r="O127" s="2" t="s">
        <v>227</v>
      </c>
      <c r="P127" s="2" t="s">
        <v>93</v>
      </c>
      <c r="Q127" s="2" t="s">
        <v>41</v>
      </c>
      <c r="R127" s="2" t="s">
        <v>32</v>
      </c>
      <c r="S127" s="2" t="s">
        <v>33</v>
      </c>
      <c r="T127" s="2" t="s">
        <v>240</v>
      </c>
      <c r="U127" s="2" t="s">
        <v>3820</v>
      </c>
      <c r="V127" s="2" t="s">
        <v>3821</v>
      </c>
    </row>
    <row r="128" spans="1:112" ht="85" x14ac:dyDescent="0.2">
      <c r="A128" s="2" t="s">
        <v>586</v>
      </c>
      <c r="B128" s="2" t="s">
        <v>587</v>
      </c>
      <c r="C128" s="2" t="s">
        <v>587</v>
      </c>
      <c r="D128" s="1">
        <v>730</v>
      </c>
      <c r="E128" s="2" t="s">
        <v>23</v>
      </c>
      <c r="G128" s="2" t="s">
        <v>537</v>
      </c>
      <c r="H128" s="2" t="s">
        <v>225</v>
      </c>
      <c r="I128" s="2" t="s">
        <v>102</v>
      </c>
      <c r="J128" s="2" t="s">
        <v>103</v>
      </c>
      <c r="K128" s="2" t="s">
        <v>190</v>
      </c>
      <c r="L128" s="2" t="s">
        <v>226</v>
      </c>
      <c r="M128" s="2" t="s">
        <v>227</v>
      </c>
      <c r="N128" s="2" t="s">
        <v>585</v>
      </c>
      <c r="O128" s="2" t="s">
        <v>227</v>
      </c>
      <c r="P128" s="2" t="s">
        <v>93</v>
      </c>
      <c r="Q128" s="2" t="s">
        <v>199</v>
      </c>
      <c r="R128" s="2" t="s">
        <v>32</v>
      </c>
      <c r="S128" s="2" t="s">
        <v>33</v>
      </c>
      <c r="T128" s="2" t="s">
        <v>240</v>
      </c>
      <c r="U128" s="2" t="s">
        <v>3820</v>
      </c>
      <c r="V128" s="2" t="s">
        <v>3821</v>
      </c>
    </row>
    <row r="129" spans="1:112" ht="85" x14ac:dyDescent="0.2">
      <c r="A129" s="2" t="s">
        <v>588</v>
      </c>
      <c r="B129" s="2" t="s">
        <v>589</v>
      </c>
      <c r="C129" s="2" t="s">
        <v>590</v>
      </c>
      <c r="D129" s="1">
        <v>730</v>
      </c>
      <c r="E129" s="2" t="s">
        <v>23</v>
      </c>
      <c r="F129" s="2" t="s">
        <v>591</v>
      </c>
      <c r="G129" s="2" t="s">
        <v>537</v>
      </c>
      <c r="H129" s="2" t="s">
        <v>101</v>
      </c>
      <c r="I129" s="2" t="s">
        <v>102</v>
      </c>
      <c r="J129" s="2" t="s">
        <v>103</v>
      </c>
      <c r="K129" s="2" t="s">
        <v>190</v>
      </c>
      <c r="L129" s="2" t="s">
        <v>592</v>
      </c>
      <c r="M129" s="2" t="s">
        <v>593</v>
      </c>
      <c r="N129" s="2" t="s">
        <v>594</v>
      </c>
      <c r="O129" s="2" t="s">
        <v>564</v>
      </c>
      <c r="P129" s="2" t="s">
        <v>40</v>
      </c>
      <c r="Q129" s="2" t="s">
        <v>41</v>
      </c>
      <c r="R129" s="2" t="s">
        <v>32</v>
      </c>
      <c r="S129" s="2" t="s">
        <v>33</v>
      </c>
      <c r="T129" s="2" t="s">
        <v>595</v>
      </c>
      <c r="U129" s="2" t="s">
        <v>596</v>
      </c>
    </row>
    <row r="130" spans="1:112" ht="85" x14ac:dyDescent="0.2">
      <c r="A130" s="2" t="s">
        <v>597</v>
      </c>
      <c r="B130" s="2" t="s">
        <v>598</v>
      </c>
      <c r="C130" s="2" t="s">
        <v>599</v>
      </c>
      <c r="D130" s="1">
        <v>730</v>
      </c>
      <c r="E130" s="2" t="s">
        <v>23</v>
      </c>
      <c r="F130" s="2" t="s">
        <v>591</v>
      </c>
      <c r="G130" s="2" t="s">
        <v>537</v>
      </c>
      <c r="H130" s="2" t="s">
        <v>101</v>
      </c>
      <c r="I130" s="2" t="s">
        <v>102</v>
      </c>
      <c r="J130" s="2" t="s">
        <v>103</v>
      </c>
      <c r="K130" s="2" t="s">
        <v>190</v>
      </c>
      <c r="L130" s="2" t="s">
        <v>592</v>
      </c>
      <c r="M130" s="2" t="s">
        <v>593</v>
      </c>
      <c r="N130" s="2" t="s">
        <v>594</v>
      </c>
      <c r="O130" s="2" t="s">
        <v>564</v>
      </c>
      <c r="P130" s="2" t="s">
        <v>40</v>
      </c>
      <c r="Q130" s="2" t="s">
        <v>199</v>
      </c>
      <c r="R130" s="2" t="s">
        <v>32</v>
      </c>
      <c r="S130" s="2" t="s">
        <v>33</v>
      </c>
      <c r="T130" s="2" t="s">
        <v>595</v>
      </c>
      <c r="U130" s="2" t="s">
        <v>600</v>
      </c>
    </row>
    <row r="131" spans="1:112" ht="85" x14ac:dyDescent="0.2">
      <c r="A131" s="2" t="s">
        <v>601</v>
      </c>
      <c r="B131" s="2" t="s">
        <v>602</v>
      </c>
      <c r="C131" s="2" t="s">
        <v>603</v>
      </c>
      <c r="D131" s="1">
        <v>730</v>
      </c>
      <c r="E131" s="2" t="s">
        <v>23</v>
      </c>
      <c r="F131" s="2" t="s">
        <v>591</v>
      </c>
      <c r="G131" s="2" t="s">
        <v>537</v>
      </c>
      <c r="H131" s="2" t="s">
        <v>101</v>
      </c>
      <c r="I131" s="2" t="s">
        <v>102</v>
      </c>
      <c r="J131" s="2" t="s">
        <v>103</v>
      </c>
      <c r="K131" s="2" t="s">
        <v>190</v>
      </c>
      <c r="L131" s="2" t="s">
        <v>592</v>
      </c>
      <c r="M131" s="2" t="s">
        <v>593</v>
      </c>
      <c r="N131" s="2" t="s">
        <v>604</v>
      </c>
      <c r="O131" s="2" t="s">
        <v>564</v>
      </c>
      <c r="P131" s="2" t="s">
        <v>52</v>
      </c>
      <c r="Q131" s="2" t="s">
        <v>41</v>
      </c>
      <c r="R131" s="2" t="s">
        <v>32</v>
      </c>
      <c r="S131" s="2" t="s">
        <v>33</v>
      </c>
      <c r="T131" s="2" t="s">
        <v>595</v>
      </c>
      <c r="U131" s="2" t="s">
        <v>605</v>
      </c>
    </row>
    <row r="132" spans="1:112" ht="85" x14ac:dyDescent="0.2">
      <c r="A132" s="2" t="s">
        <v>606</v>
      </c>
      <c r="B132" s="2" t="s">
        <v>607</v>
      </c>
      <c r="C132" s="2" t="s">
        <v>608</v>
      </c>
      <c r="D132" s="1">
        <v>730</v>
      </c>
      <c r="E132" s="2" t="s">
        <v>23</v>
      </c>
      <c r="F132" s="2" t="s">
        <v>591</v>
      </c>
      <c r="G132" s="2" t="s">
        <v>537</v>
      </c>
      <c r="H132" s="2" t="s">
        <v>101</v>
      </c>
      <c r="I132" s="2" t="s">
        <v>102</v>
      </c>
      <c r="J132" s="2" t="s">
        <v>103</v>
      </c>
      <c r="K132" s="2" t="s">
        <v>190</v>
      </c>
      <c r="L132" s="2" t="s">
        <v>592</v>
      </c>
      <c r="M132" s="2" t="s">
        <v>593</v>
      </c>
      <c r="N132" s="2" t="s">
        <v>604</v>
      </c>
      <c r="O132" s="2" t="s">
        <v>564</v>
      </c>
      <c r="P132" s="2" t="s">
        <v>52</v>
      </c>
      <c r="Q132" s="2" t="s">
        <v>199</v>
      </c>
      <c r="R132" s="2" t="s">
        <v>32</v>
      </c>
      <c r="S132" s="2" t="s">
        <v>33</v>
      </c>
      <c r="T132" s="2" t="s">
        <v>595</v>
      </c>
      <c r="U132" s="2" t="s">
        <v>605</v>
      </c>
    </row>
    <row r="133" spans="1:112" ht="102" x14ac:dyDescent="0.2">
      <c r="A133" s="2" t="s">
        <v>632</v>
      </c>
      <c r="B133" s="2" t="s">
        <v>633</v>
      </c>
      <c r="C133" s="2" t="s">
        <v>634</v>
      </c>
      <c r="D133" s="1">
        <v>730</v>
      </c>
      <c r="E133" s="2" t="s">
        <v>23</v>
      </c>
      <c r="G133" s="2" t="s">
        <v>537</v>
      </c>
      <c r="H133" s="2" t="s">
        <v>25</v>
      </c>
      <c r="I133" s="2" t="s">
        <v>635</v>
      </c>
      <c r="J133" s="2" t="s">
        <v>27</v>
      </c>
      <c r="K133" s="2" t="s">
        <v>28</v>
      </c>
      <c r="L133" s="2" t="s">
        <v>636</v>
      </c>
      <c r="M133" s="2" t="s">
        <v>637</v>
      </c>
      <c r="N133" s="2" t="s">
        <v>638</v>
      </c>
      <c r="O133" s="2" t="s">
        <v>68</v>
      </c>
      <c r="P133" s="2" t="s">
        <v>30</v>
      </c>
      <c r="Q133" s="2" t="s">
        <v>41</v>
      </c>
      <c r="R133" s="2" t="s">
        <v>32</v>
      </c>
      <c r="S133" s="2" t="s">
        <v>33</v>
      </c>
      <c r="T133" s="2" t="s">
        <v>639</v>
      </c>
      <c r="U133" s="2" t="s">
        <v>640</v>
      </c>
    </row>
    <row r="134" spans="1:112" ht="153" x14ac:dyDescent="0.2">
      <c r="A134" s="7" t="s">
        <v>5258</v>
      </c>
      <c r="B134" s="7" t="s">
        <v>5259</v>
      </c>
      <c r="C134" s="2" t="s">
        <v>5260</v>
      </c>
      <c r="D134" s="5">
        <v>730</v>
      </c>
      <c r="E134" s="6" t="s">
        <v>23</v>
      </c>
      <c r="F134" s="6" t="s">
        <v>6037</v>
      </c>
      <c r="G134" s="6" t="s">
        <v>537</v>
      </c>
      <c r="H134" s="6" t="s">
        <v>370</v>
      </c>
      <c r="I134" s="6" t="s">
        <v>1109</v>
      </c>
      <c r="J134" s="12" t="s">
        <v>27</v>
      </c>
      <c r="K134" s="12" t="s">
        <v>64</v>
      </c>
      <c r="L134" s="12" t="s">
        <v>1110</v>
      </c>
      <c r="M134" s="12" t="s">
        <v>1111</v>
      </c>
      <c r="N134" s="12" t="s">
        <v>5261</v>
      </c>
      <c r="O134" s="12" t="s">
        <v>68</v>
      </c>
      <c r="P134" s="12" t="s">
        <v>165</v>
      </c>
      <c r="Q134" s="12" t="s">
        <v>41</v>
      </c>
      <c r="R134" s="12" t="s">
        <v>32</v>
      </c>
      <c r="S134" s="12" t="s">
        <v>33</v>
      </c>
      <c r="T134" s="12" t="s">
        <v>5262</v>
      </c>
      <c r="U134" s="12" t="s">
        <v>5263</v>
      </c>
      <c r="V134" s="12" t="s">
        <v>5263</v>
      </c>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row>
    <row r="135" spans="1:112" ht="102" x14ac:dyDescent="0.2">
      <c r="A135" s="2" t="s">
        <v>641</v>
      </c>
      <c r="B135" s="2" t="s">
        <v>642</v>
      </c>
      <c r="C135" s="2" t="s">
        <v>642</v>
      </c>
      <c r="D135" s="1">
        <v>730</v>
      </c>
      <c r="E135" s="2" t="s">
        <v>23</v>
      </c>
      <c r="F135" s="2" t="s">
        <v>643</v>
      </c>
      <c r="G135" s="2" t="s">
        <v>537</v>
      </c>
      <c r="H135" s="2" t="s">
        <v>538</v>
      </c>
      <c r="I135" s="2" t="s">
        <v>644</v>
      </c>
      <c r="J135" s="2" t="s">
        <v>645</v>
      </c>
      <c r="K135" s="2" t="s">
        <v>646</v>
      </c>
      <c r="L135" s="2" t="s">
        <v>647</v>
      </c>
      <c r="M135" s="2" t="s">
        <v>648</v>
      </c>
      <c r="N135" s="2" t="s">
        <v>649</v>
      </c>
      <c r="O135" s="2" t="s">
        <v>648</v>
      </c>
      <c r="P135" s="2" t="s">
        <v>650</v>
      </c>
      <c r="Q135" s="2" t="s">
        <v>41</v>
      </c>
      <c r="R135" s="2" t="s">
        <v>32</v>
      </c>
      <c r="S135" s="2" t="s">
        <v>33</v>
      </c>
      <c r="T135" s="2" t="s">
        <v>651</v>
      </c>
      <c r="U135" s="2" t="s">
        <v>652</v>
      </c>
    </row>
    <row r="136" spans="1:112" ht="136" x14ac:dyDescent="0.2">
      <c r="A136" s="2" t="s">
        <v>653</v>
      </c>
      <c r="B136" s="2" t="s">
        <v>654</v>
      </c>
      <c r="C136" s="2" t="s">
        <v>655</v>
      </c>
      <c r="D136" s="1">
        <v>730</v>
      </c>
      <c r="E136" s="2" t="s">
        <v>61</v>
      </c>
      <c r="F136" s="2" t="s">
        <v>656</v>
      </c>
      <c r="H136" s="2" t="s">
        <v>492</v>
      </c>
      <c r="I136" s="2" t="s">
        <v>657</v>
      </c>
      <c r="J136" s="2" t="s">
        <v>469</v>
      </c>
      <c r="K136" s="2" t="s">
        <v>470</v>
      </c>
      <c r="L136" s="2" t="s">
        <v>658</v>
      </c>
      <c r="M136" s="2" t="s">
        <v>659</v>
      </c>
      <c r="N136" s="2" t="s">
        <v>660</v>
      </c>
      <c r="O136" s="2" t="s">
        <v>659</v>
      </c>
      <c r="P136" s="2" t="s">
        <v>30</v>
      </c>
      <c r="Q136" s="2" t="s">
        <v>41</v>
      </c>
      <c r="R136" s="2" t="s">
        <v>32</v>
      </c>
      <c r="S136" s="2" t="s">
        <v>33</v>
      </c>
      <c r="T136" s="2" t="s">
        <v>661</v>
      </c>
      <c r="U136" s="2" t="s">
        <v>3832</v>
      </c>
      <c r="V136" s="2" t="s">
        <v>3833</v>
      </c>
    </row>
    <row r="137" spans="1:112" ht="136" x14ac:dyDescent="0.2">
      <c r="A137" s="7" t="s">
        <v>5444</v>
      </c>
      <c r="B137" s="7" t="s">
        <v>5445</v>
      </c>
      <c r="C137" s="2" t="s">
        <v>5446</v>
      </c>
      <c r="D137" s="1">
        <v>730</v>
      </c>
      <c r="E137" s="2" t="s">
        <v>61</v>
      </c>
      <c r="F137" s="2" t="s">
        <v>656</v>
      </c>
      <c r="H137" s="2" t="s">
        <v>492</v>
      </c>
      <c r="I137" s="2" t="s">
        <v>657</v>
      </c>
      <c r="J137" s="12" t="s">
        <v>469</v>
      </c>
      <c r="K137" s="12" t="s">
        <v>470</v>
      </c>
      <c r="L137" s="12" t="s">
        <v>658</v>
      </c>
      <c r="M137" s="12" t="s">
        <v>659</v>
      </c>
      <c r="N137" s="12" t="s">
        <v>660</v>
      </c>
      <c r="O137" s="12" t="s">
        <v>659</v>
      </c>
      <c r="P137" s="12" t="s">
        <v>30</v>
      </c>
      <c r="Q137" s="12" t="s">
        <v>199</v>
      </c>
      <c r="R137" s="12" t="s">
        <v>32</v>
      </c>
      <c r="S137" s="12" t="s">
        <v>33</v>
      </c>
      <c r="T137" s="12" t="s">
        <v>661</v>
      </c>
      <c r="U137" s="12" t="s">
        <v>5447</v>
      </c>
      <c r="V137" s="12" t="s">
        <v>5447</v>
      </c>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row>
    <row r="138" spans="1:112" ht="102" x14ac:dyDescent="0.2">
      <c r="A138" s="2" t="s">
        <v>662</v>
      </c>
      <c r="B138" s="2" t="s">
        <v>663</v>
      </c>
      <c r="C138" s="2" t="s">
        <v>663</v>
      </c>
      <c r="D138" s="1">
        <v>730</v>
      </c>
      <c r="E138" s="2" t="s">
        <v>23</v>
      </c>
      <c r="G138" s="2" t="s">
        <v>537</v>
      </c>
      <c r="H138" s="2" t="s">
        <v>664</v>
      </c>
      <c r="I138" s="2" t="s">
        <v>665</v>
      </c>
      <c r="J138" s="2" t="s">
        <v>103</v>
      </c>
      <c r="K138" s="2" t="s">
        <v>190</v>
      </c>
      <c r="L138" s="2" t="s">
        <v>666</v>
      </c>
      <c r="M138" s="2" t="s">
        <v>667</v>
      </c>
      <c r="N138" s="2" t="s">
        <v>668</v>
      </c>
      <c r="O138" s="2" t="s">
        <v>220</v>
      </c>
      <c r="P138" s="2" t="s">
        <v>93</v>
      </c>
      <c r="Q138" s="2" t="s">
        <v>41</v>
      </c>
      <c r="R138" s="2" t="s">
        <v>32</v>
      </c>
      <c r="S138" s="2" t="s">
        <v>33</v>
      </c>
      <c r="T138" s="2" t="s">
        <v>669</v>
      </c>
      <c r="U138" s="2" t="s">
        <v>670</v>
      </c>
    </row>
    <row r="139" spans="1:112" ht="119" x14ac:dyDescent="0.2">
      <c r="A139" s="2" t="s">
        <v>671</v>
      </c>
      <c r="B139" s="2" t="s">
        <v>672</v>
      </c>
      <c r="C139" s="2" t="s">
        <v>672</v>
      </c>
      <c r="D139" s="1">
        <v>730</v>
      </c>
      <c r="E139" s="2" t="s">
        <v>23</v>
      </c>
      <c r="G139" s="2" t="s">
        <v>537</v>
      </c>
      <c r="H139" s="2" t="s">
        <v>664</v>
      </c>
      <c r="I139" s="2" t="s">
        <v>673</v>
      </c>
      <c r="J139" s="2" t="s">
        <v>103</v>
      </c>
      <c r="K139" s="2" t="s">
        <v>190</v>
      </c>
      <c r="L139" s="2" t="s">
        <v>666</v>
      </c>
      <c r="M139" s="2" t="s">
        <v>667</v>
      </c>
      <c r="N139" s="2" t="s">
        <v>674</v>
      </c>
      <c r="O139" s="2" t="s">
        <v>220</v>
      </c>
      <c r="P139" s="2" t="s">
        <v>165</v>
      </c>
      <c r="Q139" s="2" t="s">
        <v>41</v>
      </c>
      <c r="R139" s="2" t="s">
        <v>32</v>
      </c>
      <c r="S139" s="2" t="s">
        <v>33</v>
      </c>
      <c r="T139" s="2" t="s">
        <v>675</v>
      </c>
      <c r="U139" s="2" t="s">
        <v>676</v>
      </c>
    </row>
    <row r="140" spans="1:112" ht="102" x14ac:dyDescent="0.2">
      <c r="A140" s="2" t="s">
        <v>677</v>
      </c>
      <c r="B140" s="2" t="s">
        <v>678</v>
      </c>
      <c r="C140" s="2" t="s">
        <v>679</v>
      </c>
      <c r="D140" s="1">
        <v>730</v>
      </c>
      <c r="E140" s="2" t="s">
        <v>23</v>
      </c>
      <c r="G140" s="2" t="s">
        <v>680</v>
      </c>
      <c r="H140" s="2" t="s">
        <v>370</v>
      </c>
      <c r="I140" s="2" t="s">
        <v>681</v>
      </c>
      <c r="J140" s="2" t="s">
        <v>469</v>
      </c>
      <c r="K140" s="2" t="s">
        <v>470</v>
      </c>
      <c r="L140" s="2" t="s">
        <v>682</v>
      </c>
      <c r="M140" s="2">
        <v>95</v>
      </c>
      <c r="N140" s="2" t="s">
        <v>683</v>
      </c>
      <c r="O140" s="2">
        <v>95</v>
      </c>
      <c r="P140" s="2">
        <v>76</v>
      </c>
      <c r="Q140" s="2">
        <v>0</v>
      </c>
      <c r="R140" s="2" t="s">
        <v>32</v>
      </c>
      <c r="S140" s="2" t="s">
        <v>392</v>
      </c>
      <c r="T140" s="2" t="s">
        <v>684</v>
      </c>
      <c r="U140" s="2" t="s">
        <v>3834</v>
      </c>
      <c r="V140" s="2" t="s">
        <v>3835</v>
      </c>
      <c r="W140" s="2" t="s">
        <v>3836</v>
      </c>
      <c r="X140" s="2" t="s">
        <v>3837</v>
      </c>
      <c r="Y140" s="2" t="s">
        <v>3838</v>
      </c>
      <c r="Z140" s="2" t="s">
        <v>3839</v>
      </c>
    </row>
    <row r="141" spans="1:112" ht="102" x14ac:dyDescent="0.2">
      <c r="A141" s="2" t="s">
        <v>685</v>
      </c>
      <c r="B141" s="2" t="s">
        <v>686</v>
      </c>
      <c r="C141" s="2" t="s">
        <v>686</v>
      </c>
      <c r="D141" s="1">
        <v>730</v>
      </c>
      <c r="E141" s="2" t="s">
        <v>61</v>
      </c>
      <c r="F141" s="2" t="s">
        <v>687</v>
      </c>
      <c r="G141" s="2" t="s">
        <v>688</v>
      </c>
      <c r="H141" s="2" t="s">
        <v>689</v>
      </c>
      <c r="I141" s="2" t="s">
        <v>690</v>
      </c>
      <c r="J141" s="2" t="s">
        <v>27</v>
      </c>
      <c r="K141" s="2" t="s">
        <v>48</v>
      </c>
      <c r="L141" s="2" t="s">
        <v>691</v>
      </c>
      <c r="M141" s="2">
        <v>106</v>
      </c>
      <c r="N141" s="2" t="s">
        <v>692</v>
      </c>
      <c r="O141" s="2">
        <v>99</v>
      </c>
      <c r="P141" s="2">
        <v>25</v>
      </c>
      <c r="Q141" s="2">
        <v>0</v>
      </c>
      <c r="R141" s="2" t="s">
        <v>32</v>
      </c>
      <c r="S141" s="2" t="s">
        <v>33</v>
      </c>
      <c r="T141" s="2" t="s">
        <v>693</v>
      </c>
      <c r="U141" s="2" t="s">
        <v>3840</v>
      </c>
      <c r="V141" s="2" t="s">
        <v>3841</v>
      </c>
    </row>
    <row r="142" spans="1:112" ht="85" x14ac:dyDescent="0.2">
      <c r="A142" s="7" t="s">
        <v>5225</v>
      </c>
      <c r="B142" s="7" t="s">
        <v>5226</v>
      </c>
      <c r="C142" s="2" t="s">
        <v>5227</v>
      </c>
      <c r="D142" s="1">
        <v>730</v>
      </c>
      <c r="E142" s="2" t="s">
        <v>61</v>
      </c>
      <c r="F142" s="2" t="s">
        <v>6034</v>
      </c>
      <c r="G142" s="2" t="s">
        <v>537</v>
      </c>
      <c r="H142" s="2" t="s">
        <v>25</v>
      </c>
      <c r="I142" s="2" t="s">
        <v>6130</v>
      </c>
      <c r="J142" s="12" t="s">
        <v>612</v>
      </c>
      <c r="K142" s="12" t="s">
        <v>5228</v>
      </c>
      <c r="L142" s="12" t="s">
        <v>5228</v>
      </c>
      <c r="M142" s="12" t="s">
        <v>5229</v>
      </c>
      <c r="N142" s="12" t="s">
        <v>5230</v>
      </c>
      <c r="O142" s="12" t="s">
        <v>948</v>
      </c>
      <c r="P142" s="12" t="s">
        <v>30</v>
      </c>
      <c r="Q142" s="12" t="s">
        <v>41</v>
      </c>
      <c r="R142" s="12" t="s">
        <v>32</v>
      </c>
      <c r="S142" s="12" t="s">
        <v>33</v>
      </c>
      <c r="T142" s="12" t="s">
        <v>618</v>
      </c>
      <c r="U142" s="12" t="s">
        <v>5231</v>
      </c>
      <c r="V142" s="12" t="s">
        <v>5231</v>
      </c>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row>
    <row r="143" spans="1:112" ht="85" x14ac:dyDescent="0.2">
      <c r="A143" s="2" t="s">
        <v>609</v>
      </c>
      <c r="B143" s="2" t="s">
        <v>610</v>
      </c>
      <c r="C143" s="2" t="s">
        <v>610</v>
      </c>
      <c r="D143" s="1">
        <v>730</v>
      </c>
      <c r="E143" s="2" t="s">
        <v>23</v>
      </c>
      <c r="G143" s="2" t="s">
        <v>537</v>
      </c>
      <c r="H143" s="2" t="s">
        <v>25</v>
      </c>
      <c r="I143" s="2" t="s">
        <v>6130</v>
      </c>
      <c r="J143" s="2" t="s">
        <v>612</v>
      </c>
      <c r="K143" s="2" t="s">
        <v>613</v>
      </c>
      <c r="L143" s="2" t="s">
        <v>614</v>
      </c>
      <c r="M143" s="2" t="s">
        <v>615</v>
      </c>
      <c r="N143" s="2" t="s">
        <v>616</v>
      </c>
      <c r="O143" s="2" t="s">
        <v>617</v>
      </c>
      <c r="P143" s="2" t="s">
        <v>41</v>
      </c>
      <c r="Q143" s="2" t="s">
        <v>30</v>
      </c>
      <c r="R143" s="2" t="s">
        <v>32</v>
      </c>
      <c r="S143" s="2" t="s">
        <v>392</v>
      </c>
      <c r="T143" s="2" t="s">
        <v>618</v>
      </c>
      <c r="U143" s="2" t="s">
        <v>3822</v>
      </c>
      <c r="V143" s="2" t="s">
        <v>3823</v>
      </c>
      <c r="W143" s="2" t="s">
        <v>3824</v>
      </c>
      <c r="X143" s="2" t="s">
        <v>3825</v>
      </c>
      <c r="Y143" s="2" t="s">
        <v>3826</v>
      </c>
      <c r="Z143" s="2" t="s">
        <v>3827</v>
      </c>
      <c r="AA143" s="2" t="s">
        <v>3828</v>
      </c>
    </row>
    <row r="144" spans="1:112" ht="85" x14ac:dyDescent="0.2">
      <c r="A144" s="2" t="s">
        <v>621</v>
      </c>
      <c r="B144" s="2" t="s">
        <v>622</v>
      </c>
      <c r="C144" s="2" t="s">
        <v>622</v>
      </c>
      <c r="D144" s="1">
        <v>730</v>
      </c>
      <c r="E144" s="2" t="s">
        <v>23</v>
      </c>
      <c r="G144" s="2" t="s">
        <v>537</v>
      </c>
      <c r="H144" s="2" t="s">
        <v>25</v>
      </c>
      <c r="I144" s="2" t="s">
        <v>6130</v>
      </c>
      <c r="J144" s="2" t="s">
        <v>612</v>
      </c>
      <c r="K144" s="2" t="s">
        <v>613</v>
      </c>
      <c r="L144" s="2" t="s">
        <v>614</v>
      </c>
      <c r="M144" s="2" t="s">
        <v>615</v>
      </c>
      <c r="N144" s="2" t="s">
        <v>616</v>
      </c>
      <c r="O144" s="2" t="s">
        <v>617</v>
      </c>
      <c r="P144" s="2" t="s">
        <v>41</v>
      </c>
      <c r="Q144" s="2" t="s">
        <v>30</v>
      </c>
      <c r="R144" s="2" t="s">
        <v>32</v>
      </c>
      <c r="S144" s="2" t="s">
        <v>392</v>
      </c>
      <c r="T144" s="2" t="s">
        <v>618</v>
      </c>
      <c r="U144" s="2" t="s">
        <v>3822</v>
      </c>
      <c r="V144" s="2" t="s">
        <v>3823</v>
      </c>
      <c r="W144" s="2" t="s">
        <v>3824</v>
      </c>
      <c r="X144" s="2" t="s">
        <v>3825</v>
      </c>
      <c r="Y144" s="2" t="s">
        <v>3826</v>
      </c>
      <c r="Z144" s="2" t="s">
        <v>3827</v>
      </c>
      <c r="AA144" s="2" t="s">
        <v>3828</v>
      </c>
    </row>
    <row r="145" spans="1:112" ht="34" x14ac:dyDescent="0.2">
      <c r="A145" s="7" t="s">
        <v>6153</v>
      </c>
      <c r="B145" s="2" t="s">
        <v>6357</v>
      </c>
      <c r="C145" s="2" t="s">
        <v>6357</v>
      </c>
      <c r="D145" s="1">
        <v>730</v>
      </c>
      <c r="E145" s="2" t="s">
        <v>23</v>
      </c>
      <c r="N145" s="12" t="s">
        <v>563</v>
      </c>
    </row>
    <row r="146" spans="1:112" ht="102" x14ac:dyDescent="0.2">
      <c r="A146" s="7" t="s">
        <v>6158</v>
      </c>
      <c r="B146" s="2" t="s">
        <v>6362</v>
      </c>
      <c r="C146" s="2" t="s">
        <v>6362</v>
      </c>
      <c r="D146" s="1">
        <f>2*365</f>
        <v>730</v>
      </c>
      <c r="I146" s="2" t="s">
        <v>6728</v>
      </c>
      <c r="N146" s="12" t="s">
        <v>6557</v>
      </c>
    </row>
    <row r="147" spans="1:112" ht="17" x14ac:dyDescent="0.2">
      <c r="A147" s="7" t="s">
        <v>6176</v>
      </c>
      <c r="B147" s="2" t="s">
        <v>6381</v>
      </c>
      <c r="C147" s="2" t="s">
        <v>6381</v>
      </c>
      <c r="D147" s="1">
        <v>730</v>
      </c>
      <c r="N147" s="12" t="s">
        <v>616</v>
      </c>
    </row>
    <row r="148" spans="1:112" ht="17" x14ac:dyDescent="0.2">
      <c r="A148" s="7" t="s">
        <v>6177</v>
      </c>
      <c r="B148" s="2" t="s">
        <v>6382</v>
      </c>
      <c r="C148" s="2" t="s">
        <v>6382</v>
      </c>
      <c r="D148" s="1">
        <v>730</v>
      </c>
      <c r="N148" s="12" t="s">
        <v>616</v>
      </c>
    </row>
    <row r="149" spans="1:112" ht="34" x14ac:dyDescent="0.2">
      <c r="A149" s="7" t="s">
        <v>6276</v>
      </c>
      <c r="B149" s="2" t="s">
        <v>6482</v>
      </c>
      <c r="C149" s="2" t="s">
        <v>6482</v>
      </c>
      <c r="D149" s="1">
        <f>365*2</f>
        <v>730</v>
      </c>
      <c r="E149" s="2" t="s">
        <v>6777</v>
      </c>
      <c r="N149" s="12" t="s">
        <v>6618</v>
      </c>
    </row>
    <row r="150" spans="1:112" ht="85" x14ac:dyDescent="0.2">
      <c r="A150" s="7" t="s">
        <v>5088</v>
      </c>
      <c r="B150" s="7" t="s">
        <v>5089</v>
      </c>
      <c r="C150" s="2" t="s">
        <v>5089</v>
      </c>
      <c r="D150" s="5">
        <f>365.25*1.5</f>
        <v>547.875</v>
      </c>
      <c r="E150" s="6" t="s">
        <v>23</v>
      </c>
      <c r="F150" s="6" t="s">
        <v>5090</v>
      </c>
      <c r="G150" s="6" t="s">
        <v>715</v>
      </c>
      <c r="H150" s="6" t="s">
        <v>5066</v>
      </c>
      <c r="I150" s="6" t="s">
        <v>5074</v>
      </c>
      <c r="J150" s="12" t="s">
        <v>27</v>
      </c>
      <c r="K150" s="12" t="s">
        <v>48</v>
      </c>
      <c r="L150" s="12" t="s">
        <v>691</v>
      </c>
      <c r="M150" s="12" t="s">
        <v>5060</v>
      </c>
      <c r="N150" s="12" t="s">
        <v>5085</v>
      </c>
      <c r="O150" s="12" t="s">
        <v>250</v>
      </c>
      <c r="P150" s="12" t="s">
        <v>159</v>
      </c>
      <c r="Q150" s="12" t="s">
        <v>199</v>
      </c>
      <c r="R150" s="12" t="s">
        <v>32</v>
      </c>
      <c r="S150" s="12" t="s">
        <v>33</v>
      </c>
      <c r="T150" s="12" t="s">
        <v>5086</v>
      </c>
      <c r="U150" s="12" t="s">
        <v>5087</v>
      </c>
      <c r="V150" s="12" t="s">
        <v>5087</v>
      </c>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row>
    <row r="151" spans="1:112" ht="119" x14ac:dyDescent="0.2">
      <c r="A151" s="2" t="s">
        <v>330</v>
      </c>
      <c r="B151" s="2" t="s">
        <v>331</v>
      </c>
      <c r="C151" s="2" t="s">
        <v>332</v>
      </c>
      <c r="D151" s="1">
        <f>1.5*365</f>
        <v>547.5</v>
      </c>
      <c r="E151" s="2" t="s">
        <v>23</v>
      </c>
      <c r="F151" s="2" t="s">
        <v>6886</v>
      </c>
      <c r="I151" s="2" t="s">
        <v>6704</v>
      </c>
      <c r="J151" s="2" t="s">
        <v>144</v>
      </c>
      <c r="K151" s="2" t="s">
        <v>144</v>
      </c>
      <c r="L151" s="2" t="s">
        <v>279</v>
      </c>
      <c r="M151" s="2" t="s">
        <v>280</v>
      </c>
      <c r="N151" s="2" t="s">
        <v>333</v>
      </c>
      <c r="O151" s="2" t="s">
        <v>183</v>
      </c>
      <c r="P151" s="2" t="s">
        <v>192</v>
      </c>
      <c r="Q151" s="2" t="s">
        <v>41</v>
      </c>
      <c r="R151" s="2" t="s">
        <v>32</v>
      </c>
      <c r="S151" s="2" t="s">
        <v>33</v>
      </c>
      <c r="T151" s="2" t="s">
        <v>334</v>
      </c>
      <c r="U151" s="2" t="s">
        <v>3729</v>
      </c>
      <c r="V151" s="2" t="s">
        <v>3730</v>
      </c>
      <c r="W151" s="2" t="s">
        <v>3731</v>
      </c>
    </row>
    <row r="152" spans="1:112" ht="69" customHeight="1" x14ac:dyDescent="0.2">
      <c r="A152" s="7" t="s">
        <v>5098</v>
      </c>
      <c r="B152" s="7" t="s">
        <v>5099</v>
      </c>
      <c r="C152" s="2" t="s">
        <v>5100</v>
      </c>
      <c r="D152" s="1">
        <f>1.5*365</f>
        <v>547.5</v>
      </c>
      <c r="E152" s="2" t="s">
        <v>23</v>
      </c>
      <c r="F152" s="2" t="s">
        <v>6886</v>
      </c>
      <c r="I152" s="2" t="s">
        <v>6704</v>
      </c>
      <c r="J152" s="12" t="s">
        <v>144</v>
      </c>
      <c r="K152" s="12" t="s">
        <v>144</v>
      </c>
      <c r="L152" s="12" t="s">
        <v>279</v>
      </c>
      <c r="M152" s="12" t="s">
        <v>280</v>
      </c>
      <c r="N152" s="12" t="s">
        <v>333</v>
      </c>
      <c r="O152" s="12" t="s">
        <v>183</v>
      </c>
      <c r="P152" s="12" t="s">
        <v>192</v>
      </c>
      <c r="Q152" s="12" t="s">
        <v>199</v>
      </c>
      <c r="R152" s="12" t="s">
        <v>32</v>
      </c>
      <c r="S152" s="12" t="s">
        <v>33</v>
      </c>
      <c r="T152" s="12" t="s">
        <v>334</v>
      </c>
      <c r="U152" s="12" t="s">
        <v>5101</v>
      </c>
      <c r="V152" s="12" t="s">
        <v>5101</v>
      </c>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row>
    <row r="153" spans="1:112" ht="69" customHeight="1" x14ac:dyDescent="0.2">
      <c r="A153" s="7" t="s">
        <v>5102</v>
      </c>
      <c r="B153" s="7" t="s">
        <v>5103</v>
      </c>
      <c r="C153" s="2" t="s">
        <v>5104</v>
      </c>
      <c r="D153" s="1">
        <f>1.5*365</f>
        <v>547.5</v>
      </c>
      <c r="E153" s="2" t="s">
        <v>23</v>
      </c>
      <c r="F153" s="2" t="s">
        <v>6886</v>
      </c>
      <c r="I153" s="2" t="s">
        <v>6704</v>
      </c>
      <c r="J153" s="12" t="s">
        <v>144</v>
      </c>
      <c r="K153" s="12" t="s">
        <v>144</v>
      </c>
      <c r="L153" s="12" t="s">
        <v>279</v>
      </c>
      <c r="M153" s="12" t="s">
        <v>280</v>
      </c>
      <c r="N153" s="12" t="s">
        <v>5105</v>
      </c>
      <c r="O153" s="12" t="s">
        <v>183</v>
      </c>
      <c r="P153" s="12" t="s">
        <v>257</v>
      </c>
      <c r="Q153" s="12" t="s">
        <v>41</v>
      </c>
      <c r="R153" s="12" t="s">
        <v>32</v>
      </c>
      <c r="S153" s="12" t="s">
        <v>33</v>
      </c>
      <c r="T153" s="12" t="s">
        <v>334</v>
      </c>
      <c r="U153" s="12" t="s">
        <v>5106</v>
      </c>
      <c r="V153" s="12" t="s">
        <v>5106</v>
      </c>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row>
    <row r="154" spans="1:112" ht="85" x14ac:dyDescent="0.2">
      <c r="A154" s="2" t="s">
        <v>6133</v>
      </c>
      <c r="B154" s="2" t="s">
        <v>6743</v>
      </c>
      <c r="C154" s="2" t="s">
        <v>6743</v>
      </c>
      <c r="D154" s="1">
        <f>365*1.5</f>
        <v>547.5</v>
      </c>
      <c r="E154" s="2" t="s">
        <v>23</v>
      </c>
      <c r="G154" s="2" t="s">
        <v>6738</v>
      </c>
      <c r="H154" s="2" t="s">
        <v>538</v>
      </c>
      <c r="I154" s="2" t="s">
        <v>6739</v>
      </c>
      <c r="J154" s="2" t="s">
        <v>27</v>
      </c>
      <c r="K154" s="2" t="s">
        <v>64</v>
      </c>
      <c r="L154" s="2" t="s">
        <v>1811</v>
      </c>
      <c r="M154" s="2" t="s">
        <v>1812</v>
      </c>
      <c r="N154" s="2" t="s">
        <v>1813</v>
      </c>
      <c r="O154" s="2" t="s">
        <v>68</v>
      </c>
      <c r="P154" s="2" t="s">
        <v>177</v>
      </c>
      <c r="Q154" s="2" t="s">
        <v>41</v>
      </c>
      <c r="R154" s="2" t="s">
        <v>32</v>
      </c>
      <c r="S154" s="2" t="s">
        <v>33</v>
      </c>
      <c r="T154" s="2" t="s">
        <v>1814</v>
      </c>
      <c r="U154" s="2" t="s">
        <v>4252</v>
      </c>
      <c r="V154" s="2" t="s">
        <v>4253</v>
      </c>
    </row>
    <row r="155" spans="1:112" ht="102" x14ac:dyDescent="0.2">
      <c r="A155" s="2" t="s">
        <v>694</v>
      </c>
      <c r="B155" s="2" t="s">
        <v>695</v>
      </c>
      <c r="C155" s="2" t="s">
        <v>695</v>
      </c>
      <c r="D155" s="1">
        <v>547.5</v>
      </c>
      <c r="F155" s="2" t="s">
        <v>696</v>
      </c>
      <c r="G155" s="2" t="s">
        <v>697</v>
      </c>
      <c r="H155" s="2" t="s">
        <v>698</v>
      </c>
      <c r="I155" s="2" t="s">
        <v>699</v>
      </c>
      <c r="J155" s="2" t="s">
        <v>144</v>
      </c>
      <c r="K155" s="2" t="s">
        <v>144</v>
      </c>
      <c r="L155" s="2" t="s">
        <v>700</v>
      </c>
      <c r="M155" s="2" t="s">
        <v>701</v>
      </c>
      <c r="N155" s="2" t="s">
        <v>702</v>
      </c>
      <c r="O155" s="2" t="s">
        <v>183</v>
      </c>
      <c r="P155" s="2" t="s">
        <v>703</v>
      </c>
      <c r="Q155" s="2" t="s">
        <v>41</v>
      </c>
      <c r="R155" s="2" t="s">
        <v>32</v>
      </c>
      <c r="S155" s="2" t="s">
        <v>33</v>
      </c>
      <c r="T155" s="2" t="s">
        <v>704</v>
      </c>
      <c r="U155" s="2" t="s">
        <v>3842</v>
      </c>
      <c r="V155" s="2" t="s">
        <v>3843</v>
      </c>
    </row>
    <row r="156" spans="1:112" ht="102" x14ac:dyDescent="0.2">
      <c r="A156" s="2" t="s">
        <v>705</v>
      </c>
      <c r="B156" s="2" t="s">
        <v>706</v>
      </c>
      <c r="C156" s="2" t="s">
        <v>706</v>
      </c>
      <c r="D156" s="1">
        <v>547.5</v>
      </c>
      <c r="E156" s="2" t="s">
        <v>23</v>
      </c>
      <c r="F156" s="2" t="s">
        <v>696</v>
      </c>
      <c r="G156" s="2" t="s">
        <v>697</v>
      </c>
      <c r="H156" s="2" t="s">
        <v>410</v>
      </c>
      <c r="I156" s="2" t="s">
        <v>707</v>
      </c>
      <c r="J156" s="2" t="s">
        <v>144</v>
      </c>
      <c r="K156" s="2" t="s">
        <v>144</v>
      </c>
      <c r="L156" s="2" t="s">
        <v>708</v>
      </c>
      <c r="M156" s="2" t="s">
        <v>709</v>
      </c>
      <c r="N156" s="2" t="s">
        <v>710</v>
      </c>
      <c r="O156" s="2" t="s">
        <v>183</v>
      </c>
      <c r="P156" s="2" t="s">
        <v>711</v>
      </c>
      <c r="Q156" s="2" t="s">
        <v>41</v>
      </c>
      <c r="R156" s="2" t="s">
        <v>32</v>
      </c>
      <c r="S156" s="2" t="s">
        <v>33</v>
      </c>
      <c r="T156" s="2" t="s">
        <v>704</v>
      </c>
      <c r="U156" s="2" t="s">
        <v>3844</v>
      </c>
      <c r="V156" s="2" t="s">
        <v>3845</v>
      </c>
    </row>
    <row r="157" spans="1:112" ht="92" customHeight="1" x14ac:dyDescent="0.2">
      <c r="A157" s="2" t="s">
        <v>712</v>
      </c>
      <c r="B157" s="2" t="s">
        <v>713</v>
      </c>
      <c r="C157" s="2" t="s">
        <v>713</v>
      </c>
      <c r="D157" s="1">
        <v>547.5</v>
      </c>
      <c r="E157" s="2" t="s">
        <v>23</v>
      </c>
      <c r="F157" s="2" t="s">
        <v>714</v>
      </c>
      <c r="G157" s="2" t="s">
        <v>715</v>
      </c>
      <c r="H157" s="2" t="s">
        <v>716</v>
      </c>
      <c r="I157" s="2" t="s">
        <v>717</v>
      </c>
      <c r="J157" s="2" t="s">
        <v>469</v>
      </c>
      <c r="K157" s="2" t="s">
        <v>470</v>
      </c>
      <c r="L157" s="2" t="s">
        <v>718</v>
      </c>
      <c r="M157" s="2" t="s">
        <v>719</v>
      </c>
      <c r="N157" s="2" t="s">
        <v>720</v>
      </c>
      <c r="O157" s="2" t="s">
        <v>719</v>
      </c>
      <c r="P157" s="2" t="s">
        <v>40</v>
      </c>
      <c r="Q157" s="2" t="s">
        <v>41</v>
      </c>
      <c r="R157" s="2" t="s">
        <v>32</v>
      </c>
      <c r="S157" s="2" t="s">
        <v>33</v>
      </c>
      <c r="T157" s="2" t="s">
        <v>721</v>
      </c>
      <c r="U157" s="2" t="s">
        <v>3846</v>
      </c>
      <c r="V157" s="2" t="s">
        <v>3847</v>
      </c>
      <c r="W157" s="2" t="s">
        <v>3848</v>
      </c>
      <c r="X157" s="2" t="s">
        <v>3849</v>
      </c>
      <c r="Y157" s="2" t="s">
        <v>3850</v>
      </c>
      <c r="Z157" s="2" t="s">
        <v>3851</v>
      </c>
      <c r="AA157" s="2" t="s">
        <v>3852</v>
      </c>
      <c r="AB157" s="2" t="s">
        <v>3853</v>
      </c>
      <c r="AC157" s="2" t="s">
        <v>3854</v>
      </c>
    </row>
    <row r="158" spans="1:112" ht="92" customHeight="1" x14ac:dyDescent="0.2">
      <c r="A158" s="2" t="s">
        <v>722</v>
      </c>
      <c r="B158" s="2" t="s">
        <v>723</v>
      </c>
      <c r="C158" s="2" t="s">
        <v>723</v>
      </c>
      <c r="D158" s="1">
        <v>547.5</v>
      </c>
      <c r="E158" s="2" t="s">
        <v>23</v>
      </c>
      <c r="F158" s="2" t="s">
        <v>714</v>
      </c>
      <c r="G158" s="2" t="s">
        <v>715</v>
      </c>
      <c r="H158" s="2" t="s">
        <v>716</v>
      </c>
      <c r="I158" s="2" t="s">
        <v>717</v>
      </c>
      <c r="J158" s="2" t="s">
        <v>469</v>
      </c>
      <c r="K158" s="2" t="s">
        <v>470</v>
      </c>
      <c r="L158" s="2" t="s">
        <v>718</v>
      </c>
      <c r="M158" s="2" t="s">
        <v>719</v>
      </c>
      <c r="N158" s="2" t="s">
        <v>720</v>
      </c>
      <c r="O158" s="2" t="s">
        <v>719</v>
      </c>
      <c r="P158" s="2" t="s">
        <v>40</v>
      </c>
      <c r="Q158" s="2" t="s">
        <v>199</v>
      </c>
      <c r="R158" s="2" t="s">
        <v>32</v>
      </c>
      <c r="S158" s="2" t="s">
        <v>33</v>
      </c>
      <c r="T158" s="2" t="s">
        <v>721</v>
      </c>
      <c r="U158" s="2" t="s">
        <v>3846</v>
      </c>
      <c r="V158" s="2" t="s">
        <v>3847</v>
      </c>
      <c r="W158" s="2" t="s">
        <v>3848</v>
      </c>
      <c r="X158" s="2" t="s">
        <v>3849</v>
      </c>
      <c r="Y158" s="2" t="s">
        <v>3850</v>
      </c>
      <c r="Z158" s="2" t="s">
        <v>3851</v>
      </c>
      <c r="AA158" s="2" t="s">
        <v>3852</v>
      </c>
      <c r="AB158" s="2" t="s">
        <v>3853</v>
      </c>
      <c r="AC158" s="2" t="s">
        <v>3854</v>
      </c>
    </row>
    <row r="159" spans="1:112" ht="92" customHeight="1" x14ac:dyDescent="0.2">
      <c r="A159" s="2" t="s">
        <v>724</v>
      </c>
      <c r="B159" s="2" t="s">
        <v>725</v>
      </c>
      <c r="C159" s="2" t="s">
        <v>725</v>
      </c>
      <c r="D159" s="1">
        <v>547.5</v>
      </c>
      <c r="E159" s="2" t="s">
        <v>23</v>
      </c>
      <c r="G159" s="2" t="s">
        <v>715</v>
      </c>
      <c r="H159" s="2" t="s">
        <v>664</v>
      </c>
      <c r="I159" s="2" t="s">
        <v>726</v>
      </c>
      <c r="J159" s="2" t="s">
        <v>103</v>
      </c>
      <c r="K159" s="2" t="s">
        <v>190</v>
      </c>
      <c r="L159" s="2" t="s">
        <v>727</v>
      </c>
      <c r="M159" s="2" t="s">
        <v>728</v>
      </c>
      <c r="N159" s="2" t="s">
        <v>729</v>
      </c>
      <c r="O159" s="2" t="s">
        <v>220</v>
      </c>
      <c r="P159" s="2" t="s">
        <v>30</v>
      </c>
      <c r="Q159" s="2" t="s">
        <v>41</v>
      </c>
      <c r="R159" s="2" t="s">
        <v>32</v>
      </c>
      <c r="S159" s="2" t="s">
        <v>33</v>
      </c>
      <c r="T159" s="2" t="s">
        <v>730</v>
      </c>
      <c r="U159" s="2" t="s">
        <v>3855</v>
      </c>
      <c r="V159" s="2" t="s">
        <v>3856</v>
      </c>
      <c r="W159" s="2" t="s">
        <v>3857</v>
      </c>
    </row>
    <row r="160" spans="1:112" ht="92" customHeight="1" x14ac:dyDescent="0.2">
      <c r="A160" s="2" t="s">
        <v>731</v>
      </c>
      <c r="B160" s="2" t="s">
        <v>732</v>
      </c>
      <c r="C160" s="2" t="s">
        <v>732</v>
      </c>
      <c r="D160" s="1">
        <v>547.5</v>
      </c>
      <c r="E160" s="2" t="s">
        <v>23</v>
      </c>
      <c r="G160" s="2" t="s">
        <v>715</v>
      </c>
      <c r="H160" s="2" t="s">
        <v>664</v>
      </c>
      <c r="I160" s="2" t="s">
        <v>726</v>
      </c>
      <c r="J160" s="2" t="s">
        <v>103</v>
      </c>
      <c r="K160" s="2" t="s">
        <v>190</v>
      </c>
      <c r="L160" s="2" t="s">
        <v>727</v>
      </c>
      <c r="M160" s="2" t="s">
        <v>728</v>
      </c>
      <c r="N160" s="2" t="s">
        <v>729</v>
      </c>
      <c r="O160" s="2" t="s">
        <v>220</v>
      </c>
      <c r="P160" s="2" t="s">
        <v>30</v>
      </c>
      <c r="Q160" s="2" t="s">
        <v>199</v>
      </c>
      <c r="R160" s="2" t="s">
        <v>32</v>
      </c>
      <c r="S160" s="2" t="s">
        <v>33</v>
      </c>
      <c r="T160" s="2" t="s">
        <v>730</v>
      </c>
      <c r="U160" s="2" t="s">
        <v>3855</v>
      </c>
      <c r="V160" s="2" t="s">
        <v>3856</v>
      </c>
      <c r="W160" s="2" t="s">
        <v>3857</v>
      </c>
    </row>
    <row r="161" spans="1:112" ht="92" customHeight="1" x14ac:dyDescent="0.2">
      <c r="A161" s="2" t="s">
        <v>733</v>
      </c>
      <c r="B161" s="2" t="s">
        <v>734</v>
      </c>
      <c r="C161" s="2" t="s">
        <v>734</v>
      </c>
      <c r="D161" s="1">
        <v>547.5</v>
      </c>
      <c r="E161" s="2" t="s">
        <v>23</v>
      </c>
      <c r="G161" s="2" t="s">
        <v>715</v>
      </c>
      <c r="H161" s="2" t="s">
        <v>664</v>
      </c>
      <c r="I161" s="2" t="s">
        <v>726</v>
      </c>
      <c r="J161" s="2" t="s">
        <v>103</v>
      </c>
      <c r="K161" s="2" t="s">
        <v>190</v>
      </c>
      <c r="L161" s="2" t="s">
        <v>727</v>
      </c>
      <c r="M161" s="2" t="s">
        <v>728</v>
      </c>
      <c r="N161" s="2" t="s">
        <v>735</v>
      </c>
      <c r="O161" s="2" t="s">
        <v>220</v>
      </c>
      <c r="P161" s="2" t="s">
        <v>40</v>
      </c>
      <c r="Q161" s="2" t="s">
        <v>41</v>
      </c>
      <c r="R161" s="2" t="s">
        <v>32</v>
      </c>
      <c r="S161" s="2" t="s">
        <v>33</v>
      </c>
      <c r="T161" s="2" t="s">
        <v>730</v>
      </c>
      <c r="U161" s="2" t="s">
        <v>3858</v>
      </c>
      <c r="V161" s="2" t="s">
        <v>3859</v>
      </c>
      <c r="W161" s="2" t="s">
        <v>3860</v>
      </c>
    </row>
    <row r="162" spans="1:112" ht="92" customHeight="1" x14ac:dyDescent="0.2">
      <c r="A162" s="2" t="s">
        <v>736</v>
      </c>
      <c r="B162" s="2" t="s">
        <v>737</v>
      </c>
      <c r="C162" s="2" t="s">
        <v>737</v>
      </c>
      <c r="D162" s="1">
        <v>547.5</v>
      </c>
      <c r="E162" s="2" t="s">
        <v>23</v>
      </c>
      <c r="G162" s="2" t="s">
        <v>715</v>
      </c>
      <c r="H162" s="2" t="s">
        <v>664</v>
      </c>
      <c r="I162" s="2" t="s">
        <v>726</v>
      </c>
      <c r="J162" s="2" t="s">
        <v>103</v>
      </c>
      <c r="K162" s="2" t="s">
        <v>190</v>
      </c>
      <c r="L162" s="2" t="s">
        <v>727</v>
      </c>
      <c r="M162" s="2" t="s">
        <v>728</v>
      </c>
      <c r="N162" s="2" t="s">
        <v>735</v>
      </c>
      <c r="O162" s="2" t="s">
        <v>220</v>
      </c>
      <c r="P162" s="2" t="s">
        <v>40</v>
      </c>
      <c r="Q162" s="2" t="s">
        <v>199</v>
      </c>
      <c r="R162" s="2" t="s">
        <v>32</v>
      </c>
      <c r="S162" s="2" t="s">
        <v>33</v>
      </c>
      <c r="T162" s="2" t="s">
        <v>730</v>
      </c>
      <c r="U162" s="2" t="s">
        <v>3858</v>
      </c>
      <c r="V162" s="2" t="s">
        <v>3859</v>
      </c>
      <c r="W162" s="2" t="s">
        <v>3860</v>
      </c>
    </row>
    <row r="163" spans="1:112" ht="92" customHeight="1" x14ac:dyDescent="0.2">
      <c r="A163" s="2" t="s">
        <v>748</v>
      </c>
      <c r="B163" s="2" t="s">
        <v>749</v>
      </c>
      <c r="C163" s="2" t="s">
        <v>750</v>
      </c>
      <c r="D163" s="1">
        <v>547.5</v>
      </c>
      <c r="E163" s="2" t="s">
        <v>61</v>
      </c>
      <c r="F163" s="2" t="s">
        <v>751</v>
      </c>
      <c r="G163" s="2" t="s">
        <v>742</v>
      </c>
      <c r="H163" s="2" t="s">
        <v>752</v>
      </c>
      <c r="I163" s="2" t="s">
        <v>743</v>
      </c>
      <c r="J163" s="2" t="s">
        <v>27</v>
      </c>
      <c r="K163" s="2" t="s">
        <v>64</v>
      </c>
      <c r="L163" s="2" t="s">
        <v>494</v>
      </c>
      <c r="M163" s="2" t="s">
        <v>495</v>
      </c>
      <c r="N163" s="2" t="s">
        <v>753</v>
      </c>
      <c r="O163" s="2" t="s">
        <v>183</v>
      </c>
      <c r="P163" s="2" t="s">
        <v>40</v>
      </c>
      <c r="Q163" s="2" t="s">
        <v>41</v>
      </c>
      <c r="R163" s="2" t="s">
        <v>32</v>
      </c>
      <c r="S163" s="2" t="s">
        <v>33</v>
      </c>
      <c r="T163" s="2" t="s">
        <v>754</v>
      </c>
      <c r="U163" s="2" t="s">
        <v>755</v>
      </c>
    </row>
    <row r="164" spans="1:112" ht="92" customHeight="1" x14ac:dyDescent="0.2">
      <c r="A164" s="2" t="s">
        <v>756</v>
      </c>
      <c r="B164" s="2" t="s">
        <v>757</v>
      </c>
      <c r="C164" s="2" t="s">
        <v>758</v>
      </c>
      <c r="D164" s="1">
        <v>547.5</v>
      </c>
      <c r="E164" s="2" t="s">
        <v>61</v>
      </c>
      <c r="F164" s="2" t="s">
        <v>759</v>
      </c>
      <c r="G164" s="2" t="s">
        <v>742</v>
      </c>
      <c r="H164" s="2" t="s">
        <v>752</v>
      </c>
      <c r="I164" s="2" t="s">
        <v>743</v>
      </c>
      <c r="J164" s="2" t="s">
        <v>27</v>
      </c>
      <c r="K164" s="2" t="s">
        <v>64</v>
      </c>
      <c r="L164" s="2" t="s">
        <v>494</v>
      </c>
      <c r="M164" s="2" t="s">
        <v>495</v>
      </c>
      <c r="N164" s="2" t="s">
        <v>753</v>
      </c>
      <c r="O164" s="2" t="s">
        <v>183</v>
      </c>
      <c r="P164" s="2" t="s">
        <v>40</v>
      </c>
      <c r="Q164" s="2" t="s">
        <v>199</v>
      </c>
      <c r="R164" s="2" t="s">
        <v>32</v>
      </c>
      <c r="S164" s="2" t="s">
        <v>33</v>
      </c>
      <c r="T164" s="2" t="s">
        <v>754</v>
      </c>
      <c r="U164" s="2" t="s">
        <v>755</v>
      </c>
    </row>
    <row r="165" spans="1:112" ht="119" x14ac:dyDescent="0.2">
      <c r="A165" s="2" t="s">
        <v>760</v>
      </c>
      <c r="B165" s="2" t="s">
        <v>761</v>
      </c>
      <c r="C165" s="2" t="s">
        <v>761</v>
      </c>
      <c r="D165" s="1">
        <v>547.5</v>
      </c>
      <c r="E165" s="2" t="s">
        <v>23</v>
      </c>
      <c r="G165" s="2" t="s">
        <v>715</v>
      </c>
      <c r="H165" s="2" t="s">
        <v>25</v>
      </c>
      <c r="I165" s="2" t="s">
        <v>762</v>
      </c>
      <c r="J165" s="2" t="s">
        <v>763</v>
      </c>
      <c r="K165" s="2" t="s">
        <v>764</v>
      </c>
      <c r="L165" s="2" t="s">
        <v>764</v>
      </c>
      <c r="M165" s="2" t="s">
        <v>765</v>
      </c>
      <c r="N165" s="2" t="s">
        <v>766</v>
      </c>
      <c r="O165" s="2" t="s">
        <v>767</v>
      </c>
      <c r="P165" s="2" t="s">
        <v>94</v>
      </c>
      <c r="Q165" s="2" t="s">
        <v>41</v>
      </c>
      <c r="R165" s="2" t="s">
        <v>32</v>
      </c>
      <c r="S165" s="2" t="s">
        <v>33</v>
      </c>
      <c r="T165" s="2" t="s">
        <v>768</v>
      </c>
      <c r="U165" s="2" t="s">
        <v>3862</v>
      </c>
      <c r="V165" s="2" t="s">
        <v>3863</v>
      </c>
    </row>
    <row r="166" spans="1:112" ht="119" x14ac:dyDescent="0.2">
      <c r="A166" s="2" t="s">
        <v>769</v>
      </c>
      <c r="B166" s="2" t="s">
        <v>770</v>
      </c>
      <c r="C166" s="2" t="s">
        <v>770</v>
      </c>
      <c r="D166" s="1">
        <v>547.5</v>
      </c>
      <c r="E166" s="2" t="s">
        <v>23</v>
      </c>
      <c r="G166" s="2" t="s">
        <v>715</v>
      </c>
      <c r="H166" s="2" t="s">
        <v>25</v>
      </c>
      <c r="I166" s="2" t="s">
        <v>762</v>
      </c>
      <c r="J166" s="2" t="s">
        <v>763</v>
      </c>
      <c r="K166" s="2" t="s">
        <v>764</v>
      </c>
      <c r="L166" s="2" t="s">
        <v>764</v>
      </c>
      <c r="M166" s="2" t="s">
        <v>765</v>
      </c>
      <c r="N166" s="2" t="s">
        <v>771</v>
      </c>
      <c r="O166" s="2" t="s">
        <v>767</v>
      </c>
      <c r="P166" s="2" t="s">
        <v>159</v>
      </c>
      <c r="Q166" s="2" t="s">
        <v>41</v>
      </c>
      <c r="R166" s="2" t="s">
        <v>32</v>
      </c>
      <c r="S166" s="2" t="s">
        <v>33</v>
      </c>
      <c r="T166" s="2" t="s">
        <v>768</v>
      </c>
      <c r="U166" s="2" t="s">
        <v>3864</v>
      </c>
      <c r="V166" s="2" t="s">
        <v>3865</v>
      </c>
    </row>
    <row r="167" spans="1:112" ht="119" x14ac:dyDescent="0.2">
      <c r="A167" s="2" t="s">
        <v>772</v>
      </c>
      <c r="B167" s="2" t="s">
        <v>773</v>
      </c>
      <c r="C167" s="2" t="s">
        <v>773</v>
      </c>
      <c r="D167" s="1">
        <v>547.5</v>
      </c>
      <c r="E167" s="2" t="s">
        <v>23</v>
      </c>
      <c r="G167" s="2" t="s">
        <v>715</v>
      </c>
      <c r="H167" s="2" t="s">
        <v>25</v>
      </c>
      <c r="I167" s="2" t="s">
        <v>762</v>
      </c>
      <c r="J167" s="2" t="s">
        <v>763</v>
      </c>
      <c r="K167" s="2" t="s">
        <v>764</v>
      </c>
      <c r="L167" s="2" t="s">
        <v>764</v>
      </c>
      <c r="M167" s="2" t="s">
        <v>765</v>
      </c>
      <c r="N167" s="2" t="s">
        <v>774</v>
      </c>
      <c r="O167" s="2" t="s">
        <v>767</v>
      </c>
      <c r="P167" s="2" t="s">
        <v>229</v>
      </c>
      <c r="Q167" s="2" t="s">
        <v>41</v>
      </c>
      <c r="R167" s="2" t="s">
        <v>32</v>
      </c>
      <c r="S167" s="2" t="s">
        <v>33</v>
      </c>
      <c r="T167" s="2" t="s">
        <v>768</v>
      </c>
      <c r="U167" s="2" t="s">
        <v>3866</v>
      </c>
      <c r="V167" s="2" t="s">
        <v>3867</v>
      </c>
    </row>
    <row r="168" spans="1:112" ht="119" x14ac:dyDescent="0.2">
      <c r="A168" s="7" t="s">
        <v>5548</v>
      </c>
      <c r="B168" s="7" t="s">
        <v>5549</v>
      </c>
      <c r="C168" s="2" t="s">
        <v>5549</v>
      </c>
      <c r="D168" s="1">
        <v>547.5</v>
      </c>
      <c r="E168" s="2" t="s">
        <v>23</v>
      </c>
      <c r="G168" s="2" t="s">
        <v>715</v>
      </c>
      <c r="H168" s="2" t="s">
        <v>25</v>
      </c>
      <c r="I168" s="2" t="s">
        <v>762</v>
      </c>
      <c r="J168" s="12" t="s">
        <v>763</v>
      </c>
      <c r="K168" s="12" t="s">
        <v>764</v>
      </c>
      <c r="L168" s="12" t="s">
        <v>764</v>
      </c>
      <c r="M168" s="12" t="s">
        <v>765</v>
      </c>
      <c r="N168" s="12" t="s">
        <v>774</v>
      </c>
      <c r="O168" s="12" t="s">
        <v>767</v>
      </c>
      <c r="P168" s="12" t="s">
        <v>229</v>
      </c>
      <c r="Q168" s="12" t="s">
        <v>199</v>
      </c>
      <c r="R168" s="12" t="s">
        <v>32</v>
      </c>
      <c r="S168" s="12" t="s">
        <v>33</v>
      </c>
      <c r="T168" s="12" t="s">
        <v>768</v>
      </c>
      <c r="U168" s="12" t="s">
        <v>5550</v>
      </c>
      <c r="V168" s="12" t="s">
        <v>5550</v>
      </c>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row>
    <row r="169" spans="1:112" ht="119" x14ac:dyDescent="0.2">
      <c r="A169" s="2" t="s">
        <v>775</v>
      </c>
      <c r="B169" s="2" t="s">
        <v>776</v>
      </c>
      <c r="C169" s="2" t="s">
        <v>776</v>
      </c>
      <c r="D169" s="1">
        <v>547.5</v>
      </c>
      <c r="E169" s="2" t="s">
        <v>23</v>
      </c>
      <c r="G169" s="2" t="s">
        <v>715</v>
      </c>
      <c r="H169" s="2" t="s">
        <v>25</v>
      </c>
      <c r="I169" s="2" t="s">
        <v>762</v>
      </c>
      <c r="J169" s="2" t="s">
        <v>763</v>
      </c>
      <c r="K169" s="2" t="s">
        <v>764</v>
      </c>
      <c r="L169" s="2" t="s">
        <v>764</v>
      </c>
      <c r="M169" s="2" t="s">
        <v>765</v>
      </c>
      <c r="N169" s="2" t="s">
        <v>777</v>
      </c>
      <c r="O169" s="2" t="s">
        <v>767</v>
      </c>
      <c r="P169" s="2" t="s">
        <v>194</v>
      </c>
      <c r="Q169" s="2" t="s">
        <v>41</v>
      </c>
      <c r="R169" s="2" t="s">
        <v>32</v>
      </c>
      <c r="S169" s="2" t="s">
        <v>33</v>
      </c>
      <c r="T169" s="2" t="s">
        <v>768</v>
      </c>
      <c r="U169" s="2" t="s">
        <v>3868</v>
      </c>
      <c r="V169" s="2" t="s">
        <v>3869</v>
      </c>
    </row>
    <row r="170" spans="1:112" ht="119" x14ac:dyDescent="0.2">
      <c r="A170" s="2" t="s">
        <v>778</v>
      </c>
      <c r="B170" s="2" t="s">
        <v>779</v>
      </c>
      <c r="C170" s="2" t="s">
        <v>779</v>
      </c>
      <c r="D170" s="1">
        <v>547.5</v>
      </c>
      <c r="E170" s="2" t="s">
        <v>23</v>
      </c>
      <c r="G170" s="2" t="s">
        <v>715</v>
      </c>
      <c r="H170" s="2" t="s">
        <v>25</v>
      </c>
      <c r="I170" s="2" t="s">
        <v>762</v>
      </c>
      <c r="J170" s="2" t="s">
        <v>763</v>
      </c>
      <c r="K170" s="2" t="s">
        <v>764</v>
      </c>
      <c r="L170" s="2" t="s">
        <v>764</v>
      </c>
      <c r="M170" s="2" t="s">
        <v>765</v>
      </c>
      <c r="N170" s="2" t="s">
        <v>780</v>
      </c>
      <c r="O170" s="2" t="s">
        <v>767</v>
      </c>
      <c r="P170" s="2" t="s">
        <v>108</v>
      </c>
      <c r="Q170" s="2" t="s">
        <v>41</v>
      </c>
      <c r="R170" s="2" t="s">
        <v>32</v>
      </c>
      <c r="S170" s="2" t="s">
        <v>33</v>
      </c>
      <c r="T170" s="2" t="s">
        <v>768</v>
      </c>
      <c r="U170" s="2" t="s">
        <v>3870</v>
      </c>
      <c r="V170" s="2" t="s">
        <v>3871</v>
      </c>
      <c r="W170" s="2" t="s">
        <v>3872</v>
      </c>
    </row>
    <row r="171" spans="1:112" ht="119" x14ac:dyDescent="0.2">
      <c r="A171" s="2" t="s">
        <v>781</v>
      </c>
      <c r="B171" s="2" t="s">
        <v>782</v>
      </c>
      <c r="C171" s="2" t="s">
        <v>782</v>
      </c>
      <c r="D171" s="1">
        <v>547.5</v>
      </c>
      <c r="E171" s="2" t="s">
        <v>23</v>
      </c>
      <c r="G171" s="2" t="s">
        <v>715</v>
      </c>
      <c r="H171" s="2" t="s">
        <v>25</v>
      </c>
      <c r="I171" s="2" t="s">
        <v>762</v>
      </c>
      <c r="J171" s="2" t="s">
        <v>763</v>
      </c>
      <c r="K171" s="2" t="s">
        <v>764</v>
      </c>
      <c r="L171" s="2" t="s">
        <v>764</v>
      </c>
      <c r="M171" s="2" t="s">
        <v>765</v>
      </c>
      <c r="N171" s="2" t="s">
        <v>783</v>
      </c>
      <c r="O171" s="2" t="s">
        <v>767</v>
      </c>
      <c r="P171" s="2" t="s">
        <v>227</v>
      </c>
      <c r="Q171" s="2" t="s">
        <v>41</v>
      </c>
      <c r="R171" s="2" t="s">
        <v>32</v>
      </c>
      <c r="S171" s="2" t="s">
        <v>33</v>
      </c>
      <c r="T171" s="2" t="s">
        <v>784</v>
      </c>
      <c r="U171" s="2" t="s">
        <v>3873</v>
      </c>
      <c r="V171" s="2" t="s">
        <v>3874</v>
      </c>
      <c r="W171" s="2" t="s">
        <v>3875</v>
      </c>
      <c r="X171" s="2" t="s">
        <v>3876</v>
      </c>
      <c r="Y171" s="2" t="s">
        <v>3877</v>
      </c>
      <c r="Z171" s="2" t="s">
        <v>3878</v>
      </c>
      <c r="AA171" s="2" t="s">
        <v>3879</v>
      </c>
      <c r="AB171" s="2" t="s">
        <v>3880</v>
      </c>
      <c r="AC171" s="2" t="s">
        <v>3881</v>
      </c>
      <c r="AD171" s="2" t="s">
        <v>3882</v>
      </c>
      <c r="AE171" s="2" t="s">
        <v>3883</v>
      </c>
      <c r="AF171" s="2" t="s">
        <v>3884</v>
      </c>
      <c r="AG171" s="2" t="s">
        <v>3885</v>
      </c>
    </row>
    <row r="172" spans="1:112" ht="119" x14ac:dyDescent="0.2">
      <c r="A172" s="2" t="s">
        <v>785</v>
      </c>
      <c r="B172" s="2" t="s">
        <v>786</v>
      </c>
      <c r="C172" s="2" t="s">
        <v>786</v>
      </c>
      <c r="D172" s="1">
        <v>547.5</v>
      </c>
      <c r="E172" s="2" t="s">
        <v>23</v>
      </c>
      <c r="G172" s="2" t="s">
        <v>715</v>
      </c>
      <c r="H172" s="2" t="s">
        <v>25</v>
      </c>
      <c r="I172" s="2" t="s">
        <v>762</v>
      </c>
      <c r="J172" s="2" t="s">
        <v>763</v>
      </c>
      <c r="K172" s="2" t="s">
        <v>764</v>
      </c>
      <c r="L172" s="2" t="s">
        <v>764</v>
      </c>
      <c r="M172" s="2" t="s">
        <v>765</v>
      </c>
      <c r="N172" s="2" t="s">
        <v>787</v>
      </c>
      <c r="O172" s="2" t="s">
        <v>767</v>
      </c>
      <c r="P172" s="2" t="s">
        <v>339</v>
      </c>
      <c r="Q172" s="2" t="s">
        <v>41</v>
      </c>
      <c r="R172" s="2" t="s">
        <v>32</v>
      </c>
      <c r="S172" s="2" t="s">
        <v>33</v>
      </c>
      <c r="T172" s="2" t="s">
        <v>768</v>
      </c>
      <c r="U172" s="2" t="s">
        <v>3886</v>
      </c>
      <c r="V172" s="2" t="s">
        <v>3887</v>
      </c>
      <c r="W172" s="2" t="s">
        <v>3888</v>
      </c>
      <c r="X172" s="2" t="s">
        <v>3889</v>
      </c>
    </row>
    <row r="173" spans="1:112" ht="119" x14ac:dyDescent="0.2">
      <c r="A173" s="7" t="s">
        <v>5558</v>
      </c>
      <c r="B173" s="7" t="s">
        <v>5559</v>
      </c>
      <c r="C173" s="2" t="s">
        <v>5559</v>
      </c>
      <c r="D173" s="1">
        <v>547.5</v>
      </c>
      <c r="E173" s="2" t="s">
        <v>23</v>
      </c>
      <c r="G173" s="2" t="s">
        <v>715</v>
      </c>
      <c r="H173" s="2" t="s">
        <v>25</v>
      </c>
      <c r="I173" s="2" t="s">
        <v>762</v>
      </c>
      <c r="J173" s="12" t="s">
        <v>763</v>
      </c>
      <c r="K173" s="12" t="s">
        <v>764</v>
      </c>
      <c r="L173" s="12" t="s">
        <v>764</v>
      </c>
      <c r="M173" s="12" t="s">
        <v>765</v>
      </c>
      <c r="N173" s="12" t="s">
        <v>5560</v>
      </c>
      <c r="O173" s="12" t="s">
        <v>767</v>
      </c>
      <c r="P173" s="12" t="s">
        <v>52</v>
      </c>
      <c r="Q173" s="12" t="s">
        <v>41</v>
      </c>
      <c r="R173" s="12" t="s">
        <v>32</v>
      </c>
      <c r="S173" s="12" t="s">
        <v>33</v>
      </c>
      <c r="T173" s="12" t="s">
        <v>5546</v>
      </c>
      <c r="U173" s="12" t="s">
        <v>5561</v>
      </c>
      <c r="V173" s="12" t="s">
        <v>5561</v>
      </c>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row>
    <row r="174" spans="1:112" ht="102" x14ac:dyDescent="0.2">
      <c r="A174" s="2" t="s">
        <v>788</v>
      </c>
      <c r="B174" s="2" t="s">
        <v>789</v>
      </c>
      <c r="C174" s="2" t="s">
        <v>789</v>
      </c>
      <c r="D174" s="1">
        <v>547.5</v>
      </c>
      <c r="E174" s="2" t="s">
        <v>23</v>
      </c>
      <c r="G174" s="2" t="s">
        <v>715</v>
      </c>
      <c r="H174" s="2" t="s">
        <v>25</v>
      </c>
      <c r="I174" s="2" t="s">
        <v>790</v>
      </c>
      <c r="J174" s="2" t="s">
        <v>763</v>
      </c>
      <c r="K174" s="2" t="s">
        <v>764</v>
      </c>
      <c r="L174" s="2" t="s">
        <v>764</v>
      </c>
      <c r="M174" s="2" t="s">
        <v>765</v>
      </c>
      <c r="N174" s="2" t="s">
        <v>791</v>
      </c>
      <c r="O174" s="2" t="s">
        <v>767</v>
      </c>
      <c r="P174" s="2" t="s">
        <v>792</v>
      </c>
      <c r="Q174" s="2" t="s">
        <v>41</v>
      </c>
      <c r="R174" s="2" t="s">
        <v>32</v>
      </c>
      <c r="S174" s="2" t="s">
        <v>33</v>
      </c>
      <c r="T174" s="2" t="s">
        <v>793</v>
      </c>
      <c r="U174" s="2" t="s">
        <v>3890</v>
      </c>
      <c r="V174" s="2" t="s">
        <v>3891</v>
      </c>
      <c r="W174" s="2" t="s">
        <v>3892</v>
      </c>
      <c r="X174" s="2" t="s">
        <v>3893</v>
      </c>
      <c r="Y174" s="2" t="s">
        <v>3894</v>
      </c>
      <c r="Z174" s="2" t="s">
        <v>3895</v>
      </c>
    </row>
    <row r="175" spans="1:112" ht="102" x14ac:dyDescent="0.2">
      <c r="A175" s="2" t="s">
        <v>794</v>
      </c>
      <c r="B175" s="2" t="s">
        <v>795</v>
      </c>
      <c r="C175" s="2" t="s">
        <v>795</v>
      </c>
      <c r="D175" s="1">
        <v>547.5</v>
      </c>
      <c r="E175" s="2" t="s">
        <v>23</v>
      </c>
      <c r="G175" s="2" t="s">
        <v>715</v>
      </c>
      <c r="H175" s="2" t="s">
        <v>25</v>
      </c>
      <c r="I175" s="2" t="s">
        <v>790</v>
      </c>
      <c r="J175" s="2" t="s">
        <v>763</v>
      </c>
      <c r="K175" s="2" t="s">
        <v>764</v>
      </c>
      <c r="L175" s="2" t="s">
        <v>764</v>
      </c>
      <c r="M175" s="2" t="s">
        <v>765</v>
      </c>
      <c r="N175" s="2" t="s">
        <v>796</v>
      </c>
      <c r="O175" s="2" t="s">
        <v>767</v>
      </c>
      <c r="P175" s="2" t="s">
        <v>629</v>
      </c>
      <c r="Q175" s="2" t="s">
        <v>41</v>
      </c>
      <c r="R175" s="2" t="s">
        <v>32</v>
      </c>
      <c r="S175" s="2" t="s">
        <v>33</v>
      </c>
      <c r="T175" s="2" t="s">
        <v>793</v>
      </c>
      <c r="U175" s="2" t="s">
        <v>3896</v>
      </c>
      <c r="V175" s="2" t="s">
        <v>3897</v>
      </c>
      <c r="W175" s="2" t="s">
        <v>3898</v>
      </c>
      <c r="X175" s="2" t="s">
        <v>3899</v>
      </c>
      <c r="Y175" s="2" t="s">
        <v>3900</v>
      </c>
      <c r="Z175" s="2" t="s">
        <v>3901</v>
      </c>
      <c r="AA175" s="2" t="s">
        <v>3902</v>
      </c>
    </row>
    <row r="176" spans="1:112" ht="102" x14ac:dyDescent="0.2">
      <c r="A176" s="2" t="s">
        <v>797</v>
      </c>
      <c r="B176" s="2" t="s">
        <v>798</v>
      </c>
      <c r="C176" s="2" t="s">
        <v>798</v>
      </c>
      <c r="D176" s="1">
        <v>547.5</v>
      </c>
      <c r="E176" s="2" t="s">
        <v>23</v>
      </c>
      <c r="G176" s="2" t="s">
        <v>715</v>
      </c>
      <c r="H176" s="2" t="s">
        <v>25</v>
      </c>
      <c r="I176" s="2" t="s">
        <v>790</v>
      </c>
      <c r="J176" s="2" t="s">
        <v>763</v>
      </c>
      <c r="K176" s="2" t="s">
        <v>764</v>
      </c>
      <c r="L176" s="2" t="s">
        <v>764</v>
      </c>
      <c r="M176" s="2" t="s">
        <v>765</v>
      </c>
      <c r="N176" s="2" t="s">
        <v>796</v>
      </c>
      <c r="O176" s="2" t="s">
        <v>767</v>
      </c>
      <c r="P176" s="2" t="s">
        <v>629</v>
      </c>
      <c r="Q176" s="2" t="s">
        <v>199</v>
      </c>
      <c r="R176" s="2" t="s">
        <v>32</v>
      </c>
      <c r="S176" s="2" t="s">
        <v>33</v>
      </c>
      <c r="T176" s="2" t="s">
        <v>793</v>
      </c>
      <c r="U176" s="2" t="s">
        <v>3896</v>
      </c>
      <c r="V176" s="2" t="s">
        <v>3897</v>
      </c>
      <c r="W176" s="2" t="s">
        <v>3898</v>
      </c>
      <c r="X176" s="2" t="s">
        <v>3899</v>
      </c>
      <c r="Y176" s="2" t="s">
        <v>3900</v>
      </c>
      <c r="Z176" s="2" t="s">
        <v>3901</v>
      </c>
      <c r="AA176" s="2" t="s">
        <v>3902</v>
      </c>
    </row>
    <row r="177" spans="1:112" ht="102" x14ac:dyDescent="0.2">
      <c r="A177" s="2" t="s">
        <v>799</v>
      </c>
      <c r="B177" s="2" t="s">
        <v>800</v>
      </c>
      <c r="C177" s="2" t="s">
        <v>800</v>
      </c>
      <c r="D177" s="1">
        <v>547.5</v>
      </c>
      <c r="E177" s="2" t="s">
        <v>23</v>
      </c>
      <c r="G177" s="2" t="s">
        <v>715</v>
      </c>
      <c r="H177" s="2" t="s">
        <v>25</v>
      </c>
      <c r="I177" s="2" t="s">
        <v>790</v>
      </c>
      <c r="J177" s="2" t="s">
        <v>763</v>
      </c>
      <c r="K177" s="2" t="s">
        <v>764</v>
      </c>
      <c r="L177" s="2" t="s">
        <v>764</v>
      </c>
      <c r="M177" s="2" t="s">
        <v>765</v>
      </c>
      <c r="N177" s="2" t="s">
        <v>801</v>
      </c>
      <c r="O177" s="2" t="s">
        <v>767</v>
      </c>
      <c r="P177" s="2" t="s">
        <v>802</v>
      </c>
      <c r="Q177" s="2" t="s">
        <v>41</v>
      </c>
      <c r="R177" s="2" t="s">
        <v>32</v>
      </c>
      <c r="S177" s="2" t="s">
        <v>33</v>
      </c>
      <c r="T177" s="2" t="s">
        <v>793</v>
      </c>
      <c r="U177" s="2" t="s">
        <v>3903</v>
      </c>
      <c r="V177" s="2" t="s">
        <v>3904</v>
      </c>
      <c r="W177" s="2" t="s">
        <v>3905</v>
      </c>
      <c r="X177" s="2" t="s">
        <v>3906</v>
      </c>
      <c r="Y177" s="2" t="s">
        <v>3907</v>
      </c>
    </row>
    <row r="178" spans="1:112" ht="102" x14ac:dyDescent="0.2">
      <c r="A178" s="2" t="s">
        <v>803</v>
      </c>
      <c r="B178" s="2" t="s">
        <v>804</v>
      </c>
      <c r="C178" s="2" t="s">
        <v>804</v>
      </c>
      <c r="D178" s="1">
        <v>547.5</v>
      </c>
      <c r="E178" s="2" t="s">
        <v>23</v>
      </c>
      <c r="G178" s="2" t="s">
        <v>715</v>
      </c>
      <c r="H178" s="2" t="s">
        <v>25</v>
      </c>
      <c r="I178" s="2" t="s">
        <v>790</v>
      </c>
      <c r="J178" s="2" t="s">
        <v>763</v>
      </c>
      <c r="K178" s="2" t="s">
        <v>764</v>
      </c>
      <c r="L178" s="2" t="s">
        <v>764</v>
      </c>
      <c r="M178" s="2" t="s">
        <v>765</v>
      </c>
      <c r="N178" s="2" t="s">
        <v>805</v>
      </c>
      <c r="O178" s="2" t="s">
        <v>767</v>
      </c>
      <c r="P178" s="2" t="s">
        <v>806</v>
      </c>
      <c r="Q178" s="2" t="s">
        <v>41</v>
      </c>
      <c r="R178" s="2" t="s">
        <v>32</v>
      </c>
      <c r="S178" s="2" t="s">
        <v>33</v>
      </c>
      <c r="T178" s="2" t="s">
        <v>793</v>
      </c>
      <c r="U178" s="2" t="s">
        <v>3908</v>
      </c>
      <c r="V178" s="2" t="s">
        <v>3909</v>
      </c>
      <c r="W178" s="2" t="s">
        <v>3910</v>
      </c>
      <c r="X178" s="2" t="s">
        <v>3911</v>
      </c>
      <c r="Y178" s="2" t="s">
        <v>3912</v>
      </c>
      <c r="Z178" s="2" t="s">
        <v>3913</v>
      </c>
    </row>
    <row r="179" spans="1:112" ht="136" x14ac:dyDescent="0.2">
      <c r="A179" s="2" t="s">
        <v>807</v>
      </c>
      <c r="B179" s="2" t="s">
        <v>808</v>
      </c>
      <c r="C179" s="2" t="s">
        <v>808</v>
      </c>
      <c r="D179" s="1">
        <v>547.5</v>
      </c>
      <c r="E179" s="2" t="s">
        <v>23</v>
      </c>
      <c r="G179" s="2" t="s">
        <v>715</v>
      </c>
      <c r="H179" s="2" t="s">
        <v>25</v>
      </c>
      <c r="I179" s="2" t="s">
        <v>6803</v>
      </c>
      <c r="J179" s="2" t="s">
        <v>763</v>
      </c>
      <c r="K179" s="2" t="s">
        <v>764</v>
      </c>
      <c r="L179" s="2" t="s">
        <v>764</v>
      </c>
      <c r="M179" s="2" t="s">
        <v>765</v>
      </c>
      <c r="N179" s="2" t="s">
        <v>809</v>
      </c>
      <c r="O179" s="2" t="s">
        <v>767</v>
      </c>
      <c r="P179" s="2" t="s">
        <v>810</v>
      </c>
      <c r="Q179" s="2" t="s">
        <v>41</v>
      </c>
      <c r="R179" s="2" t="s">
        <v>32</v>
      </c>
      <c r="S179" s="2" t="s">
        <v>33</v>
      </c>
      <c r="T179" s="2" t="s">
        <v>793</v>
      </c>
      <c r="U179" s="2" t="s">
        <v>3914</v>
      </c>
      <c r="V179" s="2" t="s">
        <v>3915</v>
      </c>
      <c r="W179" s="2" t="s">
        <v>3916</v>
      </c>
      <c r="X179" s="2" t="s">
        <v>3917</v>
      </c>
      <c r="Y179" s="2" t="s">
        <v>3918</v>
      </c>
      <c r="Z179" s="2" t="s">
        <v>3919</v>
      </c>
    </row>
    <row r="180" spans="1:112" ht="136" x14ac:dyDescent="0.2">
      <c r="A180" s="7" t="s">
        <v>5562</v>
      </c>
      <c r="B180" s="7" t="s">
        <v>5563</v>
      </c>
      <c r="C180" s="2" t="s">
        <v>5563</v>
      </c>
      <c r="D180" s="1">
        <v>547.5</v>
      </c>
      <c r="E180" s="2" t="s">
        <v>23</v>
      </c>
      <c r="G180" s="2" t="s">
        <v>715</v>
      </c>
      <c r="H180" s="2" t="s">
        <v>25</v>
      </c>
      <c r="I180" s="2" t="s">
        <v>6803</v>
      </c>
      <c r="J180" s="12" t="s">
        <v>763</v>
      </c>
      <c r="K180" s="12" t="s">
        <v>764</v>
      </c>
      <c r="L180" s="12" t="s">
        <v>764</v>
      </c>
      <c r="M180" s="12" t="s">
        <v>765</v>
      </c>
      <c r="N180" s="12" t="s">
        <v>809</v>
      </c>
      <c r="O180" s="12" t="s">
        <v>767</v>
      </c>
      <c r="P180" s="12" t="s">
        <v>810</v>
      </c>
      <c r="Q180" s="12" t="s">
        <v>199</v>
      </c>
      <c r="R180" s="12" t="s">
        <v>32</v>
      </c>
      <c r="S180" s="12" t="s">
        <v>33</v>
      </c>
      <c r="T180" s="12" t="s">
        <v>793</v>
      </c>
      <c r="U180" s="12" t="s">
        <v>5564</v>
      </c>
      <c r="V180" s="12" t="s">
        <v>5564</v>
      </c>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row>
    <row r="181" spans="1:112" ht="102" x14ac:dyDescent="0.2">
      <c r="A181" s="2" t="s">
        <v>811</v>
      </c>
      <c r="B181" s="2" t="s">
        <v>812</v>
      </c>
      <c r="C181" s="2" t="s">
        <v>812</v>
      </c>
      <c r="D181" s="1">
        <v>547.5</v>
      </c>
      <c r="E181" s="2" t="s">
        <v>23</v>
      </c>
      <c r="G181" s="2" t="s">
        <v>715</v>
      </c>
      <c r="H181" s="2" t="s">
        <v>25</v>
      </c>
      <c r="I181" s="2" t="s">
        <v>790</v>
      </c>
      <c r="J181" s="2" t="s">
        <v>763</v>
      </c>
      <c r="K181" s="2" t="s">
        <v>764</v>
      </c>
      <c r="L181" s="2" t="s">
        <v>764</v>
      </c>
      <c r="M181" s="2" t="s">
        <v>765</v>
      </c>
      <c r="N181" s="2" t="s">
        <v>813</v>
      </c>
      <c r="O181" s="2" t="s">
        <v>767</v>
      </c>
      <c r="P181" s="2" t="s">
        <v>814</v>
      </c>
      <c r="Q181" s="2" t="s">
        <v>41</v>
      </c>
      <c r="R181" s="2" t="s">
        <v>32</v>
      </c>
      <c r="S181" s="2" t="s">
        <v>33</v>
      </c>
      <c r="T181" s="2" t="s">
        <v>815</v>
      </c>
      <c r="U181" s="2" t="s">
        <v>3920</v>
      </c>
      <c r="V181" s="2" t="s">
        <v>3921</v>
      </c>
    </row>
    <row r="182" spans="1:112" ht="102" x14ac:dyDescent="0.2">
      <c r="A182" s="2" t="s">
        <v>816</v>
      </c>
      <c r="B182" s="2" t="s">
        <v>817</v>
      </c>
      <c r="C182" s="2" t="s">
        <v>817</v>
      </c>
      <c r="D182" s="1">
        <v>547.5</v>
      </c>
      <c r="E182" s="2" t="s">
        <v>23</v>
      </c>
      <c r="G182" s="2" t="s">
        <v>715</v>
      </c>
      <c r="H182" s="2" t="s">
        <v>25</v>
      </c>
      <c r="I182" s="2" t="s">
        <v>790</v>
      </c>
      <c r="J182" s="2" t="s">
        <v>763</v>
      </c>
      <c r="K182" s="2" t="s">
        <v>764</v>
      </c>
      <c r="L182" s="2" t="s">
        <v>764</v>
      </c>
      <c r="M182" s="2" t="s">
        <v>765</v>
      </c>
      <c r="N182" s="2" t="s">
        <v>818</v>
      </c>
      <c r="O182" s="2" t="s">
        <v>767</v>
      </c>
      <c r="P182" s="2" t="s">
        <v>819</v>
      </c>
      <c r="Q182" s="2" t="s">
        <v>41</v>
      </c>
      <c r="R182" s="2" t="s">
        <v>32</v>
      </c>
      <c r="S182" s="2" t="s">
        <v>33</v>
      </c>
      <c r="T182" s="2" t="s">
        <v>815</v>
      </c>
      <c r="U182" s="2" t="s">
        <v>3922</v>
      </c>
      <c r="V182" s="2" t="s">
        <v>3923</v>
      </c>
    </row>
    <row r="183" spans="1:112" ht="92" customHeight="1" x14ac:dyDescent="0.2">
      <c r="A183" s="2" t="s">
        <v>820</v>
      </c>
      <c r="B183" s="2" t="s">
        <v>821</v>
      </c>
      <c r="C183" s="2" t="s">
        <v>821</v>
      </c>
      <c r="D183" s="1">
        <v>547.5</v>
      </c>
      <c r="E183" s="2" t="s">
        <v>23</v>
      </c>
      <c r="G183" s="2" t="s">
        <v>715</v>
      </c>
      <c r="H183" s="2" t="s">
        <v>25</v>
      </c>
      <c r="I183" s="2" t="s">
        <v>790</v>
      </c>
      <c r="J183" s="2" t="s">
        <v>763</v>
      </c>
      <c r="K183" s="2" t="s">
        <v>764</v>
      </c>
      <c r="L183" s="2" t="s">
        <v>764</v>
      </c>
      <c r="M183" s="2" t="s">
        <v>765</v>
      </c>
      <c r="N183" s="2" t="s">
        <v>818</v>
      </c>
      <c r="O183" s="2" t="s">
        <v>767</v>
      </c>
      <c r="P183" s="2" t="s">
        <v>819</v>
      </c>
      <c r="Q183" s="2" t="s">
        <v>199</v>
      </c>
      <c r="R183" s="2" t="s">
        <v>32</v>
      </c>
      <c r="S183" s="2" t="s">
        <v>33</v>
      </c>
      <c r="T183" s="2" t="s">
        <v>815</v>
      </c>
      <c r="U183" s="2" t="s">
        <v>3922</v>
      </c>
      <c r="V183" s="2" t="s">
        <v>3923</v>
      </c>
    </row>
    <row r="184" spans="1:112" ht="119" x14ac:dyDescent="0.2">
      <c r="A184" s="7" t="s">
        <v>5583</v>
      </c>
      <c r="B184" s="7" t="s">
        <v>5584</v>
      </c>
      <c r="C184" s="2" t="s">
        <v>5584</v>
      </c>
      <c r="D184" s="1">
        <v>547.5</v>
      </c>
      <c r="E184" s="2" t="s">
        <v>23</v>
      </c>
      <c r="G184" s="2" t="s">
        <v>715</v>
      </c>
      <c r="H184" s="2" t="s">
        <v>25</v>
      </c>
      <c r="I184" s="2" t="s">
        <v>762</v>
      </c>
      <c r="J184" s="12" t="s">
        <v>763</v>
      </c>
      <c r="K184" s="12" t="s">
        <v>764</v>
      </c>
      <c r="L184" s="12" t="s">
        <v>764</v>
      </c>
      <c r="M184" s="12" t="s">
        <v>765</v>
      </c>
      <c r="N184" s="12" t="s">
        <v>5585</v>
      </c>
      <c r="O184" s="12" t="s">
        <v>767</v>
      </c>
      <c r="P184" s="12" t="s">
        <v>881</v>
      </c>
      <c r="Q184" s="12" t="s">
        <v>41</v>
      </c>
      <c r="R184" s="12" t="s">
        <v>32</v>
      </c>
      <c r="S184" s="12" t="s">
        <v>33</v>
      </c>
      <c r="T184" s="12" t="s">
        <v>815</v>
      </c>
      <c r="U184" s="12" t="s">
        <v>5586</v>
      </c>
      <c r="V184" s="12" t="s">
        <v>5586</v>
      </c>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row>
    <row r="185" spans="1:112" ht="102" x14ac:dyDescent="0.2">
      <c r="A185" s="2" t="s">
        <v>822</v>
      </c>
      <c r="B185" s="2" t="s">
        <v>823</v>
      </c>
      <c r="C185" s="2" t="s">
        <v>823</v>
      </c>
      <c r="D185" s="1">
        <v>547.5</v>
      </c>
      <c r="E185" s="2" t="s">
        <v>23</v>
      </c>
      <c r="G185" s="2" t="s">
        <v>715</v>
      </c>
      <c r="H185" s="2" t="s">
        <v>25</v>
      </c>
      <c r="I185" s="2" t="s">
        <v>790</v>
      </c>
      <c r="J185" s="2" t="s">
        <v>763</v>
      </c>
      <c r="K185" s="2" t="s">
        <v>764</v>
      </c>
      <c r="L185" s="2" t="s">
        <v>764</v>
      </c>
      <c r="M185" s="2" t="s">
        <v>765</v>
      </c>
      <c r="N185" s="2" t="s">
        <v>824</v>
      </c>
      <c r="O185" s="2" t="s">
        <v>767</v>
      </c>
      <c r="P185" s="2" t="s">
        <v>825</v>
      </c>
      <c r="Q185" s="2" t="s">
        <v>41</v>
      </c>
      <c r="R185" s="2" t="s">
        <v>32</v>
      </c>
      <c r="S185" s="2" t="s">
        <v>33</v>
      </c>
      <c r="T185" s="2" t="s">
        <v>815</v>
      </c>
      <c r="U185" s="2" t="s">
        <v>3924</v>
      </c>
      <c r="V185" s="2" t="s">
        <v>3925</v>
      </c>
    </row>
    <row r="186" spans="1:112" ht="102" x14ac:dyDescent="0.2">
      <c r="A186" s="2" t="s">
        <v>826</v>
      </c>
      <c r="B186" s="2" t="s">
        <v>827</v>
      </c>
      <c r="C186" s="2" t="s">
        <v>827</v>
      </c>
      <c r="D186" s="1">
        <v>547.5</v>
      </c>
      <c r="E186" s="2" t="s">
        <v>23</v>
      </c>
      <c r="G186" s="2" t="s">
        <v>715</v>
      </c>
      <c r="H186" s="2" t="s">
        <v>25</v>
      </c>
      <c r="I186" s="2" t="s">
        <v>790</v>
      </c>
      <c r="J186" s="2" t="s">
        <v>763</v>
      </c>
      <c r="K186" s="2" t="s">
        <v>764</v>
      </c>
      <c r="L186" s="2" t="s">
        <v>764</v>
      </c>
      <c r="M186" s="2" t="s">
        <v>765</v>
      </c>
      <c r="N186" s="2" t="s">
        <v>828</v>
      </c>
      <c r="O186" s="2" t="s">
        <v>767</v>
      </c>
      <c r="P186" s="2" t="s">
        <v>829</v>
      </c>
      <c r="Q186" s="2" t="s">
        <v>41</v>
      </c>
      <c r="R186" s="2" t="s">
        <v>32</v>
      </c>
      <c r="S186" s="2" t="s">
        <v>33</v>
      </c>
      <c r="T186" s="2" t="s">
        <v>815</v>
      </c>
      <c r="U186" s="2" t="s">
        <v>3926</v>
      </c>
      <c r="V186" s="2" t="s">
        <v>3927</v>
      </c>
      <c r="W186" s="2" t="s">
        <v>3928</v>
      </c>
    </row>
    <row r="187" spans="1:112" ht="61" customHeight="1" x14ac:dyDescent="0.2">
      <c r="A187" s="2" t="s">
        <v>830</v>
      </c>
      <c r="B187" s="2" t="s">
        <v>831</v>
      </c>
      <c r="C187" s="2" t="s">
        <v>831</v>
      </c>
      <c r="D187" s="1">
        <v>547.5</v>
      </c>
      <c r="E187" s="2" t="s">
        <v>23</v>
      </c>
      <c r="G187" s="2" t="s">
        <v>715</v>
      </c>
      <c r="H187" s="2" t="s">
        <v>25</v>
      </c>
      <c r="I187" s="2" t="s">
        <v>790</v>
      </c>
      <c r="J187" s="2" t="s">
        <v>763</v>
      </c>
      <c r="K187" s="2" t="s">
        <v>764</v>
      </c>
      <c r="L187" s="2" t="s">
        <v>764</v>
      </c>
      <c r="M187" s="2" t="s">
        <v>765</v>
      </c>
      <c r="N187" s="2" t="s">
        <v>828</v>
      </c>
      <c r="O187" s="2" t="s">
        <v>767</v>
      </c>
      <c r="P187" s="2" t="s">
        <v>829</v>
      </c>
      <c r="Q187" s="2" t="s">
        <v>199</v>
      </c>
      <c r="R187" s="2" t="s">
        <v>32</v>
      </c>
      <c r="S187" s="2" t="s">
        <v>33</v>
      </c>
      <c r="T187" s="2" t="s">
        <v>815</v>
      </c>
      <c r="U187" s="2" t="s">
        <v>3926</v>
      </c>
      <c r="V187" s="2" t="s">
        <v>3927</v>
      </c>
      <c r="W187" s="2" t="s">
        <v>3928</v>
      </c>
    </row>
    <row r="188" spans="1:112" ht="102" x14ac:dyDescent="0.2">
      <c r="A188" s="2" t="s">
        <v>832</v>
      </c>
      <c r="B188" s="2" t="s">
        <v>833</v>
      </c>
      <c r="C188" s="2" t="s">
        <v>833</v>
      </c>
      <c r="D188" s="1">
        <v>547.5</v>
      </c>
      <c r="E188" s="2" t="s">
        <v>23</v>
      </c>
      <c r="G188" s="2" t="s">
        <v>715</v>
      </c>
      <c r="H188" s="2" t="s">
        <v>25</v>
      </c>
      <c r="I188" s="2" t="s">
        <v>790</v>
      </c>
      <c r="J188" s="2" t="s">
        <v>763</v>
      </c>
      <c r="K188" s="2" t="s">
        <v>764</v>
      </c>
      <c r="L188" s="2" t="s">
        <v>764</v>
      </c>
      <c r="M188" s="2" t="s">
        <v>765</v>
      </c>
      <c r="N188" s="2" t="s">
        <v>834</v>
      </c>
      <c r="O188" s="2" t="s">
        <v>767</v>
      </c>
      <c r="P188" s="2" t="s">
        <v>835</v>
      </c>
      <c r="Q188" s="2" t="s">
        <v>41</v>
      </c>
      <c r="R188" s="2" t="s">
        <v>32</v>
      </c>
      <c r="S188" s="2" t="s">
        <v>33</v>
      </c>
      <c r="T188" s="2" t="s">
        <v>815</v>
      </c>
      <c r="U188" s="2" t="s">
        <v>3929</v>
      </c>
      <c r="V188" s="2" t="s">
        <v>3930</v>
      </c>
    </row>
    <row r="189" spans="1:112" ht="102" x14ac:dyDescent="0.2">
      <c r="A189" s="2" t="s">
        <v>836</v>
      </c>
      <c r="B189" s="2" t="s">
        <v>837</v>
      </c>
      <c r="C189" s="2" t="s">
        <v>837</v>
      </c>
      <c r="D189" s="1">
        <v>547.5</v>
      </c>
      <c r="E189" s="2" t="s">
        <v>23</v>
      </c>
      <c r="G189" s="2" t="s">
        <v>715</v>
      </c>
      <c r="H189" s="2" t="s">
        <v>25</v>
      </c>
      <c r="I189" s="2" t="s">
        <v>790</v>
      </c>
      <c r="J189" s="2" t="s">
        <v>763</v>
      </c>
      <c r="K189" s="2" t="s">
        <v>764</v>
      </c>
      <c r="L189" s="2" t="s">
        <v>764</v>
      </c>
      <c r="M189" s="2" t="s">
        <v>765</v>
      </c>
      <c r="N189" s="2" t="s">
        <v>838</v>
      </c>
      <c r="O189" s="2" t="s">
        <v>767</v>
      </c>
      <c r="P189" s="2" t="s">
        <v>839</v>
      </c>
      <c r="Q189" s="2" t="s">
        <v>41</v>
      </c>
      <c r="R189" s="2" t="s">
        <v>32</v>
      </c>
      <c r="S189" s="2" t="s">
        <v>33</v>
      </c>
      <c r="T189" s="2" t="s">
        <v>815</v>
      </c>
      <c r="U189" s="2" t="s">
        <v>3931</v>
      </c>
      <c r="V189" s="2" t="s">
        <v>3932</v>
      </c>
      <c r="W189" s="2" t="s">
        <v>3933</v>
      </c>
    </row>
    <row r="190" spans="1:112" ht="102" x14ac:dyDescent="0.2">
      <c r="A190" s="2" t="s">
        <v>840</v>
      </c>
      <c r="B190" s="2" t="s">
        <v>841</v>
      </c>
      <c r="C190" s="2" t="s">
        <v>841</v>
      </c>
      <c r="D190" s="1">
        <v>547.5</v>
      </c>
      <c r="E190" s="2" t="s">
        <v>23</v>
      </c>
      <c r="G190" s="2" t="s">
        <v>715</v>
      </c>
      <c r="H190" s="2" t="s">
        <v>25</v>
      </c>
      <c r="I190" s="2" t="s">
        <v>790</v>
      </c>
      <c r="J190" s="2" t="s">
        <v>763</v>
      </c>
      <c r="K190" s="2" t="s">
        <v>764</v>
      </c>
      <c r="L190" s="2" t="s">
        <v>764</v>
      </c>
      <c r="M190" s="2" t="s">
        <v>765</v>
      </c>
      <c r="N190" s="2" t="s">
        <v>842</v>
      </c>
      <c r="O190" s="2" t="s">
        <v>767</v>
      </c>
      <c r="P190" s="2" t="s">
        <v>843</v>
      </c>
      <c r="Q190" s="2" t="s">
        <v>41</v>
      </c>
      <c r="R190" s="2" t="s">
        <v>32</v>
      </c>
      <c r="S190" s="2" t="s">
        <v>33</v>
      </c>
      <c r="T190" s="2" t="s">
        <v>815</v>
      </c>
      <c r="U190" s="2" t="s">
        <v>844</v>
      </c>
    </row>
    <row r="191" spans="1:112" ht="102" x14ac:dyDescent="0.2">
      <c r="A191" s="2" t="s">
        <v>845</v>
      </c>
      <c r="B191" s="2" t="s">
        <v>846</v>
      </c>
      <c r="C191" s="2" t="s">
        <v>846</v>
      </c>
      <c r="D191" s="1">
        <v>547.5</v>
      </c>
      <c r="E191" s="2" t="s">
        <v>23</v>
      </c>
      <c r="G191" s="2" t="s">
        <v>715</v>
      </c>
      <c r="H191" s="2" t="s">
        <v>25</v>
      </c>
      <c r="I191" s="2" t="s">
        <v>790</v>
      </c>
      <c r="J191" s="2" t="s">
        <v>763</v>
      </c>
      <c r="K191" s="2" t="s">
        <v>764</v>
      </c>
      <c r="L191" s="2" t="s">
        <v>764</v>
      </c>
      <c r="M191" s="2" t="s">
        <v>765</v>
      </c>
      <c r="N191" s="2" t="s">
        <v>847</v>
      </c>
      <c r="O191" s="2" t="s">
        <v>848</v>
      </c>
      <c r="P191" s="2" t="s">
        <v>849</v>
      </c>
      <c r="Q191" s="2" t="s">
        <v>41</v>
      </c>
      <c r="R191" s="2" t="s">
        <v>32</v>
      </c>
      <c r="S191" s="2" t="s">
        <v>33</v>
      </c>
      <c r="T191" s="2" t="s">
        <v>850</v>
      </c>
      <c r="U191" s="2" t="s">
        <v>3934</v>
      </c>
      <c r="V191" s="2" t="s">
        <v>3935</v>
      </c>
    </row>
    <row r="192" spans="1:112" ht="102" x14ac:dyDescent="0.2">
      <c r="A192" s="2" t="s">
        <v>851</v>
      </c>
      <c r="B192" s="2" t="s">
        <v>852</v>
      </c>
      <c r="C192" s="2" t="s">
        <v>852</v>
      </c>
      <c r="D192" s="1">
        <v>547.5</v>
      </c>
      <c r="E192" s="2" t="s">
        <v>23</v>
      </c>
      <c r="G192" s="2" t="s">
        <v>715</v>
      </c>
      <c r="H192" s="2" t="s">
        <v>25</v>
      </c>
      <c r="I192" s="2" t="s">
        <v>790</v>
      </c>
      <c r="J192" s="2" t="s">
        <v>763</v>
      </c>
      <c r="K192" s="2" t="s">
        <v>764</v>
      </c>
      <c r="L192" s="2" t="s">
        <v>764</v>
      </c>
      <c r="M192" s="2" t="s">
        <v>765</v>
      </c>
      <c r="N192" s="2" t="s">
        <v>853</v>
      </c>
      <c r="O192" s="2" t="s">
        <v>848</v>
      </c>
      <c r="P192" s="2" t="s">
        <v>854</v>
      </c>
      <c r="Q192" s="2" t="s">
        <v>41</v>
      </c>
      <c r="R192" s="2" t="s">
        <v>32</v>
      </c>
      <c r="S192" s="2" t="s">
        <v>33</v>
      </c>
      <c r="T192" s="2" t="s">
        <v>793</v>
      </c>
      <c r="U192" s="2" t="s">
        <v>3936</v>
      </c>
      <c r="V192" s="2" t="s">
        <v>3937</v>
      </c>
      <c r="W192" s="2" t="s">
        <v>3938</v>
      </c>
      <c r="X192" s="2" t="s">
        <v>3939</v>
      </c>
      <c r="Y192" s="2" t="s">
        <v>3940</v>
      </c>
    </row>
    <row r="193" spans="1:112" ht="136" x14ac:dyDescent="0.2">
      <c r="A193" s="7" t="s">
        <v>5607</v>
      </c>
      <c r="B193" s="7" t="s">
        <v>5608</v>
      </c>
      <c r="C193" s="2" t="s">
        <v>5608</v>
      </c>
      <c r="D193" s="1">
        <v>547.5</v>
      </c>
      <c r="E193" s="2" t="s">
        <v>23</v>
      </c>
      <c r="G193" s="2" t="s">
        <v>715</v>
      </c>
      <c r="H193" s="2" t="s">
        <v>25</v>
      </c>
      <c r="I193" s="2" t="s">
        <v>6803</v>
      </c>
      <c r="J193" s="12" t="s">
        <v>763</v>
      </c>
      <c r="K193" s="12" t="s">
        <v>764</v>
      </c>
      <c r="L193" s="12" t="s">
        <v>764</v>
      </c>
      <c r="M193" s="12" t="s">
        <v>765</v>
      </c>
      <c r="N193" s="12" t="s">
        <v>5609</v>
      </c>
      <c r="O193" s="12" t="s">
        <v>848</v>
      </c>
      <c r="P193" s="12" t="s">
        <v>825</v>
      </c>
      <c r="Q193" s="12" t="s">
        <v>199</v>
      </c>
      <c r="R193" s="12" t="s">
        <v>32</v>
      </c>
      <c r="S193" s="12" t="s">
        <v>33</v>
      </c>
      <c r="T193" s="12" t="s">
        <v>815</v>
      </c>
      <c r="U193" s="12" t="s">
        <v>5610</v>
      </c>
      <c r="V193" s="12" t="s">
        <v>5610</v>
      </c>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row>
    <row r="194" spans="1:112" ht="102" x14ac:dyDescent="0.2">
      <c r="A194" s="2" t="s">
        <v>855</v>
      </c>
      <c r="B194" s="2" t="s">
        <v>856</v>
      </c>
      <c r="C194" s="2" t="s">
        <v>856</v>
      </c>
      <c r="D194" s="1">
        <v>547.5</v>
      </c>
      <c r="E194" s="2" t="s">
        <v>23</v>
      </c>
      <c r="F194" s="2" t="s">
        <v>857</v>
      </c>
      <c r="G194" s="2" t="s">
        <v>715</v>
      </c>
      <c r="I194" s="2" t="s">
        <v>858</v>
      </c>
      <c r="J194" s="2" t="s">
        <v>763</v>
      </c>
      <c r="K194" s="2" t="s">
        <v>859</v>
      </c>
      <c r="L194" s="2" t="s">
        <v>860</v>
      </c>
      <c r="M194" s="2" t="s">
        <v>861</v>
      </c>
      <c r="N194" s="2" t="s">
        <v>862</v>
      </c>
      <c r="O194" s="2" t="s">
        <v>848</v>
      </c>
      <c r="P194" s="2" t="s">
        <v>863</v>
      </c>
      <c r="Q194" s="2" t="s">
        <v>41</v>
      </c>
      <c r="R194" s="2" t="s">
        <v>32</v>
      </c>
      <c r="S194" s="2" t="s">
        <v>33</v>
      </c>
      <c r="T194" s="2" t="s">
        <v>864</v>
      </c>
      <c r="U194" s="2" t="s">
        <v>865</v>
      </c>
    </row>
    <row r="195" spans="1:112" ht="17" x14ac:dyDescent="0.2">
      <c r="A195" s="2" t="s">
        <v>6133</v>
      </c>
      <c r="B195" s="24" t="s">
        <v>6668</v>
      </c>
      <c r="C195" s="24" t="s">
        <v>6668</v>
      </c>
      <c r="D195" s="1">
        <v>547.5</v>
      </c>
      <c r="E195" s="2" t="s">
        <v>23</v>
      </c>
      <c r="G195" s="2">
        <v>365</v>
      </c>
      <c r="I195" s="32" t="s">
        <v>6669</v>
      </c>
    </row>
    <row r="196" spans="1:112" ht="85" x14ac:dyDescent="0.2">
      <c r="A196" s="7" t="s">
        <v>6184</v>
      </c>
      <c r="B196" s="2" t="s">
        <v>6389</v>
      </c>
      <c r="C196" s="2" t="s">
        <v>6389</v>
      </c>
      <c r="D196" s="1">
        <f>365*1.5</f>
        <v>547.5</v>
      </c>
      <c r="E196" s="2" t="s">
        <v>23</v>
      </c>
      <c r="G196" s="2" t="s">
        <v>6738</v>
      </c>
      <c r="H196" s="2" t="s">
        <v>538</v>
      </c>
      <c r="I196" s="2" t="s">
        <v>6739</v>
      </c>
      <c r="N196" s="12" t="s">
        <v>6570</v>
      </c>
    </row>
    <row r="197" spans="1:112" ht="136" x14ac:dyDescent="0.2">
      <c r="A197" s="7" t="s">
        <v>6243</v>
      </c>
      <c r="B197" s="2" t="s">
        <v>6449</v>
      </c>
      <c r="C197" s="2" t="s">
        <v>6449</v>
      </c>
      <c r="D197" s="1">
        <v>547.5</v>
      </c>
      <c r="E197" s="2" t="s">
        <v>23</v>
      </c>
      <c r="I197" s="2" t="s">
        <v>6765</v>
      </c>
      <c r="N197" s="12" t="s">
        <v>6131</v>
      </c>
    </row>
    <row r="198" spans="1:112" ht="153" x14ac:dyDescent="0.2">
      <c r="A198" s="7" t="s">
        <v>6252</v>
      </c>
      <c r="B198" s="2" t="s">
        <v>6458</v>
      </c>
      <c r="C198" s="2" t="s">
        <v>6458</v>
      </c>
      <c r="D198" s="1">
        <f>1.5*365</f>
        <v>547.5</v>
      </c>
      <c r="E198" s="2" t="s">
        <v>23</v>
      </c>
      <c r="G198" s="2" t="s">
        <v>715</v>
      </c>
      <c r="H198" s="2" t="s">
        <v>25</v>
      </c>
      <c r="I198" s="2" t="s">
        <v>6803</v>
      </c>
      <c r="L198" s="2" t="s">
        <v>6768</v>
      </c>
      <c r="N198" s="12" t="s">
        <v>791</v>
      </c>
    </row>
    <row r="199" spans="1:112" ht="153" x14ac:dyDescent="0.2">
      <c r="A199" s="7" t="s">
        <v>6253</v>
      </c>
      <c r="B199" s="2" t="s">
        <v>6459</v>
      </c>
      <c r="C199" s="2" t="s">
        <v>6459</v>
      </c>
      <c r="D199" s="1">
        <f>1.5*365</f>
        <v>547.5</v>
      </c>
      <c r="E199" s="2" t="s">
        <v>23</v>
      </c>
      <c r="G199" s="2" t="s">
        <v>715</v>
      </c>
      <c r="H199" s="2" t="s">
        <v>25</v>
      </c>
      <c r="I199" s="2" t="s">
        <v>6803</v>
      </c>
      <c r="L199" s="2" t="s">
        <v>6768</v>
      </c>
      <c r="N199" s="12" t="s">
        <v>6605</v>
      </c>
    </row>
    <row r="200" spans="1:112" ht="153" x14ac:dyDescent="0.2">
      <c r="A200" s="7" t="s">
        <v>6254</v>
      </c>
      <c r="B200" s="2" t="s">
        <v>6460</v>
      </c>
      <c r="C200" s="2" t="s">
        <v>6460</v>
      </c>
      <c r="D200" s="1">
        <f>1.5*365</f>
        <v>547.5</v>
      </c>
      <c r="E200" s="2" t="s">
        <v>23</v>
      </c>
      <c r="G200" s="2" t="s">
        <v>715</v>
      </c>
      <c r="H200" s="2" t="s">
        <v>25</v>
      </c>
      <c r="I200" s="2" t="s">
        <v>6803</v>
      </c>
      <c r="L200" s="2" t="s">
        <v>6768</v>
      </c>
      <c r="N200" s="12" t="s">
        <v>6606</v>
      </c>
    </row>
    <row r="201" spans="1:112" ht="153" x14ac:dyDescent="0.2">
      <c r="A201" s="7" t="s">
        <v>6257</v>
      </c>
      <c r="B201" s="2" t="s">
        <v>6463</v>
      </c>
      <c r="C201" s="2" t="s">
        <v>6463</v>
      </c>
      <c r="D201" s="1">
        <f>1.5*365</f>
        <v>547.5</v>
      </c>
      <c r="E201" s="2" t="s">
        <v>23</v>
      </c>
      <c r="G201" s="2" t="s">
        <v>715</v>
      </c>
      <c r="H201" s="2" t="s">
        <v>25</v>
      </c>
      <c r="I201" s="2" t="s">
        <v>6803</v>
      </c>
      <c r="L201" s="2" t="s">
        <v>6768</v>
      </c>
      <c r="N201" s="12" t="s">
        <v>838</v>
      </c>
    </row>
    <row r="202" spans="1:112" ht="153" x14ac:dyDescent="0.2">
      <c r="A202" s="7" t="s">
        <v>6260</v>
      </c>
      <c r="B202" s="2" t="s">
        <v>6466</v>
      </c>
      <c r="C202" s="2" t="s">
        <v>6466</v>
      </c>
      <c r="D202" s="1">
        <f>1.5*365</f>
        <v>547.5</v>
      </c>
      <c r="E202" s="2" t="s">
        <v>971</v>
      </c>
      <c r="G202" s="2" t="s">
        <v>715</v>
      </c>
      <c r="H202" s="2" t="s">
        <v>25</v>
      </c>
      <c r="I202" s="2" t="s">
        <v>6803</v>
      </c>
      <c r="L202" s="2" t="s">
        <v>6768</v>
      </c>
      <c r="N202" s="12" t="s">
        <v>5609</v>
      </c>
    </row>
    <row r="203" spans="1:112" ht="153" x14ac:dyDescent="0.2">
      <c r="A203" s="7" t="s">
        <v>6260</v>
      </c>
      <c r="B203" s="7" t="s">
        <v>6466</v>
      </c>
      <c r="C203" s="7" t="s">
        <v>6466</v>
      </c>
      <c r="D203" s="1">
        <v>547.5</v>
      </c>
      <c r="I203" s="2" t="s">
        <v>6768</v>
      </c>
    </row>
    <row r="204" spans="1:112" ht="136" x14ac:dyDescent="0.2">
      <c r="A204" s="7" t="s">
        <v>6253</v>
      </c>
      <c r="B204" s="7" t="s">
        <v>6459</v>
      </c>
      <c r="C204" s="7" t="s">
        <v>6459</v>
      </c>
      <c r="D204" s="1">
        <f>1.5*365</f>
        <v>547.5</v>
      </c>
      <c r="E204" s="2" t="s">
        <v>23</v>
      </c>
      <c r="G204" s="2" t="s">
        <v>715</v>
      </c>
      <c r="H204" s="2" t="s">
        <v>25</v>
      </c>
      <c r="I204" s="2" t="s">
        <v>6803</v>
      </c>
    </row>
    <row r="205" spans="1:112" ht="136" x14ac:dyDescent="0.2">
      <c r="A205" s="7" t="s">
        <v>6254</v>
      </c>
      <c r="B205" s="7" t="s">
        <v>6460</v>
      </c>
      <c r="C205" s="7" t="s">
        <v>6460</v>
      </c>
      <c r="D205" s="1">
        <f>1.5*365</f>
        <v>547.5</v>
      </c>
      <c r="E205" s="2" t="s">
        <v>23</v>
      </c>
      <c r="G205" s="2" t="s">
        <v>715</v>
      </c>
      <c r="H205" s="2" t="s">
        <v>25</v>
      </c>
      <c r="I205" s="2" t="s">
        <v>6803</v>
      </c>
    </row>
    <row r="206" spans="1:112" ht="119" x14ac:dyDescent="0.2">
      <c r="A206" s="7" t="s">
        <v>6847</v>
      </c>
      <c r="B206" s="7" t="s">
        <v>6848</v>
      </c>
      <c r="C206" s="7" t="s">
        <v>6848</v>
      </c>
      <c r="D206" s="1">
        <v>547.5</v>
      </c>
      <c r="E206" s="2" t="s">
        <v>23</v>
      </c>
      <c r="G206" s="2" t="s">
        <v>715</v>
      </c>
      <c r="H206" s="2" t="s">
        <v>25</v>
      </c>
      <c r="I206" s="2" t="s">
        <v>762</v>
      </c>
    </row>
    <row r="207" spans="1:112" ht="119" x14ac:dyDescent="0.2">
      <c r="A207" s="7" t="s">
        <v>6849</v>
      </c>
      <c r="B207" s="7" t="s">
        <v>6850</v>
      </c>
      <c r="C207" s="7" t="s">
        <v>6850</v>
      </c>
      <c r="D207" s="1">
        <v>547.5</v>
      </c>
      <c r="E207" s="2" t="s">
        <v>23</v>
      </c>
      <c r="G207" s="2" t="s">
        <v>715</v>
      </c>
      <c r="H207" s="2" t="s">
        <v>25</v>
      </c>
      <c r="I207" s="2" t="s">
        <v>762</v>
      </c>
    </row>
    <row r="208" spans="1:112" ht="119" x14ac:dyDescent="0.2">
      <c r="A208" s="7" t="s">
        <v>5180</v>
      </c>
      <c r="B208" s="7" t="s">
        <v>5181</v>
      </c>
      <c r="C208" s="2" t="s">
        <v>5182</v>
      </c>
      <c r="D208" s="1">
        <v>365</v>
      </c>
      <c r="E208" s="2" t="s">
        <v>23</v>
      </c>
      <c r="F208" s="2" t="s">
        <v>885</v>
      </c>
      <c r="G208" s="2" t="s">
        <v>911</v>
      </c>
      <c r="H208" s="2" t="s">
        <v>370</v>
      </c>
      <c r="I208" s="2" t="s">
        <v>6802</v>
      </c>
      <c r="J208" s="12" t="s">
        <v>103</v>
      </c>
      <c r="K208" s="12" t="s">
        <v>190</v>
      </c>
      <c r="L208" s="12" t="s">
        <v>887</v>
      </c>
      <c r="M208" s="12" t="s">
        <v>888</v>
      </c>
      <c r="N208" s="12" t="s">
        <v>5183</v>
      </c>
      <c r="O208" s="12" t="s">
        <v>564</v>
      </c>
      <c r="P208" s="12" t="s">
        <v>177</v>
      </c>
      <c r="Q208" s="12" t="s">
        <v>41</v>
      </c>
      <c r="R208" s="12" t="s">
        <v>32</v>
      </c>
      <c r="S208" s="12" t="s">
        <v>33</v>
      </c>
      <c r="T208" s="12" t="s">
        <v>927</v>
      </c>
      <c r="U208" s="12" t="s">
        <v>5184</v>
      </c>
      <c r="V208" s="12" t="s">
        <v>5184</v>
      </c>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row>
    <row r="209" spans="1:112" ht="119" x14ac:dyDescent="0.2">
      <c r="A209" s="7" t="s">
        <v>5185</v>
      </c>
      <c r="B209" s="7" t="s">
        <v>5186</v>
      </c>
      <c r="C209" s="2" t="s">
        <v>5187</v>
      </c>
      <c r="D209" s="1">
        <v>365</v>
      </c>
      <c r="E209" s="2" t="s">
        <v>23</v>
      </c>
      <c r="F209" s="2" t="s">
        <v>885</v>
      </c>
      <c r="G209" s="2" t="s">
        <v>911</v>
      </c>
      <c r="H209" s="2" t="s">
        <v>370</v>
      </c>
      <c r="I209" s="2" t="s">
        <v>6802</v>
      </c>
      <c r="J209" s="12" t="s">
        <v>103</v>
      </c>
      <c r="K209" s="12" t="s">
        <v>190</v>
      </c>
      <c r="L209" s="12" t="s">
        <v>887</v>
      </c>
      <c r="M209" s="12" t="s">
        <v>888</v>
      </c>
      <c r="N209" s="12" t="s">
        <v>5183</v>
      </c>
      <c r="O209" s="12" t="s">
        <v>564</v>
      </c>
      <c r="P209" s="12" t="s">
        <v>177</v>
      </c>
      <c r="Q209" s="12" t="s">
        <v>199</v>
      </c>
      <c r="R209" s="12" t="s">
        <v>32</v>
      </c>
      <c r="S209" s="12" t="s">
        <v>33</v>
      </c>
      <c r="T209" s="12" t="s">
        <v>927</v>
      </c>
      <c r="U209" s="12" t="s">
        <v>5184</v>
      </c>
      <c r="V209" s="12" t="s">
        <v>5184</v>
      </c>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row>
    <row r="210" spans="1:112" ht="153" x14ac:dyDescent="0.2">
      <c r="A210" s="7" t="s">
        <v>5523</v>
      </c>
      <c r="B210" s="7" t="s">
        <v>5524</v>
      </c>
      <c r="C210" s="2" t="s">
        <v>5524</v>
      </c>
      <c r="D210" s="1">
        <v>365</v>
      </c>
      <c r="E210" s="2" t="s">
        <v>23</v>
      </c>
      <c r="F210" s="2" t="s">
        <v>387</v>
      </c>
      <c r="G210" s="2" t="s">
        <v>369</v>
      </c>
      <c r="H210" s="2" t="s">
        <v>388</v>
      </c>
      <c r="I210" s="2" t="s">
        <v>248</v>
      </c>
      <c r="J210" s="12" t="s">
        <v>27</v>
      </c>
      <c r="K210" s="12" t="s">
        <v>64</v>
      </c>
      <c r="L210" s="12" t="s">
        <v>5519</v>
      </c>
      <c r="M210" s="12" t="s">
        <v>5520</v>
      </c>
      <c r="N210" s="12" t="s">
        <v>528</v>
      </c>
      <c r="O210" s="12" t="s">
        <v>183</v>
      </c>
      <c r="P210" s="12" t="s">
        <v>30</v>
      </c>
      <c r="Q210" s="12" t="s">
        <v>30</v>
      </c>
      <c r="R210" s="12" t="s">
        <v>32</v>
      </c>
      <c r="S210" s="12" t="s">
        <v>392</v>
      </c>
      <c r="T210" s="12" t="s">
        <v>529</v>
      </c>
      <c r="U210" s="12" t="s">
        <v>530</v>
      </c>
      <c r="V210" s="12" t="s">
        <v>530</v>
      </c>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row>
    <row r="211" spans="1:112" ht="102" x14ac:dyDescent="0.2">
      <c r="A211" s="2" t="s">
        <v>738</v>
      </c>
      <c r="B211" s="2" t="s">
        <v>739</v>
      </c>
      <c r="C211" s="2" t="s">
        <v>740</v>
      </c>
      <c r="D211" s="1">
        <v>365</v>
      </c>
      <c r="E211" s="2" t="s">
        <v>23</v>
      </c>
      <c r="F211" s="2" t="s">
        <v>741</v>
      </c>
      <c r="G211" s="2" t="s">
        <v>742</v>
      </c>
      <c r="H211" s="2" t="s">
        <v>369</v>
      </c>
      <c r="I211" s="2" t="s">
        <v>743</v>
      </c>
      <c r="J211" s="2" t="s">
        <v>27</v>
      </c>
      <c r="K211" s="2" t="s">
        <v>64</v>
      </c>
      <c r="L211" s="2" t="s">
        <v>494</v>
      </c>
      <c r="M211" s="2" t="s">
        <v>495</v>
      </c>
      <c r="N211" s="2" t="s">
        <v>528</v>
      </c>
      <c r="O211" s="2" t="s">
        <v>183</v>
      </c>
      <c r="P211" s="2" t="s">
        <v>30</v>
      </c>
      <c r="Q211" s="2" t="s">
        <v>30</v>
      </c>
      <c r="R211" s="2" t="s">
        <v>32</v>
      </c>
      <c r="S211" s="2" t="s">
        <v>33</v>
      </c>
      <c r="T211" s="2" t="s">
        <v>744</v>
      </c>
      <c r="U211" s="2" t="s">
        <v>530</v>
      </c>
    </row>
    <row r="212" spans="1:112" ht="102" x14ac:dyDescent="0.2">
      <c r="A212" s="2" t="s">
        <v>745</v>
      </c>
      <c r="B212" s="2" t="s">
        <v>746</v>
      </c>
      <c r="C212" s="2" t="s">
        <v>747</v>
      </c>
      <c r="D212" s="1">
        <v>365</v>
      </c>
      <c r="E212" s="2" t="s">
        <v>23</v>
      </c>
      <c r="F212" s="2" t="s">
        <v>741</v>
      </c>
      <c r="G212" s="2" t="s">
        <v>742</v>
      </c>
      <c r="H212" s="2" t="s">
        <v>369</v>
      </c>
      <c r="I212" s="2" t="s">
        <v>743</v>
      </c>
      <c r="J212" s="2" t="s">
        <v>27</v>
      </c>
      <c r="K212" s="2" t="s">
        <v>64</v>
      </c>
      <c r="L212" s="2" t="s">
        <v>494</v>
      </c>
      <c r="M212" s="2" t="s">
        <v>495</v>
      </c>
      <c r="N212" s="2" t="s">
        <v>528</v>
      </c>
      <c r="O212" s="2" t="s">
        <v>183</v>
      </c>
      <c r="P212" s="2" t="s">
        <v>30</v>
      </c>
      <c r="Q212" s="2" t="s">
        <v>403</v>
      </c>
      <c r="R212" s="2" t="s">
        <v>32</v>
      </c>
      <c r="S212" s="2" t="s">
        <v>33</v>
      </c>
      <c r="T212" s="2" t="s">
        <v>744</v>
      </c>
      <c r="U212" s="2" t="s">
        <v>530</v>
      </c>
      <c r="V212" s="2" t="s">
        <v>3861</v>
      </c>
    </row>
    <row r="213" spans="1:112" ht="102" x14ac:dyDescent="0.2">
      <c r="A213" s="2" t="s">
        <v>288</v>
      </c>
      <c r="B213" s="2" t="s">
        <v>289</v>
      </c>
      <c r="C213" s="2" t="s">
        <v>290</v>
      </c>
      <c r="D213" s="1">
        <v>365</v>
      </c>
      <c r="E213" s="2" t="s">
        <v>23</v>
      </c>
      <c r="F213" s="2" t="s">
        <v>6705</v>
      </c>
      <c r="H213" s="2" t="s">
        <v>25</v>
      </c>
      <c r="I213" s="2" t="s">
        <v>6677</v>
      </c>
      <c r="J213" s="2" t="s">
        <v>144</v>
      </c>
      <c r="K213" s="2" t="s">
        <v>144</v>
      </c>
      <c r="L213" s="2" t="s">
        <v>279</v>
      </c>
      <c r="M213" s="2" t="s">
        <v>280</v>
      </c>
      <c r="N213" s="2" t="s">
        <v>291</v>
      </c>
      <c r="O213" s="2" t="s">
        <v>183</v>
      </c>
      <c r="P213" s="2" t="s">
        <v>115</v>
      </c>
      <c r="Q213" s="2" t="s">
        <v>41</v>
      </c>
      <c r="R213" s="2" t="s">
        <v>32</v>
      </c>
      <c r="S213" s="2" t="s">
        <v>33</v>
      </c>
      <c r="T213" s="2" t="s">
        <v>287</v>
      </c>
      <c r="U213" s="2" t="s">
        <v>292</v>
      </c>
    </row>
    <row r="214" spans="1:112" ht="85" x14ac:dyDescent="0.2">
      <c r="A214" s="2" t="s">
        <v>866</v>
      </c>
      <c r="B214" s="2" t="s">
        <v>867</v>
      </c>
      <c r="C214" s="2" t="s">
        <v>867</v>
      </c>
      <c r="D214" s="1">
        <v>365</v>
      </c>
      <c r="E214" s="2" t="s">
        <v>23</v>
      </c>
      <c r="F214" s="2" t="s">
        <v>868</v>
      </c>
      <c r="G214" s="2" t="s">
        <v>869</v>
      </c>
      <c r="H214" s="2" t="s">
        <v>369</v>
      </c>
      <c r="I214" s="2" t="s">
        <v>204</v>
      </c>
      <c r="J214" s="2" t="s">
        <v>144</v>
      </c>
      <c r="K214" s="2" t="s">
        <v>144</v>
      </c>
      <c r="L214" s="2" t="s">
        <v>205</v>
      </c>
      <c r="M214" s="2" t="s">
        <v>206</v>
      </c>
      <c r="N214" s="2" t="s">
        <v>870</v>
      </c>
      <c r="O214" s="2" t="s">
        <v>146</v>
      </c>
      <c r="P214" s="2" t="s">
        <v>871</v>
      </c>
      <c r="Q214" s="2" t="s">
        <v>41</v>
      </c>
      <c r="R214" s="2" t="s">
        <v>32</v>
      </c>
      <c r="S214" s="2" t="s">
        <v>33</v>
      </c>
      <c r="T214" s="2" t="s">
        <v>872</v>
      </c>
      <c r="U214" s="2" t="s">
        <v>3941</v>
      </c>
      <c r="V214" s="2" t="s">
        <v>3942</v>
      </c>
      <c r="W214" s="2" t="s">
        <v>3943</v>
      </c>
      <c r="X214" s="2" t="s">
        <v>3944</v>
      </c>
    </row>
    <row r="215" spans="1:112" ht="85" x14ac:dyDescent="0.2">
      <c r="A215" s="2" t="s">
        <v>873</v>
      </c>
      <c r="B215" s="2" t="s">
        <v>874</v>
      </c>
      <c r="C215" s="2" t="s">
        <v>874</v>
      </c>
      <c r="D215" s="1">
        <v>365</v>
      </c>
      <c r="E215" s="2" t="s">
        <v>61</v>
      </c>
      <c r="F215" s="2" t="s">
        <v>875</v>
      </c>
      <c r="G215" s="2" t="s">
        <v>869</v>
      </c>
      <c r="I215" s="2" t="s">
        <v>204</v>
      </c>
      <c r="J215" s="2" t="s">
        <v>144</v>
      </c>
      <c r="K215" s="2" t="s">
        <v>144</v>
      </c>
      <c r="L215" s="2" t="s">
        <v>205</v>
      </c>
      <c r="M215" s="2" t="s">
        <v>206</v>
      </c>
      <c r="N215" s="2" t="s">
        <v>876</v>
      </c>
      <c r="O215" s="2" t="s">
        <v>146</v>
      </c>
      <c r="P215" s="2" t="s">
        <v>814</v>
      </c>
      <c r="Q215" s="2" t="s">
        <v>41</v>
      </c>
      <c r="R215" s="2" t="s">
        <v>32</v>
      </c>
      <c r="S215" s="2" t="s">
        <v>33</v>
      </c>
      <c r="T215" s="2" t="s">
        <v>877</v>
      </c>
      <c r="U215" s="2" t="s">
        <v>3945</v>
      </c>
      <c r="V215" s="2" t="s">
        <v>3946</v>
      </c>
      <c r="W215" s="2" t="s">
        <v>3947</v>
      </c>
      <c r="X215" s="2" t="s">
        <v>3948</v>
      </c>
    </row>
    <row r="216" spans="1:112" ht="85" x14ac:dyDescent="0.2">
      <c r="A216" s="2" t="s">
        <v>878</v>
      </c>
      <c r="B216" s="2" t="s">
        <v>879</v>
      </c>
      <c r="C216" s="2" t="s">
        <v>879</v>
      </c>
      <c r="D216" s="1">
        <v>365</v>
      </c>
      <c r="E216" s="2" t="s">
        <v>61</v>
      </c>
      <c r="F216" s="2" t="s">
        <v>875</v>
      </c>
      <c r="G216" s="2" t="s">
        <v>869</v>
      </c>
      <c r="I216" s="2" t="s">
        <v>204</v>
      </c>
      <c r="J216" s="2" t="s">
        <v>144</v>
      </c>
      <c r="K216" s="2" t="s">
        <v>144</v>
      </c>
      <c r="L216" s="2" t="s">
        <v>205</v>
      </c>
      <c r="M216" s="2" t="s">
        <v>206</v>
      </c>
      <c r="N216" s="2" t="s">
        <v>880</v>
      </c>
      <c r="O216" s="2" t="s">
        <v>146</v>
      </c>
      <c r="P216" s="2" t="s">
        <v>881</v>
      </c>
      <c r="Q216" s="2" t="s">
        <v>41</v>
      </c>
      <c r="R216" s="2" t="s">
        <v>32</v>
      </c>
      <c r="S216" s="2" t="s">
        <v>33</v>
      </c>
      <c r="T216" s="2" t="s">
        <v>882</v>
      </c>
      <c r="U216" s="2" t="s">
        <v>3949</v>
      </c>
      <c r="V216" s="2" t="s">
        <v>3950</v>
      </c>
      <c r="W216" s="2" t="s">
        <v>3951</v>
      </c>
      <c r="X216" s="2" t="s">
        <v>3952</v>
      </c>
      <c r="Y216" s="2" t="s">
        <v>3953</v>
      </c>
      <c r="Z216" s="2" t="s">
        <v>3954</v>
      </c>
      <c r="AA216" s="2" t="s">
        <v>3955</v>
      </c>
      <c r="AB216" s="2" t="s">
        <v>3956</v>
      </c>
      <c r="AC216" s="2" t="s">
        <v>3957</v>
      </c>
      <c r="AD216" s="2" t="s">
        <v>3958</v>
      </c>
      <c r="AE216" s="2" t="s">
        <v>3959</v>
      </c>
      <c r="AF216" s="2" t="s">
        <v>3960</v>
      </c>
      <c r="AG216" s="2" t="s">
        <v>3961</v>
      </c>
      <c r="AH216" s="2" t="s">
        <v>3962</v>
      </c>
      <c r="AI216" s="2" t="s">
        <v>3963</v>
      </c>
      <c r="AJ216" s="2" t="s">
        <v>3964</v>
      </c>
      <c r="AK216" s="2" t="s">
        <v>3965</v>
      </c>
      <c r="AL216" s="2" t="s">
        <v>3966</v>
      </c>
      <c r="AM216" s="2" t="s">
        <v>3967</v>
      </c>
      <c r="AN216" s="2" t="s">
        <v>3968</v>
      </c>
      <c r="AO216" s="2" t="s">
        <v>3969</v>
      </c>
    </row>
    <row r="217" spans="1:112" ht="85" x14ac:dyDescent="0.2">
      <c r="A217" s="7" t="s">
        <v>5154</v>
      </c>
      <c r="B217" s="7" t="s">
        <v>5155</v>
      </c>
      <c r="C217" s="2" t="s">
        <v>5155</v>
      </c>
      <c r="D217" s="1">
        <v>365</v>
      </c>
      <c r="E217" s="2" t="s">
        <v>23</v>
      </c>
      <c r="F217" s="2" t="s">
        <v>885</v>
      </c>
      <c r="G217" s="2" t="s">
        <v>886</v>
      </c>
      <c r="H217" s="2" t="s">
        <v>370</v>
      </c>
      <c r="I217" s="2" t="s">
        <v>102</v>
      </c>
      <c r="J217" s="12" t="s">
        <v>103</v>
      </c>
      <c r="K217" s="12" t="s">
        <v>190</v>
      </c>
      <c r="L217" s="12" t="s">
        <v>226</v>
      </c>
      <c r="M217" s="12" t="s">
        <v>227</v>
      </c>
      <c r="N217" s="12" t="s">
        <v>228</v>
      </c>
      <c r="O217" s="12" t="s">
        <v>227</v>
      </c>
      <c r="P217" s="12" t="s">
        <v>229</v>
      </c>
      <c r="Q217" s="12" t="s">
        <v>199</v>
      </c>
      <c r="R217" s="12" t="s">
        <v>32</v>
      </c>
      <c r="S217" s="12" t="s">
        <v>33</v>
      </c>
      <c r="T217" s="12" t="s">
        <v>230</v>
      </c>
      <c r="U217" s="12" t="s">
        <v>231</v>
      </c>
      <c r="V217" s="12" t="s">
        <v>231</v>
      </c>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row>
    <row r="218" spans="1:112" ht="85" x14ac:dyDescent="0.2">
      <c r="A218" s="2" t="s">
        <v>883</v>
      </c>
      <c r="B218" s="2" t="s">
        <v>884</v>
      </c>
      <c r="C218" s="2" t="s">
        <v>884</v>
      </c>
      <c r="D218" s="1">
        <v>365</v>
      </c>
      <c r="E218" s="2" t="s">
        <v>23</v>
      </c>
      <c r="F218" s="2" t="s">
        <v>885</v>
      </c>
      <c r="G218" s="2" t="s">
        <v>886</v>
      </c>
      <c r="H218" s="2" t="s">
        <v>370</v>
      </c>
      <c r="I218" s="2" t="s">
        <v>102</v>
      </c>
      <c r="J218" s="2" t="s">
        <v>103</v>
      </c>
      <c r="K218" s="2" t="s">
        <v>190</v>
      </c>
      <c r="L218" s="2" t="s">
        <v>887</v>
      </c>
      <c r="M218" s="2" t="s">
        <v>888</v>
      </c>
      <c r="N218" s="2" t="s">
        <v>889</v>
      </c>
      <c r="O218" s="2" t="s">
        <v>564</v>
      </c>
      <c r="P218" s="2" t="s">
        <v>353</v>
      </c>
      <c r="Q218" s="2" t="s">
        <v>41</v>
      </c>
      <c r="R218" s="2" t="s">
        <v>32</v>
      </c>
      <c r="S218" s="2" t="s">
        <v>33</v>
      </c>
      <c r="T218" s="2" t="s">
        <v>890</v>
      </c>
      <c r="U218" s="2" t="s">
        <v>891</v>
      </c>
    </row>
    <row r="219" spans="1:112" ht="85" x14ac:dyDescent="0.2">
      <c r="A219" s="2" t="s">
        <v>892</v>
      </c>
      <c r="B219" s="2" t="s">
        <v>893</v>
      </c>
      <c r="C219" s="2" t="s">
        <v>893</v>
      </c>
      <c r="D219" s="1">
        <v>365</v>
      </c>
      <c r="E219" s="2" t="s">
        <v>23</v>
      </c>
      <c r="F219" s="2" t="s">
        <v>885</v>
      </c>
      <c r="G219" s="2" t="s">
        <v>886</v>
      </c>
      <c r="H219" s="2" t="s">
        <v>370</v>
      </c>
      <c r="I219" s="2" t="s">
        <v>102</v>
      </c>
      <c r="J219" s="2" t="s">
        <v>103</v>
      </c>
      <c r="K219" s="2" t="s">
        <v>190</v>
      </c>
      <c r="L219" s="2" t="s">
        <v>887</v>
      </c>
      <c r="M219" s="2" t="s">
        <v>888</v>
      </c>
      <c r="N219" s="2" t="s">
        <v>889</v>
      </c>
      <c r="O219" s="2" t="s">
        <v>564</v>
      </c>
      <c r="P219" s="2" t="s">
        <v>353</v>
      </c>
      <c r="Q219" s="2" t="s">
        <v>199</v>
      </c>
      <c r="R219" s="2" t="s">
        <v>32</v>
      </c>
      <c r="S219" s="2" t="s">
        <v>33</v>
      </c>
      <c r="T219" s="2" t="s">
        <v>890</v>
      </c>
      <c r="U219" s="2" t="s">
        <v>891</v>
      </c>
    </row>
    <row r="220" spans="1:112" ht="85" x14ac:dyDescent="0.2">
      <c r="A220" s="2" t="s">
        <v>894</v>
      </c>
      <c r="B220" s="2" t="s">
        <v>895</v>
      </c>
      <c r="C220" s="2" t="s">
        <v>895</v>
      </c>
      <c r="D220" s="1">
        <v>365</v>
      </c>
      <c r="E220" s="2" t="s">
        <v>23</v>
      </c>
      <c r="F220" s="2" t="s">
        <v>885</v>
      </c>
      <c r="G220" s="2" t="s">
        <v>886</v>
      </c>
      <c r="H220" s="2" t="s">
        <v>370</v>
      </c>
      <c r="I220" s="2" t="s">
        <v>102</v>
      </c>
      <c r="J220" s="2" t="s">
        <v>103</v>
      </c>
      <c r="K220" s="2" t="s">
        <v>190</v>
      </c>
      <c r="L220" s="2" t="s">
        <v>887</v>
      </c>
      <c r="M220" s="2" t="s">
        <v>888</v>
      </c>
      <c r="N220" s="2" t="s">
        <v>896</v>
      </c>
      <c r="O220" s="2" t="s">
        <v>564</v>
      </c>
      <c r="P220" s="2" t="s">
        <v>137</v>
      </c>
      <c r="Q220" s="2" t="s">
        <v>41</v>
      </c>
      <c r="R220" s="2" t="s">
        <v>32</v>
      </c>
      <c r="S220" s="2" t="s">
        <v>33</v>
      </c>
      <c r="T220" s="2" t="s">
        <v>890</v>
      </c>
      <c r="U220" s="2" t="s">
        <v>897</v>
      </c>
    </row>
    <row r="221" spans="1:112" ht="85" x14ac:dyDescent="0.2">
      <c r="A221" s="2" t="s">
        <v>898</v>
      </c>
      <c r="B221" s="2" t="s">
        <v>899</v>
      </c>
      <c r="C221" s="2" t="s">
        <v>899</v>
      </c>
      <c r="D221" s="1">
        <v>365</v>
      </c>
      <c r="E221" s="2" t="s">
        <v>23</v>
      </c>
      <c r="F221" s="2" t="s">
        <v>885</v>
      </c>
      <c r="G221" s="2" t="s">
        <v>886</v>
      </c>
      <c r="H221" s="2" t="s">
        <v>370</v>
      </c>
      <c r="I221" s="2" t="s">
        <v>102</v>
      </c>
      <c r="J221" s="2" t="s">
        <v>103</v>
      </c>
      <c r="K221" s="2" t="s">
        <v>190</v>
      </c>
      <c r="L221" s="2" t="s">
        <v>887</v>
      </c>
      <c r="M221" s="2" t="s">
        <v>888</v>
      </c>
      <c r="N221" s="2" t="s">
        <v>900</v>
      </c>
      <c r="O221" s="2" t="s">
        <v>564</v>
      </c>
      <c r="P221" s="2" t="s">
        <v>229</v>
      </c>
      <c r="Q221" s="2" t="s">
        <v>41</v>
      </c>
      <c r="R221" s="2" t="s">
        <v>32</v>
      </c>
      <c r="S221" s="2" t="s">
        <v>33</v>
      </c>
      <c r="T221" s="2" t="s">
        <v>890</v>
      </c>
      <c r="U221" s="2" t="s">
        <v>901</v>
      </c>
    </row>
    <row r="222" spans="1:112" ht="85" x14ac:dyDescent="0.2">
      <c r="A222" s="2" t="s">
        <v>902</v>
      </c>
      <c r="B222" s="2" t="s">
        <v>903</v>
      </c>
      <c r="C222" s="2" t="s">
        <v>903</v>
      </c>
      <c r="D222" s="1">
        <v>365</v>
      </c>
      <c r="E222" s="2" t="s">
        <v>23</v>
      </c>
      <c r="F222" s="2" t="s">
        <v>885</v>
      </c>
      <c r="G222" s="2" t="s">
        <v>886</v>
      </c>
      <c r="H222" s="2" t="s">
        <v>370</v>
      </c>
      <c r="I222" s="2" t="s">
        <v>102</v>
      </c>
      <c r="J222" s="2" t="s">
        <v>103</v>
      </c>
      <c r="K222" s="2" t="s">
        <v>190</v>
      </c>
      <c r="L222" s="2" t="s">
        <v>887</v>
      </c>
      <c r="M222" s="2" t="s">
        <v>888</v>
      </c>
      <c r="N222" s="2" t="s">
        <v>904</v>
      </c>
      <c r="O222" s="2" t="s">
        <v>564</v>
      </c>
      <c r="P222" s="2" t="s">
        <v>194</v>
      </c>
      <c r="Q222" s="2" t="s">
        <v>41</v>
      </c>
      <c r="R222" s="2" t="s">
        <v>32</v>
      </c>
      <c r="S222" s="2" t="s">
        <v>33</v>
      </c>
      <c r="T222" s="2" t="s">
        <v>890</v>
      </c>
      <c r="U222" s="2" t="s">
        <v>905</v>
      </c>
    </row>
    <row r="223" spans="1:112" ht="85" x14ac:dyDescent="0.2">
      <c r="A223" s="2" t="s">
        <v>906</v>
      </c>
      <c r="B223" s="2" t="s">
        <v>907</v>
      </c>
      <c r="C223" s="2" t="s">
        <v>907</v>
      </c>
      <c r="D223" s="1">
        <v>365</v>
      </c>
      <c r="E223" s="2" t="s">
        <v>23</v>
      </c>
      <c r="F223" s="2" t="s">
        <v>885</v>
      </c>
      <c r="G223" s="2" t="s">
        <v>886</v>
      </c>
      <c r="H223" s="2" t="s">
        <v>370</v>
      </c>
      <c r="I223" s="2" t="s">
        <v>102</v>
      </c>
      <c r="J223" s="2" t="s">
        <v>103</v>
      </c>
      <c r="K223" s="2" t="s">
        <v>190</v>
      </c>
      <c r="L223" s="2" t="s">
        <v>887</v>
      </c>
      <c r="M223" s="2" t="s">
        <v>888</v>
      </c>
      <c r="N223" s="2" t="s">
        <v>904</v>
      </c>
      <c r="O223" s="2" t="s">
        <v>564</v>
      </c>
      <c r="P223" s="2" t="s">
        <v>194</v>
      </c>
      <c r="Q223" s="2" t="s">
        <v>199</v>
      </c>
      <c r="R223" s="2" t="s">
        <v>32</v>
      </c>
      <c r="S223" s="2" t="s">
        <v>33</v>
      </c>
      <c r="T223" s="2" t="s">
        <v>890</v>
      </c>
      <c r="U223" s="2" t="s">
        <v>905</v>
      </c>
    </row>
    <row r="224" spans="1:112" ht="85" x14ac:dyDescent="0.2">
      <c r="A224" s="2" t="s">
        <v>908</v>
      </c>
      <c r="B224" s="2" t="s">
        <v>909</v>
      </c>
      <c r="C224" s="2" t="s">
        <v>910</v>
      </c>
      <c r="D224" s="1">
        <v>365</v>
      </c>
      <c r="E224" s="2" t="s">
        <v>23</v>
      </c>
      <c r="F224" s="2" t="s">
        <v>885</v>
      </c>
      <c r="G224" s="2" t="s">
        <v>911</v>
      </c>
      <c r="H224" s="2" t="s">
        <v>370</v>
      </c>
      <c r="I224" s="2" t="s">
        <v>102</v>
      </c>
      <c r="J224" s="2" t="s">
        <v>103</v>
      </c>
      <c r="K224" s="2" t="s">
        <v>190</v>
      </c>
      <c r="L224" s="2" t="s">
        <v>887</v>
      </c>
      <c r="M224" s="2" t="s">
        <v>888</v>
      </c>
      <c r="N224" s="2" t="s">
        <v>912</v>
      </c>
      <c r="O224" s="2" t="s">
        <v>564</v>
      </c>
      <c r="P224" s="2" t="s">
        <v>913</v>
      </c>
      <c r="Q224" s="2" t="s">
        <v>41</v>
      </c>
      <c r="R224" s="2" t="s">
        <v>32</v>
      </c>
      <c r="S224" s="2" t="s">
        <v>33</v>
      </c>
      <c r="T224" s="2" t="s">
        <v>914</v>
      </c>
      <c r="U224" s="2" t="s">
        <v>3970</v>
      </c>
      <c r="V224" s="2" t="s">
        <v>3971</v>
      </c>
    </row>
    <row r="225" spans="1:23" ht="85" x14ac:dyDescent="0.2">
      <c r="A225" s="2" t="s">
        <v>915</v>
      </c>
      <c r="B225" s="2" t="s">
        <v>916</v>
      </c>
      <c r="C225" s="2" t="s">
        <v>917</v>
      </c>
      <c r="D225" s="1">
        <v>365</v>
      </c>
      <c r="E225" s="2" t="s">
        <v>23</v>
      </c>
      <c r="F225" s="2" t="s">
        <v>885</v>
      </c>
      <c r="G225" s="2" t="s">
        <v>911</v>
      </c>
      <c r="H225" s="2" t="s">
        <v>370</v>
      </c>
      <c r="I225" s="2" t="s">
        <v>102</v>
      </c>
      <c r="J225" s="2" t="s">
        <v>103</v>
      </c>
      <c r="K225" s="2" t="s">
        <v>190</v>
      </c>
      <c r="L225" s="2" t="s">
        <v>887</v>
      </c>
      <c r="M225" s="2" t="s">
        <v>888</v>
      </c>
      <c r="N225" s="2" t="s">
        <v>912</v>
      </c>
      <c r="O225" s="2" t="s">
        <v>564</v>
      </c>
      <c r="P225" s="2" t="s">
        <v>913</v>
      </c>
      <c r="Q225" s="2" t="s">
        <v>199</v>
      </c>
      <c r="R225" s="2" t="s">
        <v>32</v>
      </c>
      <c r="S225" s="2" t="s">
        <v>33</v>
      </c>
      <c r="T225" s="2" t="s">
        <v>914</v>
      </c>
      <c r="U225" s="2" t="s">
        <v>3970</v>
      </c>
      <c r="V225" s="2" t="s">
        <v>3971</v>
      </c>
    </row>
    <row r="226" spans="1:23" ht="85" x14ac:dyDescent="0.2">
      <c r="A226" s="2" t="s">
        <v>918</v>
      </c>
      <c r="B226" s="2" t="s">
        <v>919</v>
      </c>
      <c r="C226" s="2" t="s">
        <v>920</v>
      </c>
      <c r="D226" s="1">
        <v>365</v>
      </c>
      <c r="E226" s="2" t="s">
        <v>23</v>
      </c>
      <c r="F226" s="2" t="s">
        <v>885</v>
      </c>
      <c r="G226" s="2" t="s">
        <v>911</v>
      </c>
      <c r="H226" s="2" t="s">
        <v>370</v>
      </c>
      <c r="I226" s="2" t="s">
        <v>102</v>
      </c>
      <c r="J226" s="2" t="s">
        <v>103</v>
      </c>
      <c r="K226" s="2" t="s">
        <v>190</v>
      </c>
      <c r="L226" s="2" t="s">
        <v>887</v>
      </c>
      <c r="M226" s="2" t="s">
        <v>888</v>
      </c>
      <c r="N226" s="2" t="s">
        <v>921</v>
      </c>
      <c r="O226" s="2" t="s">
        <v>564</v>
      </c>
      <c r="P226" s="2" t="s">
        <v>165</v>
      </c>
      <c r="Q226" s="2" t="s">
        <v>41</v>
      </c>
      <c r="R226" s="2" t="s">
        <v>32</v>
      </c>
      <c r="S226" s="2" t="s">
        <v>33</v>
      </c>
      <c r="T226" s="2" t="s">
        <v>914</v>
      </c>
      <c r="U226" s="2" t="s">
        <v>922</v>
      </c>
    </row>
    <row r="227" spans="1:23" ht="119" x14ac:dyDescent="0.2">
      <c r="A227" s="2" t="s">
        <v>923</v>
      </c>
      <c r="B227" s="2" t="s">
        <v>924</v>
      </c>
      <c r="C227" s="2" t="s">
        <v>925</v>
      </c>
      <c r="D227" s="1">
        <v>365</v>
      </c>
      <c r="E227" s="2" t="s">
        <v>23</v>
      </c>
      <c r="F227" s="2" t="s">
        <v>885</v>
      </c>
      <c r="G227" s="2" t="s">
        <v>911</v>
      </c>
      <c r="H227" s="2" t="s">
        <v>370</v>
      </c>
      <c r="I227" s="2" t="s">
        <v>6802</v>
      </c>
      <c r="J227" s="2" t="s">
        <v>103</v>
      </c>
      <c r="K227" s="2" t="s">
        <v>190</v>
      </c>
      <c r="L227" s="2" t="s">
        <v>887</v>
      </c>
      <c r="M227" s="2" t="s">
        <v>888</v>
      </c>
      <c r="N227" s="2" t="s">
        <v>926</v>
      </c>
      <c r="O227" s="2" t="s">
        <v>564</v>
      </c>
      <c r="P227" s="2" t="s">
        <v>183</v>
      </c>
      <c r="Q227" s="2" t="s">
        <v>41</v>
      </c>
      <c r="R227" s="2" t="s">
        <v>32</v>
      </c>
      <c r="S227" s="2" t="s">
        <v>33</v>
      </c>
      <c r="T227" s="2" t="s">
        <v>927</v>
      </c>
      <c r="U227" s="2" t="s">
        <v>3972</v>
      </c>
      <c r="V227" s="2" t="s">
        <v>3973</v>
      </c>
    </row>
    <row r="228" spans="1:23" ht="102" customHeight="1" x14ac:dyDescent="0.2">
      <c r="A228" s="2" t="s">
        <v>928</v>
      </c>
      <c r="B228" s="2" t="s">
        <v>929</v>
      </c>
      <c r="C228" s="2" t="s">
        <v>930</v>
      </c>
      <c r="D228" s="1">
        <v>365</v>
      </c>
      <c r="E228" s="2" t="s">
        <v>23</v>
      </c>
      <c r="F228" s="2" t="s">
        <v>885</v>
      </c>
      <c r="G228" s="2" t="s">
        <v>911</v>
      </c>
      <c r="H228" s="2" t="s">
        <v>370</v>
      </c>
      <c r="I228" s="2" t="s">
        <v>6802</v>
      </c>
      <c r="J228" s="2" t="s">
        <v>103</v>
      </c>
      <c r="K228" s="2" t="s">
        <v>190</v>
      </c>
      <c r="L228" s="2" t="s">
        <v>887</v>
      </c>
      <c r="M228" s="2" t="s">
        <v>888</v>
      </c>
      <c r="N228" s="2" t="s">
        <v>926</v>
      </c>
      <c r="O228" s="2" t="s">
        <v>564</v>
      </c>
      <c r="P228" s="2" t="s">
        <v>183</v>
      </c>
      <c r="Q228" s="2" t="s">
        <v>199</v>
      </c>
      <c r="R228" s="2" t="s">
        <v>32</v>
      </c>
      <c r="S228" s="2" t="s">
        <v>33</v>
      </c>
      <c r="T228" s="2" t="s">
        <v>927</v>
      </c>
      <c r="U228" s="2" t="s">
        <v>3972</v>
      </c>
      <c r="V228" s="2" t="s">
        <v>3973</v>
      </c>
    </row>
    <row r="229" spans="1:23" ht="85" x14ac:dyDescent="0.2">
      <c r="A229" s="2" t="s">
        <v>950</v>
      </c>
      <c r="B229" s="2" t="s">
        <v>951</v>
      </c>
      <c r="C229" s="2" t="s">
        <v>951</v>
      </c>
      <c r="D229" s="1">
        <v>365</v>
      </c>
      <c r="E229" s="2" t="s">
        <v>23</v>
      </c>
      <c r="F229" s="2" t="s">
        <v>952</v>
      </c>
      <c r="G229" s="2" t="s">
        <v>946</v>
      </c>
      <c r="H229" s="2" t="s">
        <v>953</v>
      </c>
      <c r="I229" s="2" t="s">
        <v>102</v>
      </c>
      <c r="J229" s="2" t="s">
        <v>469</v>
      </c>
      <c r="K229" s="2" t="s">
        <v>470</v>
      </c>
      <c r="L229" s="2" t="s">
        <v>954</v>
      </c>
      <c r="M229" s="2" t="s">
        <v>257</v>
      </c>
      <c r="N229" s="2" t="s">
        <v>955</v>
      </c>
      <c r="O229" s="2" t="s">
        <v>257</v>
      </c>
      <c r="P229" s="2" t="s">
        <v>115</v>
      </c>
      <c r="Q229" s="2" t="s">
        <v>41</v>
      </c>
      <c r="R229" s="2" t="s">
        <v>32</v>
      </c>
      <c r="S229" s="2" t="s">
        <v>33</v>
      </c>
      <c r="T229" s="2" t="s">
        <v>956</v>
      </c>
      <c r="U229" s="2" t="s">
        <v>957</v>
      </c>
    </row>
    <row r="230" spans="1:23" ht="119" x14ac:dyDescent="0.2">
      <c r="A230" s="2" t="s">
        <v>968</v>
      </c>
      <c r="B230" s="2" t="s">
        <v>969</v>
      </c>
      <c r="C230" s="2" t="s">
        <v>970</v>
      </c>
      <c r="D230" s="1">
        <v>365</v>
      </c>
      <c r="E230" s="2" t="s">
        <v>971</v>
      </c>
      <c r="G230" s="2" t="s">
        <v>869</v>
      </c>
      <c r="H230" s="2" t="s">
        <v>63</v>
      </c>
      <c r="I230" s="2" t="s">
        <v>972</v>
      </c>
      <c r="J230" s="2" t="s">
        <v>973</v>
      </c>
      <c r="K230" s="2" t="s">
        <v>974</v>
      </c>
      <c r="L230" s="2" t="s">
        <v>974</v>
      </c>
      <c r="M230" s="2" t="s">
        <v>975</v>
      </c>
      <c r="N230" s="2" t="s">
        <v>976</v>
      </c>
      <c r="O230" s="2" t="s">
        <v>806</v>
      </c>
      <c r="P230" s="2" t="s">
        <v>30</v>
      </c>
      <c r="Q230" s="2" t="s">
        <v>30</v>
      </c>
      <c r="R230" s="2" t="s">
        <v>32</v>
      </c>
      <c r="S230" s="2" t="s">
        <v>33</v>
      </c>
      <c r="T230" s="2" t="s">
        <v>977</v>
      </c>
      <c r="U230" s="2" t="s">
        <v>3980</v>
      </c>
      <c r="V230" s="2" t="s">
        <v>3981</v>
      </c>
      <c r="W230" s="2" t="s">
        <v>3982</v>
      </c>
    </row>
    <row r="231" spans="1:23" ht="119" x14ac:dyDescent="0.2">
      <c r="A231" s="2" t="s">
        <v>978</v>
      </c>
      <c r="B231" s="2" t="s">
        <v>979</v>
      </c>
      <c r="C231" s="2" t="s">
        <v>980</v>
      </c>
      <c r="D231" s="1">
        <v>365</v>
      </c>
      <c r="E231" s="2" t="s">
        <v>971</v>
      </c>
      <c r="G231" s="2" t="s">
        <v>869</v>
      </c>
      <c r="H231" s="2" t="s">
        <v>63</v>
      </c>
      <c r="I231" s="2" t="s">
        <v>972</v>
      </c>
      <c r="J231" s="2" t="s">
        <v>973</v>
      </c>
      <c r="K231" s="2" t="s">
        <v>974</v>
      </c>
      <c r="L231" s="2" t="s">
        <v>974</v>
      </c>
      <c r="M231" s="2" t="s">
        <v>975</v>
      </c>
      <c r="N231" s="2" t="s">
        <v>976</v>
      </c>
      <c r="O231" s="2" t="s">
        <v>806</v>
      </c>
      <c r="P231" s="2" t="s">
        <v>30</v>
      </c>
      <c r="Q231" s="2" t="s">
        <v>403</v>
      </c>
      <c r="R231" s="2" t="s">
        <v>32</v>
      </c>
      <c r="S231" s="2" t="s">
        <v>33</v>
      </c>
      <c r="T231" s="2" t="s">
        <v>977</v>
      </c>
      <c r="U231" s="2" t="s">
        <v>3980</v>
      </c>
      <c r="V231" s="2" t="s">
        <v>3981</v>
      </c>
      <c r="W231" s="2" t="s">
        <v>3982</v>
      </c>
    </row>
    <row r="232" spans="1:23" ht="102" customHeight="1" x14ac:dyDescent="0.2">
      <c r="A232" s="2" t="s">
        <v>981</v>
      </c>
      <c r="B232" s="2" t="s">
        <v>982</v>
      </c>
      <c r="C232" s="2" t="s">
        <v>983</v>
      </c>
      <c r="D232" s="1">
        <v>365</v>
      </c>
      <c r="E232" s="2" t="s">
        <v>971</v>
      </c>
      <c r="G232" s="2" t="s">
        <v>869</v>
      </c>
      <c r="H232" s="2" t="s">
        <v>63</v>
      </c>
      <c r="I232" s="2" t="s">
        <v>972</v>
      </c>
      <c r="J232" s="2" t="s">
        <v>973</v>
      </c>
      <c r="K232" s="2" t="s">
        <v>974</v>
      </c>
      <c r="L232" s="2" t="s">
        <v>974</v>
      </c>
      <c r="M232" s="2" t="s">
        <v>975</v>
      </c>
      <c r="N232" s="2" t="s">
        <v>984</v>
      </c>
      <c r="O232" s="2" t="s">
        <v>806</v>
      </c>
      <c r="P232" s="2" t="s">
        <v>40</v>
      </c>
      <c r="Q232" s="2" t="s">
        <v>30</v>
      </c>
      <c r="R232" s="2" t="s">
        <v>32</v>
      </c>
      <c r="S232" s="2" t="s">
        <v>33</v>
      </c>
      <c r="T232" s="2" t="s">
        <v>977</v>
      </c>
      <c r="U232" s="2" t="s">
        <v>985</v>
      </c>
    </row>
    <row r="233" spans="1:23" ht="119" x14ac:dyDescent="0.2">
      <c r="A233" s="2" t="s">
        <v>986</v>
      </c>
      <c r="B233" s="2" t="s">
        <v>987</v>
      </c>
      <c r="C233" s="2" t="s">
        <v>988</v>
      </c>
      <c r="D233" s="1">
        <v>365</v>
      </c>
      <c r="E233" s="2" t="s">
        <v>971</v>
      </c>
      <c r="G233" s="2" t="s">
        <v>869</v>
      </c>
      <c r="H233" s="2" t="s">
        <v>63</v>
      </c>
      <c r="I233" s="2" t="s">
        <v>972</v>
      </c>
      <c r="J233" s="2" t="s">
        <v>973</v>
      </c>
      <c r="K233" s="2" t="s">
        <v>974</v>
      </c>
      <c r="L233" s="2" t="s">
        <v>974</v>
      </c>
      <c r="M233" s="2" t="s">
        <v>975</v>
      </c>
      <c r="N233" s="2" t="s">
        <v>984</v>
      </c>
      <c r="O233" s="2" t="s">
        <v>806</v>
      </c>
      <c r="P233" s="2" t="s">
        <v>40</v>
      </c>
      <c r="Q233" s="2" t="s">
        <v>403</v>
      </c>
      <c r="R233" s="2" t="s">
        <v>32</v>
      </c>
      <c r="S233" s="2" t="s">
        <v>33</v>
      </c>
      <c r="T233" s="2" t="s">
        <v>977</v>
      </c>
      <c r="U233" s="2" t="s">
        <v>985</v>
      </c>
    </row>
    <row r="234" spans="1:23" ht="119" x14ac:dyDescent="0.2">
      <c r="A234" s="2" t="s">
        <v>989</v>
      </c>
      <c r="B234" s="2" t="s">
        <v>990</v>
      </c>
      <c r="C234" s="2" t="s">
        <v>991</v>
      </c>
      <c r="D234" s="1">
        <v>365</v>
      </c>
      <c r="E234" s="2" t="s">
        <v>971</v>
      </c>
      <c r="G234" s="2" t="s">
        <v>869</v>
      </c>
      <c r="H234" s="2" t="s">
        <v>63</v>
      </c>
      <c r="I234" s="2" t="s">
        <v>972</v>
      </c>
      <c r="J234" s="2" t="s">
        <v>973</v>
      </c>
      <c r="K234" s="2" t="s">
        <v>992</v>
      </c>
      <c r="L234" s="2" t="s">
        <v>992</v>
      </c>
      <c r="M234" s="2" t="s">
        <v>993</v>
      </c>
      <c r="N234" s="2" t="s">
        <v>976</v>
      </c>
      <c r="O234" s="2" t="s">
        <v>806</v>
      </c>
      <c r="P234" s="2" t="s">
        <v>30</v>
      </c>
      <c r="Q234" s="2" t="s">
        <v>40</v>
      </c>
      <c r="R234" s="2" t="s">
        <v>32</v>
      </c>
      <c r="S234" s="2" t="s">
        <v>33</v>
      </c>
      <c r="T234" s="2" t="s">
        <v>977</v>
      </c>
      <c r="U234" s="2" t="s">
        <v>3980</v>
      </c>
      <c r="V234" s="2" t="s">
        <v>3981</v>
      </c>
      <c r="W234" s="2" t="s">
        <v>3982</v>
      </c>
    </row>
    <row r="235" spans="1:23" ht="119" x14ac:dyDescent="0.2">
      <c r="A235" s="2" t="s">
        <v>994</v>
      </c>
      <c r="B235" s="2" t="s">
        <v>995</v>
      </c>
      <c r="C235" s="2" t="s">
        <v>996</v>
      </c>
      <c r="D235" s="1">
        <v>365</v>
      </c>
      <c r="E235" s="2" t="s">
        <v>971</v>
      </c>
      <c r="G235" s="2" t="s">
        <v>869</v>
      </c>
      <c r="H235" s="2" t="s">
        <v>63</v>
      </c>
      <c r="I235" s="2" t="s">
        <v>972</v>
      </c>
      <c r="J235" s="2" t="s">
        <v>973</v>
      </c>
      <c r="K235" s="2" t="s">
        <v>992</v>
      </c>
      <c r="L235" s="2" t="s">
        <v>992</v>
      </c>
      <c r="M235" s="2" t="s">
        <v>993</v>
      </c>
      <c r="N235" s="2" t="s">
        <v>976</v>
      </c>
      <c r="O235" s="2" t="s">
        <v>806</v>
      </c>
      <c r="P235" s="2" t="s">
        <v>30</v>
      </c>
      <c r="Q235" s="2" t="s">
        <v>997</v>
      </c>
      <c r="R235" s="2" t="s">
        <v>32</v>
      </c>
      <c r="S235" s="2" t="s">
        <v>33</v>
      </c>
      <c r="T235" s="2" t="s">
        <v>977</v>
      </c>
      <c r="U235" s="2" t="s">
        <v>3980</v>
      </c>
      <c r="V235" s="2" t="s">
        <v>3981</v>
      </c>
      <c r="W235" s="2" t="s">
        <v>3982</v>
      </c>
    </row>
    <row r="236" spans="1:23" ht="119" x14ac:dyDescent="0.2">
      <c r="A236" s="2" t="s">
        <v>998</v>
      </c>
      <c r="B236" s="2" t="s">
        <v>999</v>
      </c>
      <c r="C236" s="2" t="s">
        <v>1000</v>
      </c>
      <c r="D236" s="1">
        <v>365</v>
      </c>
      <c r="E236" s="2" t="s">
        <v>971</v>
      </c>
      <c r="G236" s="2" t="s">
        <v>869</v>
      </c>
      <c r="H236" s="2" t="s">
        <v>63</v>
      </c>
      <c r="I236" s="2" t="s">
        <v>972</v>
      </c>
      <c r="J236" s="2" t="s">
        <v>973</v>
      </c>
      <c r="K236" s="2" t="s">
        <v>992</v>
      </c>
      <c r="L236" s="2" t="s">
        <v>992</v>
      </c>
      <c r="M236" s="2" t="s">
        <v>993</v>
      </c>
      <c r="N236" s="2" t="s">
        <v>984</v>
      </c>
      <c r="O236" s="2" t="s">
        <v>806</v>
      </c>
      <c r="P236" s="2" t="s">
        <v>40</v>
      </c>
      <c r="Q236" s="2" t="s">
        <v>40</v>
      </c>
      <c r="R236" s="2" t="s">
        <v>32</v>
      </c>
      <c r="S236" s="2" t="s">
        <v>33</v>
      </c>
      <c r="T236" s="2" t="s">
        <v>977</v>
      </c>
      <c r="U236" s="2" t="s">
        <v>985</v>
      </c>
    </row>
    <row r="237" spans="1:23" ht="119" x14ac:dyDescent="0.2">
      <c r="A237" s="2" t="s">
        <v>1001</v>
      </c>
      <c r="B237" s="2" t="s">
        <v>1002</v>
      </c>
      <c r="C237" s="2" t="s">
        <v>1003</v>
      </c>
      <c r="D237" s="1">
        <v>365</v>
      </c>
      <c r="E237" s="2" t="s">
        <v>971</v>
      </c>
      <c r="G237" s="2" t="s">
        <v>869</v>
      </c>
      <c r="H237" s="2" t="s">
        <v>63</v>
      </c>
      <c r="I237" s="2" t="s">
        <v>972</v>
      </c>
      <c r="J237" s="2" t="s">
        <v>973</v>
      </c>
      <c r="K237" s="2" t="s">
        <v>992</v>
      </c>
      <c r="L237" s="2" t="s">
        <v>992</v>
      </c>
      <c r="M237" s="2" t="s">
        <v>993</v>
      </c>
      <c r="N237" s="2" t="s">
        <v>984</v>
      </c>
      <c r="O237" s="2" t="s">
        <v>806</v>
      </c>
      <c r="P237" s="2" t="s">
        <v>40</v>
      </c>
      <c r="Q237" s="2" t="s">
        <v>997</v>
      </c>
      <c r="R237" s="2" t="s">
        <v>32</v>
      </c>
      <c r="S237" s="2" t="s">
        <v>33</v>
      </c>
      <c r="T237" s="2" t="s">
        <v>977</v>
      </c>
      <c r="U237" s="2" t="s">
        <v>985</v>
      </c>
    </row>
    <row r="238" spans="1:23" ht="37" customHeight="1" x14ac:dyDescent="0.2">
      <c r="A238" s="2" t="s">
        <v>1004</v>
      </c>
      <c r="B238" s="2" t="s">
        <v>1005</v>
      </c>
      <c r="C238" s="2" t="s">
        <v>1006</v>
      </c>
      <c r="D238" s="1">
        <v>182</v>
      </c>
      <c r="E238" s="2" t="s">
        <v>23</v>
      </c>
      <c r="H238" s="2" t="s">
        <v>370</v>
      </c>
      <c r="I238" s="2" t="s">
        <v>6887</v>
      </c>
      <c r="J238" s="2" t="s">
        <v>1007</v>
      </c>
      <c r="K238" s="2" t="s">
        <v>1008</v>
      </c>
      <c r="L238" s="2" t="s">
        <v>1009</v>
      </c>
      <c r="M238" s="2" t="s">
        <v>871</v>
      </c>
      <c r="N238" s="2" t="s">
        <v>1010</v>
      </c>
      <c r="O238" s="2" t="s">
        <v>871</v>
      </c>
      <c r="P238" s="2" t="s">
        <v>41</v>
      </c>
      <c r="Q238" s="2" t="s">
        <v>41</v>
      </c>
      <c r="R238" s="2" t="s">
        <v>32</v>
      </c>
      <c r="S238" s="2" t="s">
        <v>33</v>
      </c>
      <c r="T238" s="2" t="s">
        <v>1011</v>
      </c>
      <c r="U238" s="2" t="s">
        <v>3983</v>
      </c>
      <c r="V238" s="2" t="s">
        <v>3984</v>
      </c>
      <c r="W238" s="2" t="s">
        <v>3985</v>
      </c>
    </row>
    <row r="239" spans="1:23" ht="53" customHeight="1" x14ac:dyDescent="0.2">
      <c r="A239" s="2" t="s">
        <v>1012</v>
      </c>
      <c r="B239" s="2" t="s">
        <v>1013</v>
      </c>
      <c r="C239" s="2" t="s">
        <v>1014</v>
      </c>
      <c r="D239" s="1">
        <v>182</v>
      </c>
      <c r="E239" s="2" t="s">
        <v>23</v>
      </c>
      <c r="I239" s="2" t="s">
        <v>6887</v>
      </c>
      <c r="J239" s="2" t="s">
        <v>1007</v>
      </c>
      <c r="K239" s="2" t="s">
        <v>1008</v>
      </c>
      <c r="L239" s="2" t="s">
        <v>1009</v>
      </c>
      <c r="M239" s="2" t="s">
        <v>871</v>
      </c>
      <c r="N239" s="2" t="s">
        <v>1010</v>
      </c>
      <c r="O239" s="2" t="s">
        <v>871</v>
      </c>
      <c r="P239" s="2" t="s">
        <v>41</v>
      </c>
      <c r="Q239" s="2" t="s">
        <v>199</v>
      </c>
      <c r="R239" s="2" t="s">
        <v>32</v>
      </c>
      <c r="S239" s="2" t="s">
        <v>33</v>
      </c>
      <c r="T239" s="2" t="s">
        <v>1011</v>
      </c>
      <c r="U239" s="2" t="s">
        <v>3983</v>
      </c>
      <c r="V239" s="2" t="s">
        <v>3984</v>
      </c>
      <c r="W239" s="2" t="s">
        <v>3985</v>
      </c>
    </row>
    <row r="240" spans="1:23" ht="119" x14ac:dyDescent="0.2">
      <c r="A240" s="2" t="s">
        <v>1015</v>
      </c>
      <c r="B240" s="2" t="s">
        <v>1016</v>
      </c>
      <c r="C240" s="2" t="s">
        <v>1016</v>
      </c>
      <c r="D240" s="1">
        <v>365</v>
      </c>
      <c r="E240" s="2" t="s">
        <v>61</v>
      </c>
      <c r="F240" s="2" t="s">
        <v>1017</v>
      </c>
      <c r="G240" s="2" t="s">
        <v>886</v>
      </c>
      <c r="H240" s="2" t="s">
        <v>369</v>
      </c>
      <c r="I240" s="2" t="s">
        <v>6737</v>
      </c>
      <c r="J240" s="2" t="s">
        <v>27</v>
      </c>
      <c r="K240" s="2" t="s">
        <v>64</v>
      </c>
      <c r="L240" s="2" t="s">
        <v>518</v>
      </c>
      <c r="M240" s="2" t="s">
        <v>519</v>
      </c>
      <c r="N240" s="2" t="s">
        <v>1018</v>
      </c>
      <c r="O240" s="2" t="s">
        <v>68</v>
      </c>
      <c r="P240" s="2" t="s">
        <v>353</v>
      </c>
      <c r="Q240" s="2" t="s">
        <v>41</v>
      </c>
      <c r="R240" s="2" t="s">
        <v>32</v>
      </c>
      <c r="S240" s="2" t="s">
        <v>33</v>
      </c>
      <c r="T240" s="2" t="s">
        <v>1019</v>
      </c>
      <c r="U240" s="2" t="s">
        <v>3986</v>
      </c>
      <c r="V240" s="2" t="s">
        <v>3987</v>
      </c>
      <c r="W240" s="2" t="s">
        <v>3988</v>
      </c>
    </row>
    <row r="241" spans="1:112" ht="119" x14ac:dyDescent="0.2">
      <c r="A241" s="2" t="s">
        <v>1020</v>
      </c>
      <c r="B241" s="2" t="s">
        <v>1021</v>
      </c>
      <c r="C241" s="2" t="s">
        <v>1021</v>
      </c>
      <c r="D241" s="1">
        <v>365</v>
      </c>
      <c r="E241" s="2" t="s">
        <v>61</v>
      </c>
      <c r="F241" s="2" t="s">
        <v>1017</v>
      </c>
      <c r="G241" s="2" t="s">
        <v>886</v>
      </c>
      <c r="H241" s="2" t="s">
        <v>369</v>
      </c>
      <c r="I241" s="2" t="s">
        <v>6737</v>
      </c>
      <c r="J241" s="2" t="s">
        <v>27</v>
      </c>
      <c r="K241" s="2" t="s">
        <v>64</v>
      </c>
      <c r="L241" s="2" t="s">
        <v>518</v>
      </c>
      <c r="M241" s="2" t="s">
        <v>519</v>
      </c>
      <c r="N241" s="2" t="s">
        <v>1018</v>
      </c>
      <c r="O241" s="2" t="s">
        <v>68</v>
      </c>
      <c r="P241" s="2" t="s">
        <v>353</v>
      </c>
      <c r="Q241" s="2" t="s">
        <v>199</v>
      </c>
      <c r="R241" s="2" t="s">
        <v>32</v>
      </c>
      <c r="S241" s="2" t="s">
        <v>33</v>
      </c>
      <c r="T241" s="2" t="s">
        <v>1019</v>
      </c>
      <c r="U241" s="2" t="s">
        <v>3986</v>
      </c>
      <c r="V241" s="2" t="s">
        <v>3987</v>
      </c>
      <c r="W241" s="2" t="s">
        <v>3988</v>
      </c>
    </row>
    <row r="242" spans="1:112" ht="153" x14ac:dyDescent="0.2">
      <c r="A242" s="2" t="s">
        <v>1022</v>
      </c>
      <c r="B242" s="2" t="s">
        <v>1023</v>
      </c>
      <c r="C242" s="2" t="s">
        <v>1024</v>
      </c>
      <c r="D242" s="1">
        <v>365</v>
      </c>
      <c r="E242" s="2" t="s">
        <v>23</v>
      </c>
      <c r="G242" s="2" t="s">
        <v>886</v>
      </c>
      <c r="H242" s="2" t="s">
        <v>25</v>
      </c>
      <c r="I242" s="2" t="s">
        <v>1025</v>
      </c>
      <c r="J242" s="2" t="s">
        <v>1026</v>
      </c>
      <c r="K242" s="2" t="s">
        <v>1027</v>
      </c>
      <c r="L242" s="2" t="s">
        <v>1028</v>
      </c>
      <c r="M242" s="2" t="s">
        <v>1029</v>
      </c>
      <c r="N242" s="2" t="s">
        <v>1030</v>
      </c>
      <c r="O242" s="2" t="s">
        <v>1031</v>
      </c>
      <c r="P242" s="2" t="s">
        <v>30</v>
      </c>
      <c r="Q242" s="2" t="s">
        <v>41</v>
      </c>
      <c r="R242" s="2" t="s">
        <v>32</v>
      </c>
      <c r="S242" s="2" t="s">
        <v>33</v>
      </c>
      <c r="T242" s="2" t="s">
        <v>1032</v>
      </c>
      <c r="U242" s="2" t="s">
        <v>3989</v>
      </c>
      <c r="V242" s="2" t="s">
        <v>3990</v>
      </c>
      <c r="W242" s="2" t="s">
        <v>3991</v>
      </c>
      <c r="X242" s="2" t="s">
        <v>3992</v>
      </c>
      <c r="Y242" s="2" t="s">
        <v>3993</v>
      </c>
    </row>
    <row r="243" spans="1:112" ht="153" x14ac:dyDescent="0.2">
      <c r="A243" s="2" t="s">
        <v>1033</v>
      </c>
      <c r="B243" s="2" t="s">
        <v>1034</v>
      </c>
      <c r="C243" s="2" t="s">
        <v>1035</v>
      </c>
      <c r="D243" s="1">
        <v>365</v>
      </c>
      <c r="E243" s="2" t="s">
        <v>23</v>
      </c>
      <c r="G243" s="2" t="s">
        <v>886</v>
      </c>
      <c r="H243" s="2" t="s">
        <v>25</v>
      </c>
      <c r="I243" s="2" t="s">
        <v>1025</v>
      </c>
      <c r="J243" s="2" t="s">
        <v>1026</v>
      </c>
      <c r="K243" s="2" t="s">
        <v>1027</v>
      </c>
      <c r="L243" s="2" t="s">
        <v>1028</v>
      </c>
      <c r="M243" s="2" t="s">
        <v>1029</v>
      </c>
      <c r="N243" s="2" t="s">
        <v>1030</v>
      </c>
      <c r="O243" s="2" t="s">
        <v>1031</v>
      </c>
      <c r="P243" s="2" t="s">
        <v>30</v>
      </c>
      <c r="Q243" s="2" t="s">
        <v>199</v>
      </c>
      <c r="R243" s="2" t="s">
        <v>32</v>
      </c>
      <c r="S243" s="2" t="s">
        <v>33</v>
      </c>
      <c r="T243" s="2" t="s">
        <v>1032</v>
      </c>
      <c r="U243" s="2" t="s">
        <v>3994</v>
      </c>
      <c r="V243" s="2" t="s">
        <v>3995</v>
      </c>
    </row>
    <row r="244" spans="1:112" ht="34" customHeight="1" x14ac:dyDescent="0.2">
      <c r="A244" s="2" t="s">
        <v>1036</v>
      </c>
      <c r="B244" s="2" t="s">
        <v>1037</v>
      </c>
      <c r="C244" s="2" t="s">
        <v>1038</v>
      </c>
      <c r="D244" s="1">
        <v>365</v>
      </c>
      <c r="E244" s="2" t="s">
        <v>23</v>
      </c>
      <c r="G244" s="2" t="s">
        <v>886</v>
      </c>
      <c r="H244" s="2" t="s">
        <v>25</v>
      </c>
      <c r="I244" s="2" t="s">
        <v>1025</v>
      </c>
      <c r="J244" s="2" t="s">
        <v>1026</v>
      </c>
      <c r="K244" s="2" t="s">
        <v>1039</v>
      </c>
      <c r="L244" s="2" t="s">
        <v>1040</v>
      </c>
      <c r="M244" s="2" t="s">
        <v>1041</v>
      </c>
      <c r="N244" s="2" t="s">
        <v>1042</v>
      </c>
      <c r="O244" s="2" t="s">
        <v>1043</v>
      </c>
      <c r="P244" s="2" t="s">
        <v>41</v>
      </c>
      <c r="Q244" s="2" t="s">
        <v>41</v>
      </c>
      <c r="R244" s="2" t="s">
        <v>32</v>
      </c>
      <c r="S244" s="2" t="s">
        <v>33</v>
      </c>
      <c r="T244" s="2" t="s">
        <v>1044</v>
      </c>
      <c r="U244" s="2" t="s">
        <v>3996</v>
      </c>
      <c r="V244" s="2" t="s">
        <v>3997</v>
      </c>
      <c r="W244" s="2" t="s">
        <v>3998</v>
      </c>
      <c r="X244" s="2" t="s">
        <v>3999</v>
      </c>
      <c r="Y244" s="2" t="s">
        <v>4000</v>
      </c>
      <c r="Z244" s="2" t="s">
        <v>4001</v>
      </c>
      <c r="AA244" s="2" t="s">
        <v>4002</v>
      </c>
      <c r="AB244" s="2" t="s">
        <v>4003</v>
      </c>
      <c r="AC244" s="2" t="s">
        <v>4004</v>
      </c>
      <c r="AD244" s="2" t="s">
        <v>4005</v>
      </c>
      <c r="AE244" s="2" t="s">
        <v>4006</v>
      </c>
      <c r="AF244" s="2" t="s">
        <v>4007</v>
      </c>
      <c r="AG244" s="2" t="s">
        <v>4008</v>
      </c>
      <c r="AH244" s="2" t="s">
        <v>4009</v>
      </c>
      <c r="AI244" s="2" t="s">
        <v>4010</v>
      </c>
      <c r="AJ244" s="2" t="s">
        <v>4011</v>
      </c>
    </row>
    <row r="245" spans="1:112" ht="153" x14ac:dyDescent="0.2">
      <c r="A245" s="7" t="s">
        <v>5270</v>
      </c>
      <c r="B245" s="7" t="s">
        <v>5271</v>
      </c>
      <c r="C245" s="2" t="s">
        <v>5271</v>
      </c>
      <c r="D245" s="1">
        <v>365</v>
      </c>
      <c r="E245" s="2" t="s">
        <v>23</v>
      </c>
      <c r="G245" s="2" t="s">
        <v>886</v>
      </c>
      <c r="H245" s="2" t="s">
        <v>25</v>
      </c>
      <c r="I245" s="2" t="s">
        <v>1025</v>
      </c>
      <c r="J245" s="12" t="s">
        <v>1026</v>
      </c>
      <c r="K245" s="12" t="s">
        <v>1039</v>
      </c>
      <c r="L245" s="12" t="s">
        <v>5266</v>
      </c>
      <c r="M245" s="12" t="s">
        <v>1041</v>
      </c>
      <c r="N245" s="12" t="s">
        <v>1042</v>
      </c>
      <c r="O245" s="12" t="s">
        <v>5272</v>
      </c>
      <c r="P245" s="12" t="s">
        <v>41</v>
      </c>
      <c r="Q245" s="12" t="s">
        <v>41</v>
      </c>
      <c r="R245" s="12" t="s">
        <v>32</v>
      </c>
      <c r="S245" s="12" t="s">
        <v>33</v>
      </c>
      <c r="T245" s="12" t="s">
        <v>1044</v>
      </c>
      <c r="U245" s="12" t="s">
        <v>5273</v>
      </c>
      <c r="V245" s="12" t="s">
        <v>5273</v>
      </c>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c r="DE245" s="12"/>
      <c r="DF245" s="12"/>
      <c r="DG245" s="12"/>
      <c r="DH245" s="12"/>
    </row>
    <row r="246" spans="1:112" ht="153" x14ac:dyDescent="0.2">
      <c r="A246" s="2" t="s">
        <v>1045</v>
      </c>
      <c r="B246" s="2" t="s">
        <v>1046</v>
      </c>
      <c r="C246" s="2" t="s">
        <v>1047</v>
      </c>
      <c r="D246" s="1">
        <v>365</v>
      </c>
      <c r="E246" s="2" t="s">
        <v>23</v>
      </c>
      <c r="G246" s="2" t="s">
        <v>886</v>
      </c>
      <c r="H246" s="2" t="s">
        <v>25</v>
      </c>
      <c r="I246" s="2" t="s">
        <v>1025</v>
      </c>
      <c r="J246" s="2" t="s">
        <v>1026</v>
      </c>
      <c r="K246" s="2" t="s">
        <v>1039</v>
      </c>
      <c r="L246" s="2" t="s">
        <v>1048</v>
      </c>
      <c r="M246" s="2" t="s">
        <v>1049</v>
      </c>
      <c r="N246" s="2" t="s">
        <v>1042</v>
      </c>
      <c r="O246" s="2" t="s">
        <v>1043</v>
      </c>
      <c r="P246" s="2" t="s">
        <v>41</v>
      </c>
      <c r="Q246" s="2" t="s">
        <v>41</v>
      </c>
      <c r="R246" s="2" t="s">
        <v>32</v>
      </c>
      <c r="S246" s="2" t="s">
        <v>33</v>
      </c>
      <c r="T246" s="2" t="s">
        <v>1044</v>
      </c>
      <c r="U246" s="2" t="s">
        <v>3996</v>
      </c>
      <c r="V246" s="2" t="s">
        <v>3997</v>
      </c>
      <c r="W246" s="2" t="s">
        <v>3998</v>
      </c>
      <c r="X246" s="2" t="s">
        <v>3999</v>
      </c>
      <c r="Y246" s="2" t="s">
        <v>4000</v>
      </c>
      <c r="Z246" s="2" t="s">
        <v>4001</v>
      </c>
      <c r="AA246" s="2" t="s">
        <v>4002</v>
      </c>
      <c r="AB246" s="2" t="s">
        <v>4003</v>
      </c>
      <c r="AC246" s="2" t="s">
        <v>4004</v>
      </c>
      <c r="AD246" s="2" t="s">
        <v>4005</v>
      </c>
      <c r="AE246" s="2" t="s">
        <v>4006</v>
      </c>
      <c r="AF246" s="2" t="s">
        <v>4007</v>
      </c>
      <c r="AG246" s="2" t="s">
        <v>4008</v>
      </c>
      <c r="AH246" s="2" t="s">
        <v>4009</v>
      </c>
      <c r="AI246" s="2" t="s">
        <v>4010</v>
      </c>
      <c r="AJ246" s="2" t="s">
        <v>4011</v>
      </c>
    </row>
    <row r="247" spans="1:112" ht="153" x14ac:dyDescent="0.2">
      <c r="A247" s="7" t="s">
        <v>5285</v>
      </c>
      <c r="B247" s="7" t="s">
        <v>5286</v>
      </c>
      <c r="C247" s="2" t="s">
        <v>5286</v>
      </c>
      <c r="D247" s="1">
        <v>365</v>
      </c>
      <c r="E247" s="2" t="s">
        <v>23</v>
      </c>
      <c r="G247" s="2" t="s">
        <v>886</v>
      </c>
      <c r="H247" s="2" t="s">
        <v>25</v>
      </c>
      <c r="I247" s="2" t="s">
        <v>1025</v>
      </c>
      <c r="J247" s="12" t="s">
        <v>1026</v>
      </c>
      <c r="K247" s="12" t="s">
        <v>1039</v>
      </c>
      <c r="L247" s="12" t="s">
        <v>5282</v>
      </c>
      <c r="M247" s="12" t="s">
        <v>1049</v>
      </c>
      <c r="N247" s="12" t="s">
        <v>1042</v>
      </c>
      <c r="O247" s="12" t="s">
        <v>5272</v>
      </c>
      <c r="P247" s="12" t="s">
        <v>41</v>
      </c>
      <c r="Q247" s="12" t="s">
        <v>41</v>
      </c>
      <c r="R247" s="12" t="s">
        <v>32</v>
      </c>
      <c r="S247" s="12" t="s">
        <v>33</v>
      </c>
      <c r="T247" s="12" t="s">
        <v>1044</v>
      </c>
      <c r="U247" s="12" t="s">
        <v>5273</v>
      </c>
      <c r="V247" s="12" t="s">
        <v>5273</v>
      </c>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c r="CI247" s="12"/>
      <c r="CJ247" s="12"/>
      <c r="CK247" s="12"/>
      <c r="CL247" s="12"/>
      <c r="CM247" s="12"/>
      <c r="CN247" s="12"/>
      <c r="CO247" s="12"/>
      <c r="CP247" s="12"/>
      <c r="CQ247" s="12"/>
      <c r="CR247" s="12"/>
      <c r="CS247" s="12"/>
      <c r="CT247" s="12"/>
      <c r="CU247" s="12"/>
      <c r="CV247" s="12"/>
      <c r="CW247" s="12"/>
      <c r="CX247" s="12"/>
      <c r="CY247" s="12"/>
      <c r="CZ247" s="12"/>
      <c r="DA247" s="12"/>
      <c r="DB247" s="12"/>
      <c r="DC247" s="12"/>
      <c r="DD247" s="12"/>
      <c r="DE247" s="12"/>
      <c r="DF247" s="12"/>
      <c r="DG247" s="12"/>
      <c r="DH247" s="12"/>
    </row>
    <row r="248" spans="1:112" ht="85" customHeight="1" x14ac:dyDescent="0.2">
      <c r="A248" s="7" t="s">
        <v>5287</v>
      </c>
      <c r="B248" s="7" t="s">
        <v>5288</v>
      </c>
      <c r="C248" s="2" t="s">
        <v>5288</v>
      </c>
      <c r="D248" s="1">
        <v>365</v>
      </c>
      <c r="E248" s="2" t="s">
        <v>23</v>
      </c>
      <c r="G248" s="2" t="s">
        <v>886</v>
      </c>
      <c r="H248" s="2" t="s">
        <v>25</v>
      </c>
      <c r="I248" s="2" t="s">
        <v>1025</v>
      </c>
      <c r="J248" s="12" t="s">
        <v>1026</v>
      </c>
      <c r="K248" s="12" t="s">
        <v>1039</v>
      </c>
      <c r="L248" s="12" t="s">
        <v>5282</v>
      </c>
      <c r="M248" s="12" t="s">
        <v>1049</v>
      </c>
      <c r="N248" s="12" t="s">
        <v>1042</v>
      </c>
      <c r="O248" s="12" t="s">
        <v>5272</v>
      </c>
      <c r="P248" s="12" t="s">
        <v>41</v>
      </c>
      <c r="Q248" s="12" t="s">
        <v>199</v>
      </c>
      <c r="R248" s="12" t="s">
        <v>32</v>
      </c>
      <c r="S248" s="12" t="s">
        <v>33</v>
      </c>
      <c r="T248" s="12" t="s">
        <v>1044</v>
      </c>
      <c r="U248" s="12" t="s">
        <v>5289</v>
      </c>
      <c r="V248" s="12" t="s">
        <v>5289</v>
      </c>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c r="CI248" s="12"/>
      <c r="CJ248" s="12"/>
      <c r="CK248" s="12"/>
      <c r="CL248" s="12"/>
      <c r="CM248" s="12"/>
      <c r="CN248" s="12"/>
      <c r="CO248" s="12"/>
      <c r="CP248" s="12"/>
      <c r="CQ248" s="12"/>
      <c r="CR248" s="12"/>
      <c r="CS248" s="12"/>
      <c r="CT248" s="12"/>
      <c r="CU248" s="12"/>
      <c r="CV248" s="12"/>
      <c r="CW248" s="12"/>
      <c r="CX248" s="12"/>
      <c r="CY248" s="12"/>
      <c r="CZ248" s="12"/>
      <c r="DA248" s="12"/>
      <c r="DB248" s="12"/>
      <c r="DC248" s="12"/>
      <c r="DD248" s="12"/>
      <c r="DE248" s="12"/>
      <c r="DF248" s="12"/>
      <c r="DG248" s="12"/>
      <c r="DH248" s="12"/>
    </row>
    <row r="249" spans="1:112" ht="153" x14ac:dyDescent="0.2">
      <c r="A249" s="2" t="s">
        <v>1050</v>
      </c>
      <c r="B249" s="2" t="s">
        <v>1051</v>
      </c>
      <c r="C249" s="2" t="s">
        <v>1052</v>
      </c>
      <c r="D249" s="1">
        <v>365</v>
      </c>
      <c r="E249" s="2" t="s">
        <v>23</v>
      </c>
      <c r="G249" s="2" t="s">
        <v>886</v>
      </c>
      <c r="H249" s="2" t="s">
        <v>25</v>
      </c>
      <c r="I249" s="2" t="s">
        <v>1025</v>
      </c>
      <c r="J249" s="2" t="s">
        <v>1026</v>
      </c>
      <c r="K249" s="2" t="s">
        <v>1039</v>
      </c>
      <c r="L249" s="2" t="s">
        <v>1053</v>
      </c>
      <c r="M249" s="2" t="s">
        <v>1054</v>
      </c>
      <c r="N249" s="2" t="s">
        <v>1042</v>
      </c>
      <c r="O249" s="2" t="s">
        <v>1043</v>
      </c>
      <c r="P249" s="2" t="s">
        <v>41</v>
      </c>
      <c r="Q249" s="2" t="s">
        <v>41</v>
      </c>
      <c r="R249" s="2" t="s">
        <v>32</v>
      </c>
      <c r="S249" s="2" t="s">
        <v>33</v>
      </c>
      <c r="T249" s="2" t="s">
        <v>1044</v>
      </c>
      <c r="U249" s="2" t="s">
        <v>3996</v>
      </c>
      <c r="V249" s="2" t="s">
        <v>3997</v>
      </c>
      <c r="W249" s="2" t="s">
        <v>3998</v>
      </c>
      <c r="X249" s="2" t="s">
        <v>3999</v>
      </c>
      <c r="Y249" s="2" t="s">
        <v>4000</v>
      </c>
      <c r="Z249" s="2" t="s">
        <v>4001</v>
      </c>
      <c r="AA249" s="2" t="s">
        <v>4002</v>
      </c>
      <c r="AB249" s="2" t="s">
        <v>4003</v>
      </c>
      <c r="AC249" s="2" t="s">
        <v>4004</v>
      </c>
      <c r="AD249" s="2" t="s">
        <v>4005</v>
      </c>
      <c r="AE249" s="2" t="s">
        <v>4006</v>
      </c>
      <c r="AF249" s="2" t="s">
        <v>4007</v>
      </c>
      <c r="AG249" s="2" t="s">
        <v>4008</v>
      </c>
      <c r="AH249" s="2" t="s">
        <v>4009</v>
      </c>
      <c r="AI249" s="2" t="s">
        <v>4010</v>
      </c>
      <c r="AJ249" s="2" t="s">
        <v>4011</v>
      </c>
    </row>
    <row r="250" spans="1:112" ht="153" x14ac:dyDescent="0.2">
      <c r="A250" s="2" t="s">
        <v>1055</v>
      </c>
      <c r="B250" s="2" t="s">
        <v>1056</v>
      </c>
      <c r="C250" s="2" t="s">
        <v>1057</v>
      </c>
      <c r="D250" s="1">
        <v>365</v>
      </c>
      <c r="E250" s="2" t="s">
        <v>23</v>
      </c>
      <c r="G250" s="2" t="s">
        <v>886</v>
      </c>
      <c r="H250" s="2" t="s">
        <v>25</v>
      </c>
      <c r="I250" s="2" t="s">
        <v>1025</v>
      </c>
      <c r="J250" s="2" t="s">
        <v>1026</v>
      </c>
      <c r="K250" s="2" t="s">
        <v>1039</v>
      </c>
      <c r="L250" s="2" t="s">
        <v>1058</v>
      </c>
      <c r="M250" s="2" t="s">
        <v>1059</v>
      </c>
      <c r="N250" s="2" t="s">
        <v>1042</v>
      </c>
      <c r="O250" s="2" t="s">
        <v>1043</v>
      </c>
      <c r="P250" s="2" t="s">
        <v>41</v>
      </c>
      <c r="Q250" s="2" t="s">
        <v>41</v>
      </c>
      <c r="R250" s="2" t="s">
        <v>32</v>
      </c>
      <c r="S250" s="2" t="s">
        <v>33</v>
      </c>
      <c r="T250" s="2" t="s">
        <v>1060</v>
      </c>
      <c r="U250" s="2" t="s">
        <v>3996</v>
      </c>
      <c r="V250" s="2" t="s">
        <v>3997</v>
      </c>
      <c r="W250" s="2" t="s">
        <v>3998</v>
      </c>
      <c r="X250" s="2" t="s">
        <v>3999</v>
      </c>
      <c r="Y250" s="2" t="s">
        <v>4000</v>
      </c>
      <c r="Z250" s="2" t="s">
        <v>4001</v>
      </c>
      <c r="AA250" s="2" t="s">
        <v>4002</v>
      </c>
      <c r="AB250" s="2" t="s">
        <v>4003</v>
      </c>
      <c r="AC250" s="2" t="s">
        <v>4004</v>
      </c>
      <c r="AD250" s="2" t="s">
        <v>4005</v>
      </c>
      <c r="AE250" s="2" t="s">
        <v>4006</v>
      </c>
      <c r="AF250" s="2" t="s">
        <v>4007</v>
      </c>
      <c r="AG250" s="2" t="s">
        <v>4008</v>
      </c>
      <c r="AH250" s="2" t="s">
        <v>4009</v>
      </c>
      <c r="AI250" s="2" t="s">
        <v>4010</v>
      </c>
      <c r="AJ250" s="2" t="s">
        <v>4011</v>
      </c>
    </row>
    <row r="251" spans="1:112" ht="153" x14ac:dyDescent="0.2">
      <c r="A251" s="7" t="s">
        <v>5313</v>
      </c>
      <c r="B251" s="7" t="s">
        <v>5314</v>
      </c>
      <c r="C251" s="2" t="s">
        <v>5315</v>
      </c>
      <c r="D251" s="1">
        <v>365</v>
      </c>
      <c r="E251" s="2" t="s">
        <v>61</v>
      </c>
      <c r="F251" s="2" t="s">
        <v>6038</v>
      </c>
      <c r="G251" s="2" t="s">
        <v>886</v>
      </c>
      <c r="H251" s="2" t="s">
        <v>25</v>
      </c>
      <c r="I251" s="2" t="s">
        <v>1025</v>
      </c>
      <c r="J251" s="12" t="s">
        <v>27</v>
      </c>
      <c r="K251" s="12" t="s">
        <v>64</v>
      </c>
      <c r="L251" s="12" t="s">
        <v>90</v>
      </c>
      <c r="M251" s="12" t="s">
        <v>91</v>
      </c>
      <c r="N251" s="12" t="s">
        <v>5316</v>
      </c>
      <c r="O251" s="12" t="s">
        <v>913</v>
      </c>
      <c r="P251" s="12" t="s">
        <v>52</v>
      </c>
      <c r="Q251" s="12" t="s">
        <v>41</v>
      </c>
      <c r="R251" s="12" t="s">
        <v>32</v>
      </c>
      <c r="S251" s="12" t="s">
        <v>33</v>
      </c>
      <c r="T251" s="12" t="s">
        <v>5317</v>
      </c>
      <c r="U251" s="12" t="s">
        <v>5318</v>
      </c>
      <c r="V251" s="12" t="s">
        <v>5318</v>
      </c>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row>
    <row r="252" spans="1:112" ht="153" x14ac:dyDescent="0.2">
      <c r="A252" s="7" t="s">
        <v>5319</v>
      </c>
      <c r="B252" s="7" t="s">
        <v>5320</v>
      </c>
      <c r="C252" s="2" t="s">
        <v>5320</v>
      </c>
      <c r="D252" s="1">
        <v>365</v>
      </c>
      <c r="E252" s="2" t="s">
        <v>61</v>
      </c>
      <c r="F252" s="2" t="s">
        <v>6038</v>
      </c>
      <c r="G252" s="2" t="s">
        <v>886</v>
      </c>
      <c r="H252" s="2" t="s">
        <v>25</v>
      </c>
      <c r="I252" s="2" t="s">
        <v>1025</v>
      </c>
      <c r="J252" s="12" t="s">
        <v>27</v>
      </c>
      <c r="K252" s="12" t="s">
        <v>64</v>
      </c>
      <c r="L252" s="12" t="s">
        <v>90</v>
      </c>
      <c r="M252" s="12" t="s">
        <v>91</v>
      </c>
      <c r="N252" s="12" t="s">
        <v>5321</v>
      </c>
      <c r="O252" s="12" t="s">
        <v>165</v>
      </c>
      <c r="P252" s="12" t="s">
        <v>40</v>
      </c>
      <c r="Q252" s="12" t="s">
        <v>41</v>
      </c>
      <c r="R252" s="12" t="s">
        <v>32</v>
      </c>
      <c r="S252" s="12" t="s">
        <v>33</v>
      </c>
      <c r="T252" s="12" t="s">
        <v>5322</v>
      </c>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row>
    <row r="253" spans="1:112" ht="85" x14ac:dyDescent="0.2">
      <c r="A253" s="7" t="s">
        <v>5359</v>
      </c>
      <c r="B253" s="7" t="s">
        <v>5360</v>
      </c>
      <c r="C253" s="2" t="s">
        <v>5360</v>
      </c>
      <c r="D253" s="5">
        <v>365</v>
      </c>
      <c r="E253" s="6" t="s">
        <v>61</v>
      </c>
      <c r="F253" s="6" t="s">
        <v>6043</v>
      </c>
      <c r="G253" s="6" t="s">
        <v>6044</v>
      </c>
      <c r="H253" s="6"/>
      <c r="I253" s="6" t="s">
        <v>6045</v>
      </c>
      <c r="J253" s="12" t="s">
        <v>645</v>
      </c>
      <c r="K253" s="12" t="s">
        <v>646</v>
      </c>
      <c r="L253" s="12" t="s">
        <v>647</v>
      </c>
      <c r="M253" s="12" t="s">
        <v>648</v>
      </c>
      <c r="N253" s="12" t="s">
        <v>5361</v>
      </c>
      <c r="O253" s="12" t="s">
        <v>648</v>
      </c>
      <c r="P253" s="12" t="s">
        <v>1094</v>
      </c>
      <c r="Q253" s="12" t="s">
        <v>52</v>
      </c>
      <c r="R253" s="12" t="s">
        <v>32</v>
      </c>
      <c r="S253" s="12" t="s">
        <v>33</v>
      </c>
      <c r="T253" s="12" t="s">
        <v>5362</v>
      </c>
      <c r="U253" s="12" t="s">
        <v>5363</v>
      </c>
      <c r="V253" s="12" t="s">
        <v>5363</v>
      </c>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row>
    <row r="254" spans="1:112" ht="119" x14ac:dyDescent="0.2">
      <c r="A254" s="2" t="s">
        <v>1061</v>
      </c>
      <c r="B254" s="2" t="s">
        <v>1062</v>
      </c>
      <c r="C254" s="2" t="s">
        <v>1063</v>
      </c>
      <c r="D254" s="1">
        <v>365</v>
      </c>
      <c r="E254" s="2" t="s">
        <v>1064</v>
      </c>
      <c r="F254" s="2" t="s">
        <v>1065</v>
      </c>
      <c r="G254" s="2" t="s">
        <v>869</v>
      </c>
      <c r="H254" s="2" t="s">
        <v>370</v>
      </c>
      <c r="I254" s="2" t="s">
        <v>1066</v>
      </c>
      <c r="J254" s="2" t="s">
        <v>645</v>
      </c>
      <c r="K254" s="2" t="s">
        <v>646</v>
      </c>
      <c r="L254" s="2" t="s">
        <v>647</v>
      </c>
      <c r="M254" s="2" t="s">
        <v>648</v>
      </c>
      <c r="N254" s="2" t="s">
        <v>1067</v>
      </c>
      <c r="O254" s="2" t="s">
        <v>1068</v>
      </c>
      <c r="P254" s="2" t="s">
        <v>40</v>
      </c>
      <c r="Q254" s="2" t="s">
        <v>41</v>
      </c>
      <c r="R254" s="2" t="s">
        <v>32</v>
      </c>
      <c r="S254" s="2" t="s">
        <v>33</v>
      </c>
      <c r="T254" s="2" t="s">
        <v>1069</v>
      </c>
      <c r="U254" s="2" t="s">
        <v>1070</v>
      </c>
    </row>
    <row r="255" spans="1:112" ht="119" x14ac:dyDescent="0.2">
      <c r="A255" s="7" t="s">
        <v>5380</v>
      </c>
      <c r="B255" s="7" t="s">
        <v>5381</v>
      </c>
      <c r="C255" s="2" t="s">
        <v>5382</v>
      </c>
      <c r="D255" s="1">
        <v>365</v>
      </c>
      <c r="E255" s="2" t="s">
        <v>1064</v>
      </c>
      <c r="F255" s="2" t="s">
        <v>1065</v>
      </c>
      <c r="G255" s="2" t="s">
        <v>1080</v>
      </c>
      <c r="H255" s="2" t="s">
        <v>370</v>
      </c>
      <c r="I255" s="2" t="s">
        <v>1066</v>
      </c>
      <c r="J255" s="12" t="s">
        <v>645</v>
      </c>
      <c r="K255" s="12" t="s">
        <v>646</v>
      </c>
      <c r="L255" s="12" t="s">
        <v>647</v>
      </c>
      <c r="M255" s="12" t="s">
        <v>648</v>
      </c>
      <c r="N255" s="12" t="s">
        <v>5383</v>
      </c>
      <c r="O255" s="12" t="s">
        <v>1068</v>
      </c>
      <c r="P255" s="12" t="s">
        <v>52</v>
      </c>
      <c r="Q255" s="12" t="s">
        <v>41</v>
      </c>
      <c r="R255" s="12" t="s">
        <v>32</v>
      </c>
      <c r="S255" s="12" t="s">
        <v>33</v>
      </c>
      <c r="T255" s="12" t="s">
        <v>5384</v>
      </c>
      <c r="U255" s="12" t="s">
        <v>5385</v>
      </c>
      <c r="V255" s="12" t="s">
        <v>5385</v>
      </c>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row>
    <row r="256" spans="1:112" ht="119" x14ac:dyDescent="0.2">
      <c r="A256" s="7" t="s">
        <v>5412</v>
      </c>
      <c r="B256" s="7" t="s">
        <v>5413</v>
      </c>
      <c r="C256" s="2" t="s">
        <v>5413</v>
      </c>
      <c r="D256" s="1">
        <v>365</v>
      </c>
      <c r="E256" s="2" t="s">
        <v>23</v>
      </c>
      <c r="G256" s="2" t="s">
        <v>946</v>
      </c>
      <c r="H256" s="2" t="s">
        <v>370</v>
      </c>
      <c r="I256" s="2" t="s">
        <v>1073</v>
      </c>
      <c r="J256" s="12" t="s">
        <v>103</v>
      </c>
      <c r="K256" s="12" t="s">
        <v>190</v>
      </c>
      <c r="L256" s="12" t="s">
        <v>1074</v>
      </c>
      <c r="M256" s="12" t="s">
        <v>819</v>
      </c>
      <c r="N256" s="12" t="s">
        <v>5414</v>
      </c>
      <c r="O256" s="12" t="s">
        <v>819</v>
      </c>
      <c r="P256" s="12" t="s">
        <v>94</v>
      </c>
      <c r="Q256" s="12" t="s">
        <v>41</v>
      </c>
      <c r="R256" s="12" t="s">
        <v>32</v>
      </c>
      <c r="S256" s="12" t="s">
        <v>33</v>
      </c>
      <c r="T256" s="12" t="s">
        <v>5415</v>
      </c>
      <c r="U256" s="12" t="s">
        <v>5416</v>
      </c>
      <c r="V256" s="12" t="s">
        <v>5416</v>
      </c>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row>
    <row r="257" spans="1:112" ht="119" x14ac:dyDescent="0.2">
      <c r="A257" s="7" t="s">
        <v>5417</v>
      </c>
      <c r="B257" s="7" t="s">
        <v>5418</v>
      </c>
      <c r="C257" s="2" t="s">
        <v>5418</v>
      </c>
      <c r="D257" s="1">
        <v>365</v>
      </c>
      <c r="E257" s="2" t="s">
        <v>23</v>
      </c>
      <c r="G257" s="2" t="s">
        <v>946</v>
      </c>
      <c r="H257" s="2" t="s">
        <v>370</v>
      </c>
      <c r="I257" s="2" t="s">
        <v>1073</v>
      </c>
      <c r="J257" s="12" t="s">
        <v>103</v>
      </c>
      <c r="K257" s="12" t="s">
        <v>190</v>
      </c>
      <c r="L257" s="12" t="s">
        <v>1074</v>
      </c>
      <c r="M257" s="12" t="s">
        <v>819</v>
      </c>
      <c r="N257" s="12" t="s">
        <v>5419</v>
      </c>
      <c r="O257" s="12" t="s">
        <v>819</v>
      </c>
      <c r="P257" s="12" t="s">
        <v>159</v>
      </c>
      <c r="Q257" s="12" t="s">
        <v>41</v>
      </c>
      <c r="R257" s="12" t="s">
        <v>32</v>
      </c>
      <c r="S257" s="12" t="s">
        <v>33</v>
      </c>
      <c r="T257" s="12" t="s">
        <v>1076</v>
      </c>
      <c r="U257" s="12" t="s">
        <v>5420</v>
      </c>
      <c r="V257" s="12" t="s">
        <v>5420</v>
      </c>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row>
    <row r="258" spans="1:112" ht="119" x14ac:dyDescent="0.2">
      <c r="A258" s="7" t="s">
        <v>5421</v>
      </c>
      <c r="B258" s="7" t="s">
        <v>5422</v>
      </c>
      <c r="C258" s="2" t="s">
        <v>5422</v>
      </c>
      <c r="D258" s="1">
        <v>365</v>
      </c>
      <c r="E258" s="2" t="s">
        <v>23</v>
      </c>
      <c r="G258" s="2" t="s">
        <v>946</v>
      </c>
      <c r="H258" s="2" t="s">
        <v>370</v>
      </c>
      <c r="I258" s="2" t="s">
        <v>1073</v>
      </c>
      <c r="J258" s="12" t="s">
        <v>103</v>
      </c>
      <c r="K258" s="12" t="s">
        <v>190</v>
      </c>
      <c r="L258" s="12" t="s">
        <v>1074</v>
      </c>
      <c r="M258" s="12" t="s">
        <v>819</v>
      </c>
      <c r="N258" s="12" t="s">
        <v>5423</v>
      </c>
      <c r="O258" s="12" t="s">
        <v>819</v>
      </c>
      <c r="P258" s="12" t="s">
        <v>137</v>
      </c>
      <c r="Q258" s="12" t="s">
        <v>199</v>
      </c>
      <c r="R258" s="12" t="s">
        <v>32</v>
      </c>
      <c r="S258" s="12" t="s">
        <v>33</v>
      </c>
      <c r="T258" s="12" t="s">
        <v>5415</v>
      </c>
      <c r="U258" s="12" t="s">
        <v>5424</v>
      </c>
      <c r="V258" s="12" t="s">
        <v>5424</v>
      </c>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row>
    <row r="259" spans="1:112" ht="119" x14ac:dyDescent="0.2">
      <c r="A259" s="7" t="s">
        <v>5430</v>
      </c>
      <c r="B259" s="7" t="s">
        <v>5431</v>
      </c>
      <c r="C259" s="2" t="s">
        <v>5431</v>
      </c>
      <c r="D259" s="1">
        <v>365</v>
      </c>
      <c r="E259" s="2" t="s">
        <v>23</v>
      </c>
      <c r="G259" s="2" t="s">
        <v>946</v>
      </c>
      <c r="H259" s="2" t="s">
        <v>370</v>
      </c>
      <c r="I259" s="2" t="s">
        <v>1073</v>
      </c>
      <c r="J259" s="12" t="s">
        <v>103</v>
      </c>
      <c r="K259" s="12" t="s">
        <v>190</v>
      </c>
      <c r="L259" s="12" t="s">
        <v>1074</v>
      </c>
      <c r="M259" s="12" t="s">
        <v>819</v>
      </c>
      <c r="N259" s="12" t="s">
        <v>5432</v>
      </c>
      <c r="O259" s="12" t="s">
        <v>819</v>
      </c>
      <c r="P259" s="12" t="s">
        <v>913</v>
      </c>
      <c r="Q259" s="12" t="s">
        <v>41</v>
      </c>
      <c r="R259" s="12" t="s">
        <v>32</v>
      </c>
      <c r="S259" s="12" t="s">
        <v>33</v>
      </c>
      <c r="T259" s="12" t="s">
        <v>5433</v>
      </c>
      <c r="U259" s="12" t="s">
        <v>5434</v>
      </c>
      <c r="V259" s="12" t="s">
        <v>5434</v>
      </c>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row>
    <row r="260" spans="1:112" ht="119" x14ac:dyDescent="0.2">
      <c r="A260" s="7" t="s">
        <v>5435</v>
      </c>
      <c r="B260" s="7" t="s">
        <v>5436</v>
      </c>
      <c r="C260" s="2" t="s">
        <v>5436</v>
      </c>
      <c r="D260" s="1">
        <v>365</v>
      </c>
      <c r="E260" s="2" t="s">
        <v>23</v>
      </c>
      <c r="G260" s="2" t="s">
        <v>946</v>
      </c>
      <c r="H260" s="2" t="s">
        <v>370</v>
      </c>
      <c r="I260" s="2" t="s">
        <v>1073</v>
      </c>
      <c r="J260" s="12" t="s">
        <v>103</v>
      </c>
      <c r="K260" s="12" t="s">
        <v>190</v>
      </c>
      <c r="L260" s="12" t="s">
        <v>1074</v>
      </c>
      <c r="M260" s="12" t="s">
        <v>819</v>
      </c>
      <c r="N260" s="12" t="s">
        <v>5437</v>
      </c>
      <c r="O260" s="12" t="s">
        <v>819</v>
      </c>
      <c r="P260" s="12" t="s">
        <v>165</v>
      </c>
      <c r="Q260" s="12" t="s">
        <v>41</v>
      </c>
      <c r="R260" s="12" t="s">
        <v>32</v>
      </c>
      <c r="S260" s="12" t="s">
        <v>33</v>
      </c>
      <c r="T260" s="12" t="s">
        <v>5433</v>
      </c>
      <c r="U260" s="12" t="s">
        <v>5438</v>
      </c>
      <c r="V260" s="12" t="s">
        <v>5438</v>
      </c>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row>
    <row r="261" spans="1:112" ht="119" x14ac:dyDescent="0.2">
      <c r="A261" s="2" t="s">
        <v>1071</v>
      </c>
      <c r="B261" s="2" t="s">
        <v>1072</v>
      </c>
      <c r="C261" s="2" t="s">
        <v>1072</v>
      </c>
      <c r="D261" s="1">
        <v>365</v>
      </c>
      <c r="E261" s="2" t="s">
        <v>23</v>
      </c>
      <c r="G261" s="2" t="s">
        <v>946</v>
      </c>
      <c r="H261" s="2" t="s">
        <v>370</v>
      </c>
      <c r="I261" s="2" t="s">
        <v>1073</v>
      </c>
      <c r="J261" s="2" t="s">
        <v>103</v>
      </c>
      <c r="K261" s="2" t="s">
        <v>190</v>
      </c>
      <c r="L261" s="2" t="s">
        <v>1074</v>
      </c>
      <c r="M261" s="2" t="s">
        <v>819</v>
      </c>
      <c r="N261" s="2" t="s">
        <v>1075</v>
      </c>
      <c r="O261" s="2" t="s">
        <v>819</v>
      </c>
      <c r="P261" s="2" t="s">
        <v>183</v>
      </c>
      <c r="Q261" s="2" t="s">
        <v>41</v>
      </c>
      <c r="R261" s="2" t="s">
        <v>32</v>
      </c>
      <c r="S261" s="2" t="s">
        <v>33</v>
      </c>
      <c r="T261" s="2" t="s">
        <v>1076</v>
      </c>
      <c r="U261" s="2" t="s">
        <v>4012</v>
      </c>
      <c r="V261" s="2" t="s">
        <v>4013</v>
      </c>
      <c r="W261" s="2" t="s">
        <v>4014</v>
      </c>
    </row>
    <row r="262" spans="1:112" ht="119" x14ac:dyDescent="0.2">
      <c r="A262" s="2" t="s">
        <v>1077</v>
      </c>
      <c r="B262" s="2" t="s">
        <v>1078</v>
      </c>
      <c r="C262" s="2" t="s">
        <v>1079</v>
      </c>
      <c r="D262" s="1">
        <v>365</v>
      </c>
      <c r="E262" s="2" t="s">
        <v>1064</v>
      </c>
      <c r="F262" s="2" t="s">
        <v>1065</v>
      </c>
      <c r="G262" s="2" t="s">
        <v>1080</v>
      </c>
      <c r="H262" s="2" t="s">
        <v>370</v>
      </c>
      <c r="I262" s="2" t="s">
        <v>1066</v>
      </c>
      <c r="J262" s="2" t="s">
        <v>1081</v>
      </c>
      <c r="K262" s="2" t="s">
        <v>1082</v>
      </c>
      <c r="L262" s="2" t="s">
        <v>1082</v>
      </c>
      <c r="M262" s="2" t="s">
        <v>1082</v>
      </c>
      <c r="N262" s="2" t="s">
        <v>1083</v>
      </c>
      <c r="O262" s="2">
        <v>53</v>
      </c>
      <c r="P262" s="2">
        <v>34</v>
      </c>
      <c r="Q262" s="2">
        <v>0</v>
      </c>
      <c r="R262" s="2" t="s">
        <v>32</v>
      </c>
      <c r="S262" s="2" t="s">
        <v>33</v>
      </c>
      <c r="T262" s="2" t="s">
        <v>1084</v>
      </c>
      <c r="U262" s="2" t="s">
        <v>4015</v>
      </c>
      <c r="V262" s="2" t="s">
        <v>4016</v>
      </c>
      <c r="W262" s="2" t="s">
        <v>4017</v>
      </c>
    </row>
    <row r="263" spans="1:112" ht="85" customHeight="1" x14ac:dyDescent="0.25">
      <c r="A263" s="2" t="s">
        <v>6133</v>
      </c>
      <c r="B263" s="2" t="s">
        <v>6119</v>
      </c>
      <c r="C263" s="2" t="s">
        <v>6119</v>
      </c>
      <c r="D263" s="1">
        <v>365</v>
      </c>
      <c r="E263" s="2" t="s">
        <v>61</v>
      </c>
      <c r="F263" s="2" t="s">
        <v>6120</v>
      </c>
      <c r="I263" s="2" t="s">
        <v>6121</v>
      </c>
      <c r="N263" s="35" t="s">
        <v>5305</v>
      </c>
    </row>
    <row r="264" spans="1:112" ht="102" x14ac:dyDescent="0.2">
      <c r="A264" s="7" t="s">
        <v>6138</v>
      </c>
      <c r="B264" s="2" t="s">
        <v>6342</v>
      </c>
      <c r="C264" s="2" t="s">
        <v>6342</v>
      </c>
      <c r="D264" s="1">
        <v>365</v>
      </c>
      <c r="E264" s="2" t="s">
        <v>23</v>
      </c>
      <c r="F264" s="2" t="s">
        <v>6703</v>
      </c>
      <c r="I264" s="2" t="s">
        <v>6677</v>
      </c>
      <c r="N264" s="12" t="s">
        <v>6546</v>
      </c>
    </row>
    <row r="265" spans="1:112" ht="119" x14ac:dyDescent="0.2">
      <c r="A265" s="7" t="s">
        <v>6212</v>
      </c>
      <c r="B265" s="2" t="s">
        <v>6417</v>
      </c>
      <c r="C265" s="2" t="s">
        <v>6417</v>
      </c>
      <c r="D265" s="1">
        <v>365</v>
      </c>
      <c r="E265" s="2" t="s">
        <v>23</v>
      </c>
      <c r="G265" s="2" t="s">
        <v>946</v>
      </c>
      <c r="H265" s="2" t="s">
        <v>370</v>
      </c>
      <c r="I265" s="2" t="s">
        <v>1073</v>
      </c>
      <c r="N265" s="12" t="s">
        <v>5423</v>
      </c>
    </row>
    <row r="266" spans="1:112" ht="119" x14ac:dyDescent="0.2">
      <c r="A266" s="7" t="s">
        <v>6214</v>
      </c>
      <c r="B266" s="2" t="s">
        <v>6419</v>
      </c>
      <c r="C266" s="2" t="s">
        <v>6419</v>
      </c>
      <c r="D266" s="1">
        <v>365</v>
      </c>
      <c r="E266" s="2" t="s">
        <v>23</v>
      </c>
      <c r="G266" s="2" t="s">
        <v>946</v>
      </c>
      <c r="H266" s="2" t="s">
        <v>370</v>
      </c>
      <c r="I266" s="2" t="s">
        <v>1073</v>
      </c>
      <c r="N266" s="12" t="s">
        <v>1075</v>
      </c>
    </row>
    <row r="267" spans="1:112" ht="85" x14ac:dyDescent="0.2">
      <c r="A267" s="2" t="s">
        <v>958</v>
      </c>
      <c r="B267" s="2" t="s">
        <v>959</v>
      </c>
      <c r="C267" s="2" t="s">
        <v>959</v>
      </c>
      <c r="D267" s="1">
        <v>365</v>
      </c>
      <c r="E267" s="2" t="s">
        <v>23</v>
      </c>
      <c r="F267" s="2" t="s">
        <v>960</v>
      </c>
      <c r="G267" s="2">
        <v>1</v>
      </c>
      <c r="H267" s="2" t="s">
        <v>370</v>
      </c>
      <c r="I267" s="2" t="s">
        <v>6128</v>
      </c>
      <c r="J267" s="2" t="s">
        <v>612</v>
      </c>
      <c r="K267" s="2" t="s">
        <v>613</v>
      </c>
      <c r="L267" s="2" t="s">
        <v>961</v>
      </c>
      <c r="M267" s="2" t="s">
        <v>962</v>
      </c>
      <c r="N267" s="2" t="s">
        <v>963</v>
      </c>
      <c r="O267" s="2" t="s">
        <v>948</v>
      </c>
      <c r="P267" s="2" t="s">
        <v>52</v>
      </c>
      <c r="Q267" s="2" t="s">
        <v>30</v>
      </c>
      <c r="R267" s="2" t="s">
        <v>32</v>
      </c>
      <c r="S267" s="2" t="s">
        <v>392</v>
      </c>
      <c r="T267" s="2" t="s">
        <v>618</v>
      </c>
      <c r="U267" s="2" t="s">
        <v>3976</v>
      </c>
      <c r="V267" s="2" t="s">
        <v>3977</v>
      </c>
      <c r="W267" s="2" t="s">
        <v>3978</v>
      </c>
      <c r="X267" s="2" t="s">
        <v>3979</v>
      </c>
    </row>
    <row r="268" spans="1:112" ht="85" x14ac:dyDescent="0.2">
      <c r="A268" s="2" t="s">
        <v>964</v>
      </c>
      <c r="B268" s="2" t="s">
        <v>965</v>
      </c>
      <c r="C268" s="2" t="s">
        <v>965</v>
      </c>
      <c r="D268" s="1">
        <v>365</v>
      </c>
      <c r="E268" s="2" t="s">
        <v>23</v>
      </c>
      <c r="F268" s="2" t="s">
        <v>960</v>
      </c>
      <c r="G268" s="2">
        <v>1</v>
      </c>
      <c r="H268" s="2" t="s">
        <v>370</v>
      </c>
      <c r="I268" s="2" t="s">
        <v>6128</v>
      </c>
      <c r="J268" s="2" t="s">
        <v>612</v>
      </c>
      <c r="K268" s="2" t="s">
        <v>613</v>
      </c>
      <c r="L268" s="2" t="s">
        <v>966</v>
      </c>
      <c r="M268" s="2" t="s">
        <v>967</v>
      </c>
      <c r="N268" s="2" t="s">
        <v>963</v>
      </c>
      <c r="O268" s="2" t="s">
        <v>948</v>
      </c>
      <c r="P268" s="2" t="s">
        <v>52</v>
      </c>
      <c r="Q268" s="2" t="s">
        <v>30</v>
      </c>
      <c r="R268" s="2" t="s">
        <v>32</v>
      </c>
      <c r="S268" s="2" t="s">
        <v>392</v>
      </c>
      <c r="T268" s="2" t="s">
        <v>618</v>
      </c>
      <c r="U268" s="2" t="s">
        <v>3976</v>
      </c>
      <c r="V268" s="2" t="s">
        <v>3977</v>
      </c>
      <c r="W268" s="2" t="s">
        <v>3978</v>
      </c>
      <c r="X268" s="2" t="s">
        <v>3979</v>
      </c>
    </row>
    <row r="269" spans="1:112" ht="85" x14ac:dyDescent="0.2">
      <c r="A269" s="2" t="s">
        <v>619</v>
      </c>
      <c r="B269" s="2" t="s">
        <v>620</v>
      </c>
      <c r="C269" s="2" t="s">
        <v>620</v>
      </c>
      <c r="D269" s="1">
        <v>365</v>
      </c>
      <c r="E269" s="2" t="s">
        <v>23</v>
      </c>
      <c r="G269" s="2" t="s">
        <v>537</v>
      </c>
      <c r="H269" s="2" t="s">
        <v>25</v>
      </c>
      <c r="I269" s="2" t="s">
        <v>6130</v>
      </c>
      <c r="J269" s="2" t="s">
        <v>612</v>
      </c>
      <c r="K269" s="2" t="s">
        <v>613</v>
      </c>
      <c r="L269" s="2" t="s">
        <v>614</v>
      </c>
      <c r="M269" s="2" t="s">
        <v>615</v>
      </c>
      <c r="N269" s="2" t="s">
        <v>616</v>
      </c>
      <c r="O269" s="2" t="s">
        <v>617</v>
      </c>
      <c r="P269" s="2" t="s">
        <v>41</v>
      </c>
      <c r="Q269" s="2" t="s">
        <v>40</v>
      </c>
      <c r="R269" s="2" t="s">
        <v>32</v>
      </c>
      <c r="S269" s="2" t="s">
        <v>392</v>
      </c>
      <c r="T269" s="2" t="s">
        <v>618</v>
      </c>
      <c r="U269" s="2" t="s">
        <v>3823</v>
      </c>
      <c r="V269" s="2" t="s">
        <v>3824</v>
      </c>
      <c r="W269" s="2" t="s">
        <v>3825</v>
      </c>
      <c r="X269" s="2" t="s">
        <v>3826</v>
      </c>
      <c r="Y269" s="2" t="s">
        <v>3827</v>
      </c>
      <c r="Z269" s="2" t="s">
        <v>3828</v>
      </c>
      <c r="AA269" s="2" t="s">
        <v>3829</v>
      </c>
      <c r="AB269" s="2" t="s">
        <v>3830</v>
      </c>
      <c r="AC269" s="2" t="s">
        <v>3831</v>
      </c>
    </row>
    <row r="270" spans="1:112" ht="85" x14ac:dyDescent="0.2">
      <c r="A270" s="7" t="s">
        <v>5232</v>
      </c>
      <c r="B270" s="7" t="s">
        <v>5233</v>
      </c>
      <c r="C270" s="2" t="s">
        <v>5233</v>
      </c>
      <c r="D270" s="1">
        <v>365</v>
      </c>
      <c r="E270" s="2" t="s">
        <v>23</v>
      </c>
      <c r="G270" s="2" t="s">
        <v>537</v>
      </c>
      <c r="H270" s="2" t="s">
        <v>25</v>
      </c>
      <c r="I270" s="2" t="s">
        <v>6130</v>
      </c>
      <c r="J270" s="12" t="s">
        <v>612</v>
      </c>
      <c r="K270" s="12" t="s">
        <v>613</v>
      </c>
      <c r="L270" s="12" t="s">
        <v>614</v>
      </c>
      <c r="M270" s="12" t="s">
        <v>615</v>
      </c>
      <c r="N270" s="12" t="s">
        <v>616</v>
      </c>
      <c r="O270" s="12" t="s">
        <v>617</v>
      </c>
      <c r="P270" s="12" t="s">
        <v>41</v>
      </c>
      <c r="Q270" s="12" t="s">
        <v>40</v>
      </c>
      <c r="R270" s="12" t="s">
        <v>32</v>
      </c>
      <c r="S270" s="12" t="s">
        <v>392</v>
      </c>
      <c r="T270" s="12" t="s">
        <v>618</v>
      </c>
      <c r="U270" s="12" t="s">
        <v>5234</v>
      </c>
      <c r="V270" s="12" t="s">
        <v>5234</v>
      </c>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row>
    <row r="271" spans="1:112" ht="85" x14ac:dyDescent="0.2">
      <c r="A271" s="2" t="s">
        <v>623</v>
      </c>
      <c r="B271" s="2" t="s">
        <v>624</v>
      </c>
      <c r="C271" s="2" t="s">
        <v>624</v>
      </c>
      <c r="D271" s="1">
        <v>365</v>
      </c>
      <c r="E271" s="2" t="s">
        <v>23</v>
      </c>
      <c r="G271" s="2" t="s">
        <v>537</v>
      </c>
      <c r="H271" s="2" t="s">
        <v>25</v>
      </c>
      <c r="I271" s="2" t="s">
        <v>6130</v>
      </c>
      <c r="J271" s="2" t="s">
        <v>612</v>
      </c>
      <c r="K271" s="2" t="s">
        <v>625</v>
      </c>
      <c r="L271" s="2" t="s">
        <v>626</v>
      </c>
      <c r="M271" s="2" t="s">
        <v>627</v>
      </c>
      <c r="N271" s="2" t="s">
        <v>628</v>
      </c>
      <c r="O271" s="2" t="s">
        <v>629</v>
      </c>
      <c r="P271" s="2" t="s">
        <v>41</v>
      </c>
      <c r="Q271" s="2" t="s">
        <v>30</v>
      </c>
      <c r="R271" s="2" t="s">
        <v>32</v>
      </c>
      <c r="S271" s="2" t="s">
        <v>392</v>
      </c>
      <c r="T271" s="2" t="s">
        <v>618</v>
      </c>
      <c r="U271" s="2" t="s">
        <v>3823</v>
      </c>
      <c r="V271" s="2" t="s">
        <v>3824</v>
      </c>
      <c r="W271" s="2" t="s">
        <v>3825</v>
      </c>
      <c r="X271" s="2" t="s">
        <v>3826</v>
      </c>
      <c r="Y271" s="2" t="s">
        <v>3827</v>
      </c>
      <c r="Z271" s="2" t="s">
        <v>3828</v>
      </c>
      <c r="AA271" s="2" t="s">
        <v>3829</v>
      </c>
      <c r="AB271" s="2" t="s">
        <v>3830</v>
      </c>
      <c r="AC271" s="2" t="s">
        <v>3831</v>
      </c>
    </row>
    <row r="272" spans="1:112" ht="85" x14ac:dyDescent="0.2">
      <c r="A272" s="2" t="s">
        <v>630</v>
      </c>
      <c r="B272" s="2" t="s">
        <v>631</v>
      </c>
      <c r="C272" s="2" t="s">
        <v>631</v>
      </c>
      <c r="D272" s="1">
        <v>365</v>
      </c>
      <c r="E272" s="2" t="s">
        <v>23</v>
      </c>
      <c r="G272" s="2" t="s">
        <v>537</v>
      </c>
      <c r="H272" s="2" t="s">
        <v>25</v>
      </c>
      <c r="I272" s="2" t="s">
        <v>6130</v>
      </c>
      <c r="J272" s="2" t="s">
        <v>612</v>
      </c>
      <c r="K272" s="2" t="s">
        <v>625</v>
      </c>
      <c r="L272" s="2" t="s">
        <v>626</v>
      </c>
      <c r="M272" s="2" t="s">
        <v>627</v>
      </c>
      <c r="N272" s="2" t="s">
        <v>628</v>
      </c>
      <c r="O272" s="2" t="s">
        <v>629</v>
      </c>
      <c r="P272" s="2" t="s">
        <v>41</v>
      </c>
      <c r="Q272" s="2" t="s">
        <v>30</v>
      </c>
      <c r="R272" s="2" t="s">
        <v>32</v>
      </c>
      <c r="S272" s="2" t="s">
        <v>392</v>
      </c>
      <c r="T272" s="2" t="s">
        <v>618</v>
      </c>
      <c r="U272" s="2" t="s">
        <v>3823</v>
      </c>
      <c r="V272" s="2" t="s">
        <v>3824</v>
      </c>
      <c r="W272" s="2" t="s">
        <v>3825</v>
      </c>
      <c r="X272" s="2" t="s">
        <v>3826</v>
      </c>
      <c r="Y272" s="2" t="s">
        <v>3827</v>
      </c>
      <c r="Z272" s="2" t="s">
        <v>3828</v>
      </c>
      <c r="AA272" s="2" t="s">
        <v>3829</v>
      </c>
      <c r="AB272" s="2" t="s">
        <v>3830</v>
      </c>
      <c r="AC272" s="2" t="s">
        <v>3831</v>
      </c>
    </row>
    <row r="273" spans="1:14" ht="51" x14ac:dyDescent="0.2">
      <c r="A273" s="7" t="s">
        <v>6141</v>
      </c>
      <c r="B273" s="2" t="s">
        <v>6345</v>
      </c>
      <c r="C273" s="2" t="s">
        <v>6345</v>
      </c>
      <c r="D273" s="1">
        <v>365</v>
      </c>
      <c r="E273" s="2" t="s">
        <v>61</v>
      </c>
      <c r="F273" s="2" t="s">
        <v>875</v>
      </c>
      <c r="G273" s="2" t="s">
        <v>869</v>
      </c>
      <c r="I273" s="2" t="s">
        <v>204</v>
      </c>
      <c r="N273" s="12" t="s">
        <v>876</v>
      </c>
    </row>
    <row r="274" spans="1:14" ht="153" x14ac:dyDescent="0.2">
      <c r="A274" s="7" t="s">
        <v>6149</v>
      </c>
      <c r="B274" s="2" t="s">
        <v>6353</v>
      </c>
      <c r="C274" s="2" t="s">
        <v>6353</v>
      </c>
      <c r="D274" s="1">
        <v>365</v>
      </c>
      <c r="E274" s="2" t="s">
        <v>23</v>
      </c>
      <c r="F274" s="2" t="s">
        <v>6723</v>
      </c>
      <c r="I274" s="2" t="s">
        <v>1627</v>
      </c>
      <c r="N274" s="12" t="s">
        <v>6553</v>
      </c>
    </row>
    <row r="275" spans="1:14" ht="69" customHeight="1" x14ac:dyDescent="0.2">
      <c r="A275" s="7" t="s">
        <v>6156</v>
      </c>
      <c r="B275" s="2" t="s">
        <v>6360</v>
      </c>
      <c r="C275" s="2" t="s">
        <v>6360</v>
      </c>
      <c r="D275" s="1">
        <v>365</v>
      </c>
      <c r="E275" s="2" t="s">
        <v>23</v>
      </c>
      <c r="F275" s="2" t="s">
        <v>885</v>
      </c>
      <c r="G275" s="2" t="s">
        <v>886</v>
      </c>
      <c r="H275" s="2" t="s">
        <v>370</v>
      </c>
      <c r="I275" s="2" t="s">
        <v>102</v>
      </c>
      <c r="N275" s="12" t="s">
        <v>896</v>
      </c>
    </row>
    <row r="276" spans="1:14" ht="69" customHeight="1" x14ac:dyDescent="0.2">
      <c r="A276" s="7" t="s">
        <v>6161</v>
      </c>
      <c r="B276" s="2" t="s">
        <v>6366</v>
      </c>
      <c r="C276" s="2" t="s">
        <v>6366</v>
      </c>
      <c r="D276" s="1">
        <v>365</v>
      </c>
      <c r="E276" s="2" t="s">
        <v>23</v>
      </c>
      <c r="I276" s="2" t="s">
        <v>6730</v>
      </c>
      <c r="N276" s="12" t="s">
        <v>6560</v>
      </c>
    </row>
    <row r="277" spans="1:14" ht="69" customHeight="1" x14ac:dyDescent="0.2">
      <c r="A277" s="7" t="s">
        <v>6166</v>
      </c>
      <c r="B277" s="2" t="s">
        <v>6371</v>
      </c>
      <c r="C277" s="2" t="s">
        <v>6371</v>
      </c>
      <c r="D277" s="1">
        <v>365</v>
      </c>
      <c r="E277" s="2" t="s">
        <v>23</v>
      </c>
      <c r="I277" s="2" t="s">
        <v>6730</v>
      </c>
      <c r="N277" s="12" t="s">
        <v>6565</v>
      </c>
    </row>
    <row r="278" spans="1:14" ht="85" x14ac:dyDescent="0.2">
      <c r="A278" s="7" t="s">
        <v>6170</v>
      </c>
      <c r="B278" s="2" t="s">
        <v>6375</v>
      </c>
      <c r="C278" s="2" t="s">
        <v>6375</v>
      </c>
      <c r="D278" s="1">
        <v>365</v>
      </c>
      <c r="I278" s="2" t="s">
        <v>6128</v>
      </c>
      <c r="N278" s="12" t="s">
        <v>963</v>
      </c>
    </row>
    <row r="279" spans="1:14" ht="85" x14ac:dyDescent="0.2">
      <c r="A279" s="7" t="s">
        <v>6171</v>
      </c>
      <c r="B279" s="2" t="s">
        <v>6376</v>
      </c>
      <c r="C279" s="2" t="s">
        <v>6376</v>
      </c>
      <c r="D279" s="1">
        <v>365</v>
      </c>
      <c r="I279" s="2" t="s">
        <v>6128</v>
      </c>
      <c r="N279" s="12" t="s">
        <v>963</v>
      </c>
    </row>
    <row r="280" spans="1:14" ht="17" x14ac:dyDescent="0.2">
      <c r="A280" s="7" t="s">
        <v>6178</v>
      </c>
      <c r="B280" s="2" t="s">
        <v>6383</v>
      </c>
      <c r="C280" s="2" t="s">
        <v>6383</v>
      </c>
      <c r="D280" s="1">
        <v>365</v>
      </c>
      <c r="N280" s="12" t="s">
        <v>616</v>
      </c>
    </row>
    <row r="281" spans="1:14" ht="85" x14ac:dyDescent="0.2">
      <c r="A281" s="7" t="s">
        <v>6181</v>
      </c>
      <c r="B281" s="2" t="s">
        <v>6386</v>
      </c>
      <c r="C281" s="2" t="s">
        <v>6386</v>
      </c>
      <c r="D281" s="1">
        <v>365</v>
      </c>
      <c r="E281" s="2" t="s">
        <v>23</v>
      </c>
      <c r="F281" s="2" t="s">
        <v>6733</v>
      </c>
      <c r="I281" s="2" t="s">
        <v>6734</v>
      </c>
      <c r="N281" s="12" t="s">
        <v>6568</v>
      </c>
    </row>
    <row r="282" spans="1:14" ht="17" x14ac:dyDescent="0.2">
      <c r="A282" s="7" t="s">
        <v>6187</v>
      </c>
      <c r="B282" s="2" t="s">
        <v>6392</v>
      </c>
      <c r="C282" s="2" t="s">
        <v>6392</v>
      </c>
      <c r="D282" s="1">
        <v>365</v>
      </c>
      <c r="N282" s="12" t="s">
        <v>1042</v>
      </c>
    </row>
    <row r="283" spans="1:14" ht="17" x14ac:dyDescent="0.2">
      <c r="A283" s="7" t="s">
        <v>6189</v>
      </c>
      <c r="B283" s="2" t="s">
        <v>6394</v>
      </c>
      <c r="C283" s="2" t="s">
        <v>6394</v>
      </c>
      <c r="D283" s="1">
        <v>365</v>
      </c>
      <c r="N283" s="12" t="s">
        <v>1042</v>
      </c>
    </row>
    <row r="284" spans="1:14" ht="153" x14ac:dyDescent="0.2">
      <c r="A284" s="7" t="s">
        <v>6193</v>
      </c>
      <c r="B284" s="2" t="s">
        <v>6398</v>
      </c>
      <c r="C284" s="2" t="s">
        <v>6398</v>
      </c>
      <c r="D284" s="1">
        <v>365</v>
      </c>
      <c r="E284" s="2" t="s">
        <v>61</v>
      </c>
      <c r="F284" s="2" t="s">
        <v>6038</v>
      </c>
      <c r="G284" s="2" t="s">
        <v>886</v>
      </c>
      <c r="H284" s="2" t="s">
        <v>25</v>
      </c>
      <c r="I284" s="2" t="s">
        <v>1025</v>
      </c>
      <c r="N284" s="12" t="s">
        <v>1835</v>
      </c>
    </row>
    <row r="285" spans="1:14" ht="153" x14ac:dyDescent="0.2">
      <c r="A285" s="7" t="s">
        <v>6197</v>
      </c>
      <c r="B285" s="2" t="s">
        <v>6402</v>
      </c>
      <c r="C285" s="2" t="s">
        <v>6402</v>
      </c>
      <c r="D285" s="1">
        <v>365</v>
      </c>
      <c r="E285" s="2" t="s">
        <v>61</v>
      </c>
      <c r="F285" s="2" t="s">
        <v>6038</v>
      </c>
      <c r="G285" s="2" t="s">
        <v>886</v>
      </c>
      <c r="H285" s="2" t="s">
        <v>25</v>
      </c>
      <c r="I285" s="2" t="s">
        <v>1025</v>
      </c>
      <c r="N285" s="12" t="s">
        <v>6575</v>
      </c>
    </row>
    <row r="286" spans="1:14" ht="153" x14ac:dyDescent="0.2">
      <c r="A286" s="7" t="s">
        <v>6198</v>
      </c>
      <c r="B286" s="2" t="s">
        <v>6403</v>
      </c>
      <c r="C286" s="2" t="s">
        <v>6403</v>
      </c>
      <c r="D286" s="1">
        <v>365</v>
      </c>
      <c r="E286" s="2" t="s">
        <v>61</v>
      </c>
      <c r="F286" s="2" t="s">
        <v>6038</v>
      </c>
      <c r="G286" s="2" t="s">
        <v>886</v>
      </c>
      <c r="H286" s="2" t="s">
        <v>25</v>
      </c>
      <c r="I286" s="2" t="s">
        <v>1025</v>
      </c>
      <c r="N286" s="12" t="s">
        <v>5316</v>
      </c>
    </row>
    <row r="287" spans="1:14" ht="136" x14ac:dyDescent="0.2">
      <c r="A287" s="7" t="s">
        <v>6203</v>
      </c>
      <c r="B287" s="2" t="s">
        <v>6408</v>
      </c>
      <c r="C287" s="2" t="s">
        <v>6408</v>
      </c>
      <c r="D287" s="1">
        <v>365</v>
      </c>
      <c r="E287" s="2" t="s">
        <v>23</v>
      </c>
      <c r="I287" s="2" t="s">
        <v>6753</v>
      </c>
      <c r="N287" s="12" t="s">
        <v>6577</v>
      </c>
    </row>
    <row r="288" spans="1:14" ht="119" x14ac:dyDescent="0.2">
      <c r="A288" s="7" t="s">
        <v>6206</v>
      </c>
      <c r="B288" s="2" t="s">
        <v>6411</v>
      </c>
      <c r="C288" s="2" t="s">
        <v>6411</v>
      </c>
      <c r="D288" s="1">
        <v>365</v>
      </c>
      <c r="E288" s="2" t="s">
        <v>1064</v>
      </c>
      <c r="F288" s="2" t="s">
        <v>1065</v>
      </c>
      <c r="G288" s="2" t="s">
        <v>1080</v>
      </c>
      <c r="H288" s="2" t="s">
        <v>370</v>
      </c>
      <c r="I288" s="2" t="s">
        <v>1066</v>
      </c>
      <c r="N288" s="12" t="s">
        <v>1067</v>
      </c>
    </row>
    <row r="289" spans="1:112" ht="119" x14ac:dyDescent="0.2">
      <c r="A289" s="7" t="s">
        <v>6213</v>
      </c>
      <c r="B289" s="2" t="s">
        <v>6418</v>
      </c>
      <c r="C289" s="2" t="s">
        <v>6418</v>
      </c>
      <c r="D289" s="1">
        <v>365</v>
      </c>
      <c r="E289" s="2" t="s">
        <v>23</v>
      </c>
      <c r="G289" s="2" t="s">
        <v>946</v>
      </c>
      <c r="H289" s="2" t="s">
        <v>370</v>
      </c>
      <c r="I289" s="2" t="s">
        <v>1073</v>
      </c>
      <c r="N289" s="12" t="s">
        <v>5437</v>
      </c>
    </row>
    <row r="290" spans="1:112" ht="85" x14ac:dyDescent="0.2">
      <c r="A290" s="7" t="s">
        <v>6310</v>
      </c>
      <c r="B290" s="2" t="s">
        <v>6516</v>
      </c>
      <c r="C290" s="2" t="s">
        <v>6516</v>
      </c>
      <c r="D290" s="1">
        <v>365</v>
      </c>
      <c r="E290" s="2" t="s">
        <v>23</v>
      </c>
      <c r="I290" s="2" t="s">
        <v>6755</v>
      </c>
      <c r="N290" s="12" t="s">
        <v>6643</v>
      </c>
    </row>
    <row r="291" spans="1:112" ht="68" x14ac:dyDescent="0.2">
      <c r="A291" s="7" t="s">
        <v>6327</v>
      </c>
      <c r="B291" s="2" t="s">
        <v>6533</v>
      </c>
      <c r="C291" s="2" t="s">
        <v>6533</v>
      </c>
      <c r="D291" s="1">
        <v>365</v>
      </c>
      <c r="E291" s="2" t="s">
        <v>61</v>
      </c>
      <c r="N291" s="12" t="s">
        <v>6656</v>
      </c>
    </row>
    <row r="292" spans="1:112" ht="136" x14ac:dyDescent="0.2">
      <c r="A292" s="2" t="s">
        <v>6133</v>
      </c>
      <c r="B292" s="2" t="s">
        <v>6132</v>
      </c>
      <c r="C292" s="2" t="s">
        <v>6132</v>
      </c>
      <c r="D292" s="1">
        <v>365</v>
      </c>
      <c r="E292" s="2" t="s">
        <v>23</v>
      </c>
      <c r="G292" s="2" t="s">
        <v>1418</v>
      </c>
      <c r="H292" s="2" t="s">
        <v>369</v>
      </c>
      <c r="I292" s="2" t="s">
        <v>6765</v>
      </c>
      <c r="N292" s="2" t="s">
        <v>6131</v>
      </c>
    </row>
    <row r="293" spans="1:112" ht="68" x14ac:dyDescent="0.2">
      <c r="A293" s="7" t="s">
        <v>6219</v>
      </c>
      <c r="B293" s="2" t="s">
        <v>6424</v>
      </c>
      <c r="C293" s="2" t="s">
        <v>6424</v>
      </c>
      <c r="D293" s="1">
        <v>365</v>
      </c>
      <c r="E293" s="2" t="s">
        <v>61</v>
      </c>
      <c r="H293" s="2" t="s">
        <v>664</v>
      </c>
      <c r="I293" s="2" t="s">
        <v>6759</v>
      </c>
      <c r="N293" s="12" t="s">
        <v>6587</v>
      </c>
    </row>
    <row r="294" spans="1:112" ht="102" x14ac:dyDescent="0.2">
      <c r="A294" s="2" t="s">
        <v>1085</v>
      </c>
      <c r="B294" s="2" t="s">
        <v>1086</v>
      </c>
      <c r="C294" s="2" t="s">
        <v>1087</v>
      </c>
      <c r="D294" s="1">
        <v>365</v>
      </c>
      <c r="E294" s="2" t="s">
        <v>23</v>
      </c>
      <c r="F294" s="2" t="s">
        <v>1088</v>
      </c>
      <c r="G294" s="2" t="s">
        <v>1089</v>
      </c>
      <c r="H294" s="2" t="s">
        <v>1090</v>
      </c>
      <c r="I294" s="2" t="s">
        <v>527</v>
      </c>
      <c r="J294" s="2" t="s">
        <v>27</v>
      </c>
      <c r="K294" s="2" t="s">
        <v>64</v>
      </c>
      <c r="L294" s="2" t="s">
        <v>1091</v>
      </c>
      <c r="M294" s="2" t="s">
        <v>1092</v>
      </c>
      <c r="N294" s="2" t="s">
        <v>1093</v>
      </c>
      <c r="O294" s="2" t="s">
        <v>1094</v>
      </c>
      <c r="P294" s="2" t="s">
        <v>1094</v>
      </c>
      <c r="Q294" s="2" t="s">
        <v>1095</v>
      </c>
      <c r="R294" s="2" t="s">
        <v>32</v>
      </c>
      <c r="S294" s="2" t="s">
        <v>392</v>
      </c>
      <c r="U294" s="2" t="s">
        <v>292</v>
      </c>
    </row>
    <row r="295" spans="1:112" ht="102" x14ac:dyDescent="0.2">
      <c r="A295" s="2" t="s">
        <v>1096</v>
      </c>
      <c r="B295" s="2" t="s">
        <v>1097</v>
      </c>
      <c r="C295" s="2" t="s">
        <v>1097</v>
      </c>
      <c r="D295" s="1">
        <v>365</v>
      </c>
      <c r="E295" s="2" t="s">
        <v>23</v>
      </c>
      <c r="F295" s="2" t="s">
        <v>1098</v>
      </c>
      <c r="G295" s="2" t="s">
        <v>1089</v>
      </c>
      <c r="H295" s="2" t="s">
        <v>538</v>
      </c>
      <c r="I295" s="2" t="s">
        <v>743</v>
      </c>
      <c r="J295" s="2" t="s">
        <v>27</v>
      </c>
      <c r="K295" s="2" t="s">
        <v>64</v>
      </c>
      <c r="L295" s="2" t="s">
        <v>1099</v>
      </c>
      <c r="M295" s="2" t="s">
        <v>1100</v>
      </c>
      <c r="N295" s="2" t="s">
        <v>1101</v>
      </c>
      <c r="O295" s="2" t="s">
        <v>183</v>
      </c>
      <c r="P295" s="2" t="s">
        <v>472</v>
      </c>
      <c r="Q295" s="2" t="s">
        <v>41</v>
      </c>
      <c r="R295" s="2" t="s">
        <v>32</v>
      </c>
      <c r="S295" s="2" t="s">
        <v>33</v>
      </c>
      <c r="T295" s="2" t="s">
        <v>1102</v>
      </c>
      <c r="U295" s="2" t="s">
        <v>1103</v>
      </c>
    </row>
    <row r="296" spans="1:112" ht="102" x14ac:dyDescent="0.2">
      <c r="A296" s="7" t="s">
        <v>5505</v>
      </c>
      <c r="B296" s="7" t="s">
        <v>5506</v>
      </c>
      <c r="C296" s="2" t="s">
        <v>5506</v>
      </c>
      <c r="D296" s="1">
        <v>365</v>
      </c>
      <c r="E296" s="2" t="s">
        <v>23</v>
      </c>
      <c r="F296" s="2" t="s">
        <v>1098</v>
      </c>
      <c r="G296" s="2" t="s">
        <v>1089</v>
      </c>
      <c r="H296" s="2" t="s">
        <v>538</v>
      </c>
      <c r="I296" s="2" t="s">
        <v>743</v>
      </c>
      <c r="J296" s="12" t="s">
        <v>27</v>
      </c>
      <c r="K296" s="12" t="s">
        <v>64</v>
      </c>
      <c r="L296" s="12" t="s">
        <v>1099</v>
      </c>
      <c r="M296" s="12" t="s">
        <v>1100</v>
      </c>
      <c r="N296" s="12" t="s">
        <v>1101</v>
      </c>
      <c r="O296" s="12" t="s">
        <v>183</v>
      </c>
      <c r="P296" s="12" t="s">
        <v>472</v>
      </c>
      <c r="Q296" s="12" t="s">
        <v>199</v>
      </c>
      <c r="R296" s="12" t="s">
        <v>32</v>
      </c>
      <c r="S296" s="12" t="s">
        <v>33</v>
      </c>
      <c r="T296" s="12" t="s">
        <v>1102</v>
      </c>
      <c r="U296" s="12" t="s">
        <v>1103</v>
      </c>
      <c r="V296" s="12" t="s">
        <v>1103</v>
      </c>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row>
    <row r="297" spans="1:112" ht="102" x14ac:dyDescent="0.2">
      <c r="A297" s="2" t="s">
        <v>1243</v>
      </c>
      <c r="B297" s="2" t="s">
        <v>1244</v>
      </c>
      <c r="C297" s="2" t="s">
        <v>1245</v>
      </c>
      <c r="D297" s="1">
        <v>365</v>
      </c>
      <c r="E297" s="2" t="s">
        <v>23</v>
      </c>
      <c r="F297" s="2" t="s">
        <v>387</v>
      </c>
      <c r="G297" s="2" t="s">
        <v>1184</v>
      </c>
      <c r="H297" s="2" t="s">
        <v>369</v>
      </c>
      <c r="I297" s="2" t="s">
        <v>527</v>
      </c>
      <c r="J297" s="2" t="s">
        <v>27</v>
      </c>
      <c r="K297" s="2" t="s">
        <v>64</v>
      </c>
      <c r="L297" s="2" t="s">
        <v>389</v>
      </c>
      <c r="M297" s="2" t="s">
        <v>390</v>
      </c>
      <c r="N297" s="2" t="s">
        <v>528</v>
      </c>
      <c r="O297" s="2" t="s">
        <v>183</v>
      </c>
      <c r="P297" s="2" t="s">
        <v>30</v>
      </c>
      <c r="Q297" s="2" t="s">
        <v>40</v>
      </c>
      <c r="R297" s="2" t="s">
        <v>32</v>
      </c>
      <c r="S297" s="2" t="s">
        <v>392</v>
      </c>
      <c r="T297" s="2" t="s">
        <v>529</v>
      </c>
      <c r="U297" s="2" t="s">
        <v>530</v>
      </c>
    </row>
    <row r="298" spans="1:112" ht="102" x14ac:dyDescent="0.2">
      <c r="A298" s="2" t="s">
        <v>1246</v>
      </c>
      <c r="B298" s="2" t="s">
        <v>1247</v>
      </c>
      <c r="C298" s="2" t="s">
        <v>1248</v>
      </c>
      <c r="D298" s="1">
        <v>365</v>
      </c>
      <c r="E298" s="2" t="s">
        <v>23</v>
      </c>
      <c r="F298" s="2" t="s">
        <v>387</v>
      </c>
      <c r="G298" s="2" t="s">
        <v>1184</v>
      </c>
      <c r="H298" s="2" t="s">
        <v>369</v>
      </c>
      <c r="I298" s="2" t="s">
        <v>527</v>
      </c>
      <c r="J298" s="2" t="s">
        <v>27</v>
      </c>
      <c r="K298" s="2" t="s">
        <v>64</v>
      </c>
      <c r="L298" s="2" t="s">
        <v>389</v>
      </c>
      <c r="M298" s="2" t="s">
        <v>390</v>
      </c>
      <c r="N298" s="2" t="s">
        <v>528</v>
      </c>
      <c r="O298" s="2" t="s">
        <v>183</v>
      </c>
      <c r="P298" s="2" t="s">
        <v>30</v>
      </c>
      <c r="Q298" s="2" t="s">
        <v>997</v>
      </c>
      <c r="R298" s="2" t="s">
        <v>32</v>
      </c>
      <c r="S298" s="2" t="s">
        <v>392</v>
      </c>
      <c r="T298" s="2" t="s">
        <v>529</v>
      </c>
      <c r="U298" s="2" t="s">
        <v>530</v>
      </c>
      <c r="V298" s="2" t="s">
        <v>3861</v>
      </c>
    </row>
    <row r="299" spans="1:112" ht="16" x14ac:dyDescent="0.2">
      <c r="A299" s="7" t="s">
        <v>6843</v>
      </c>
      <c r="B299" s="7" t="s">
        <v>6844</v>
      </c>
      <c r="C299" s="7" t="s">
        <v>6844</v>
      </c>
      <c r="D299" s="7">
        <v>365</v>
      </c>
      <c r="E299" s="7" t="s">
        <v>23</v>
      </c>
      <c r="F299" s="7"/>
      <c r="G299" s="7" t="s">
        <v>886</v>
      </c>
      <c r="H299" s="7" t="s">
        <v>369</v>
      </c>
      <c r="I299" s="7" t="s">
        <v>6669</v>
      </c>
    </row>
    <row r="300" spans="1:112" ht="153" x14ac:dyDescent="0.2">
      <c r="A300" s="2" t="s">
        <v>1104</v>
      </c>
      <c r="B300" s="2" t="s">
        <v>1105</v>
      </c>
      <c r="C300" s="2" t="s">
        <v>1106</v>
      </c>
      <c r="D300" s="1">
        <v>270</v>
      </c>
      <c r="E300" s="2" t="s">
        <v>23</v>
      </c>
      <c r="G300" s="2" t="s">
        <v>1107</v>
      </c>
      <c r="H300" s="2" t="s">
        <v>1108</v>
      </c>
      <c r="I300" s="2" t="s">
        <v>1109</v>
      </c>
      <c r="J300" s="2" t="s">
        <v>27</v>
      </c>
      <c r="K300" s="2" t="s">
        <v>64</v>
      </c>
      <c r="L300" s="2" t="s">
        <v>1110</v>
      </c>
      <c r="M300" s="2" t="s">
        <v>1111</v>
      </c>
      <c r="N300" s="2" t="s">
        <v>1112</v>
      </c>
      <c r="O300" s="2" t="s">
        <v>68</v>
      </c>
      <c r="P300" s="2" t="s">
        <v>159</v>
      </c>
      <c r="Q300" s="2" t="s">
        <v>41</v>
      </c>
      <c r="R300" s="2" t="s">
        <v>32</v>
      </c>
      <c r="S300" s="2" t="s">
        <v>33</v>
      </c>
      <c r="T300" s="2" t="s">
        <v>1113</v>
      </c>
      <c r="U300" s="2" t="s">
        <v>1114</v>
      </c>
    </row>
    <row r="301" spans="1:112" ht="102" x14ac:dyDescent="0.2">
      <c r="A301" s="7" t="s">
        <v>5244</v>
      </c>
      <c r="B301" s="7" t="s">
        <v>5245</v>
      </c>
      <c r="C301" s="2" t="s">
        <v>5246</v>
      </c>
      <c r="D301" s="5">
        <f>36*7</f>
        <v>252</v>
      </c>
      <c r="E301" s="6" t="s">
        <v>23</v>
      </c>
      <c r="F301" s="6" t="s">
        <v>6035</v>
      </c>
      <c r="G301" s="6" t="s">
        <v>1119</v>
      </c>
      <c r="H301" s="6" t="s">
        <v>369</v>
      </c>
      <c r="I301" s="6" t="s">
        <v>6036</v>
      </c>
      <c r="J301" s="12" t="s">
        <v>27</v>
      </c>
      <c r="K301" s="12" t="s">
        <v>64</v>
      </c>
      <c r="L301" s="12" t="s">
        <v>5247</v>
      </c>
      <c r="M301" s="12" t="s">
        <v>5248</v>
      </c>
      <c r="N301" s="12" t="s">
        <v>5249</v>
      </c>
      <c r="O301" s="12" t="s">
        <v>68</v>
      </c>
      <c r="P301" s="12" t="s">
        <v>137</v>
      </c>
      <c r="Q301" s="12" t="s">
        <v>41</v>
      </c>
      <c r="R301" s="12" t="s">
        <v>32</v>
      </c>
      <c r="S301" s="12" t="s">
        <v>33</v>
      </c>
      <c r="T301" s="12" t="s">
        <v>5250</v>
      </c>
      <c r="U301" s="12" t="s">
        <v>5251</v>
      </c>
      <c r="V301" s="12" t="s">
        <v>5251</v>
      </c>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row>
    <row r="302" spans="1:112" ht="102" x14ac:dyDescent="0.2">
      <c r="A302" s="7" t="s">
        <v>5252</v>
      </c>
      <c r="B302" s="7" t="s">
        <v>5253</v>
      </c>
      <c r="C302" s="2" t="s">
        <v>5254</v>
      </c>
      <c r="D302" s="5">
        <f>36*7</f>
        <v>252</v>
      </c>
      <c r="E302" s="6" t="s">
        <v>23</v>
      </c>
      <c r="F302" s="6" t="s">
        <v>6035</v>
      </c>
      <c r="G302" s="6" t="s">
        <v>1119</v>
      </c>
      <c r="H302" s="6" t="s">
        <v>369</v>
      </c>
      <c r="I302" s="6" t="s">
        <v>6036</v>
      </c>
      <c r="J302" s="12" t="s">
        <v>27</v>
      </c>
      <c r="K302" s="12" t="s">
        <v>64</v>
      </c>
      <c r="L302" s="12" t="s">
        <v>5247</v>
      </c>
      <c r="M302" s="12" t="s">
        <v>5248</v>
      </c>
      <c r="N302" s="12" t="s">
        <v>5255</v>
      </c>
      <c r="O302" s="12" t="s">
        <v>68</v>
      </c>
      <c r="P302" s="12" t="s">
        <v>913</v>
      </c>
      <c r="Q302" s="12" t="s">
        <v>41</v>
      </c>
      <c r="R302" s="12" t="s">
        <v>32</v>
      </c>
      <c r="S302" s="12" t="s">
        <v>33</v>
      </c>
      <c r="T302" s="12" t="s">
        <v>5256</v>
      </c>
      <c r="U302" s="12" t="s">
        <v>5257</v>
      </c>
      <c r="V302" s="12" t="s">
        <v>5257</v>
      </c>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row>
    <row r="303" spans="1:112" ht="119" x14ac:dyDescent="0.2">
      <c r="A303" s="2" t="s">
        <v>1115</v>
      </c>
      <c r="B303" s="2" t="s">
        <v>1116</v>
      </c>
      <c r="C303" s="2" t="s">
        <v>1117</v>
      </c>
      <c r="D303" s="1">
        <v>252</v>
      </c>
      <c r="E303" s="2" t="s">
        <v>23</v>
      </c>
      <c r="F303" s="2" t="s">
        <v>1118</v>
      </c>
      <c r="G303" s="2" t="s">
        <v>1119</v>
      </c>
      <c r="H303" s="2" t="s">
        <v>664</v>
      </c>
      <c r="I303" s="2" t="s">
        <v>1120</v>
      </c>
      <c r="J303" s="2" t="s">
        <v>27</v>
      </c>
      <c r="K303" s="2" t="s">
        <v>1121</v>
      </c>
      <c r="L303" s="2" t="s">
        <v>1122</v>
      </c>
      <c r="M303" s="2" t="s">
        <v>1123</v>
      </c>
      <c r="N303" s="2" t="s">
        <v>1124</v>
      </c>
      <c r="O303" s="2" t="s">
        <v>183</v>
      </c>
      <c r="P303" s="2" t="s">
        <v>648</v>
      </c>
      <c r="Q303" s="2" t="s">
        <v>41</v>
      </c>
      <c r="R303" s="2" t="s">
        <v>32</v>
      </c>
      <c r="S303" s="2" t="s">
        <v>33</v>
      </c>
      <c r="T303" s="2" t="s">
        <v>1125</v>
      </c>
      <c r="U303" s="2" t="s">
        <v>1126</v>
      </c>
    </row>
    <row r="304" spans="1:112" ht="119" x14ac:dyDescent="0.2">
      <c r="A304" s="2" t="s">
        <v>1127</v>
      </c>
      <c r="B304" s="2" t="s">
        <v>1128</v>
      </c>
      <c r="C304" s="2" t="s">
        <v>1129</v>
      </c>
      <c r="D304" s="1">
        <v>252</v>
      </c>
      <c r="E304" s="2" t="s">
        <v>23</v>
      </c>
      <c r="F304" s="2" t="s">
        <v>1118</v>
      </c>
      <c r="G304" s="2" t="s">
        <v>1119</v>
      </c>
      <c r="H304" s="2" t="s">
        <v>664</v>
      </c>
      <c r="I304" s="2" t="s">
        <v>1120</v>
      </c>
      <c r="J304" s="2" t="s">
        <v>27</v>
      </c>
      <c r="K304" s="2" t="s">
        <v>1121</v>
      </c>
      <c r="L304" s="2" t="s">
        <v>1122</v>
      </c>
      <c r="M304" s="2" t="s">
        <v>1123</v>
      </c>
      <c r="N304" s="2" t="s">
        <v>1124</v>
      </c>
      <c r="O304" s="2" t="s">
        <v>183</v>
      </c>
      <c r="P304" s="2" t="s">
        <v>648</v>
      </c>
      <c r="Q304" s="2" t="s">
        <v>199</v>
      </c>
      <c r="R304" s="2" t="s">
        <v>32</v>
      </c>
      <c r="S304" s="2" t="s">
        <v>33</v>
      </c>
      <c r="T304" s="2" t="s">
        <v>1125</v>
      </c>
      <c r="U304" s="2" t="s">
        <v>1126</v>
      </c>
    </row>
    <row r="305" spans="1:112" ht="119" x14ac:dyDescent="0.2">
      <c r="A305" s="2" t="s">
        <v>335</v>
      </c>
      <c r="B305" s="2" t="s">
        <v>336</v>
      </c>
      <c r="C305" s="2" t="s">
        <v>337</v>
      </c>
      <c r="D305" s="1">
        <v>182.5</v>
      </c>
      <c r="E305" s="2" t="s">
        <v>23</v>
      </c>
      <c r="F305" s="2" t="s">
        <v>6705</v>
      </c>
      <c r="H305" s="2" t="s">
        <v>6707</v>
      </c>
      <c r="I305" s="2" t="s">
        <v>6704</v>
      </c>
      <c r="J305" s="2" t="s">
        <v>144</v>
      </c>
      <c r="K305" s="2" t="s">
        <v>144</v>
      </c>
      <c r="L305" s="2" t="s">
        <v>279</v>
      </c>
      <c r="M305" s="2" t="s">
        <v>280</v>
      </c>
      <c r="N305" s="2" t="s">
        <v>338</v>
      </c>
      <c r="O305" s="2" t="s">
        <v>183</v>
      </c>
      <c r="P305" s="2" t="s">
        <v>339</v>
      </c>
      <c r="Q305" s="2" t="s">
        <v>41</v>
      </c>
      <c r="R305" s="2" t="s">
        <v>32</v>
      </c>
      <c r="S305" s="2" t="s">
        <v>33</v>
      </c>
      <c r="T305" s="2" t="s">
        <v>334</v>
      </c>
      <c r="U305" s="2" t="s">
        <v>340</v>
      </c>
    </row>
    <row r="306" spans="1:112" ht="68" x14ac:dyDescent="0.2">
      <c r="A306" s="7" t="s">
        <v>5039</v>
      </c>
      <c r="B306" s="7" t="s">
        <v>5040</v>
      </c>
      <c r="C306" s="2" t="s">
        <v>5040</v>
      </c>
      <c r="D306" s="1">
        <v>182.5</v>
      </c>
      <c r="E306" s="2" t="s">
        <v>61</v>
      </c>
      <c r="F306" s="2" t="s">
        <v>1276</v>
      </c>
      <c r="H306" s="2" t="s">
        <v>1277</v>
      </c>
      <c r="I306" s="2" t="s">
        <v>1278</v>
      </c>
      <c r="J306" s="12" t="s">
        <v>469</v>
      </c>
      <c r="K306" s="12" t="s">
        <v>470</v>
      </c>
      <c r="L306" s="12" t="s">
        <v>1262</v>
      </c>
      <c r="M306" s="12" t="s">
        <v>1094</v>
      </c>
      <c r="N306" s="12" t="s">
        <v>5041</v>
      </c>
      <c r="O306" s="12" t="s">
        <v>1364</v>
      </c>
      <c r="P306" s="12" t="s">
        <v>229</v>
      </c>
      <c r="Q306" s="12" t="s">
        <v>41</v>
      </c>
      <c r="R306" s="12" t="s">
        <v>32</v>
      </c>
      <c r="S306" s="12" t="s">
        <v>392</v>
      </c>
      <c r="T306" s="12" t="s">
        <v>5042</v>
      </c>
      <c r="U306" s="12" t="s">
        <v>5043</v>
      </c>
      <c r="V306" s="12" t="s">
        <v>5043</v>
      </c>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row>
    <row r="307" spans="1:112" ht="68" x14ac:dyDescent="0.2">
      <c r="A307" s="7" t="s">
        <v>5044</v>
      </c>
      <c r="B307" s="7" t="s">
        <v>5045</v>
      </c>
      <c r="C307" s="2" t="s">
        <v>5045</v>
      </c>
      <c r="D307" s="1">
        <v>182.5</v>
      </c>
      <c r="E307" s="2" t="s">
        <v>61</v>
      </c>
      <c r="F307" s="2" t="s">
        <v>1276</v>
      </c>
      <c r="H307" s="2" t="s">
        <v>1277</v>
      </c>
      <c r="I307" s="2" t="s">
        <v>1278</v>
      </c>
      <c r="J307" s="12" t="s">
        <v>469</v>
      </c>
      <c r="K307" s="12" t="s">
        <v>470</v>
      </c>
      <c r="L307" s="12" t="s">
        <v>1262</v>
      </c>
      <c r="M307" s="12" t="s">
        <v>1094</v>
      </c>
      <c r="N307" s="12" t="s">
        <v>5046</v>
      </c>
      <c r="O307" s="12" t="s">
        <v>1364</v>
      </c>
      <c r="P307" s="12" t="s">
        <v>194</v>
      </c>
      <c r="Q307" s="12" t="s">
        <v>41</v>
      </c>
      <c r="R307" s="12" t="s">
        <v>32</v>
      </c>
      <c r="S307" s="12" t="s">
        <v>392</v>
      </c>
      <c r="T307" s="12" t="s">
        <v>5042</v>
      </c>
      <c r="U307" s="12" t="s">
        <v>5047</v>
      </c>
      <c r="V307" s="12" t="s">
        <v>5047</v>
      </c>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row>
    <row r="308" spans="1:112" ht="85" x14ac:dyDescent="0.2">
      <c r="A308" s="2" t="s">
        <v>1130</v>
      </c>
      <c r="B308" s="2" t="s">
        <v>1131</v>
      </c>
      <c r="C308" s="2" t="s">
        <v>1132</v>
      </c>
      <c r="D308" s="1">
        <v>182.5</v>
      </c>
      <c r="E308" s="2" t="s">
        <v>23</v>
      </c>
      <c r="F308" s="2" t="s">
        <v>1133</v>
      </c>
      <c r="G308" s="2" t="s">
        <v>1134</v>
      </c>
      <c r="I308" s="2" t="s">
        <v>204</v>
      </c>
      <c r="J308" s="2" t="s">
        <v>144</v>
      </c>
      <c r="K308" s="2" t="s">
        <v>144</v>
      </c>
      <c r="L308" s="2" t="s">
        <v>205</v>
      </c>
      <c r="M308" s="2" t="s">
        <v>206</v>
      </c>
      <c r="N308" s="2" t="s">
        <v>1135</v>
      </c>
      <c r="O308" s="2" t="s">
        <v>146</v>
      </c>
      <c r="P308" s="2" t="s">
        <v>819</v>
      </c>
      <c r="Q308" s="2" t="s">
        <v>41</v>
      </c>
      <c r="R308" s="2" t="s">
        <v>32</v>
      </c>
      <c r="S308" s="2" t="s">
        <v>33</v>
      </c>
      <c r="T308" s="2" t="s">
        <v>1136</v>
      </c>
      <c r="U308" s="2" t="s">
        <v>4018</v>
      </c>
      <c r="V308" s="2" t="s">
        <v>4019</v>
      </c>
      <c r="W308" s="2" t="s">
        <v>4020</v>
      </c>
    </row>
    <row r="309" spans="1:112" ht="51" x14ac:dyDescent="0.2">
      <c r="A309" s="2" t="s">
        <v>1137</v>
      </c>
      <c r="B309" s="2" t="s">
        <v>1138</v>
      </c>
      <c r="C309" s="2" t="s">
        <v>1139</v>
      </c>
      <c r="D309" s="1">
        <v>182.5</v>
      </c>
      <c r="E309" s="2" t="s">
        <v>153</v>
      </c>
      <c r="F309" s="2" t="s">
        <v>1140</v>
      </c>
      <c r="J309" s="2" t="s">
        <v>144</v>
      </c>
      <c r="K309" s="2" t="s">
        <v>144</v>
      </c>
      <c r="L309" s="2" t="s">
        <v>700</v>
      </c>
      <c r="M309" s="2" t="s">
        <v>701</v>
      </c>
      <c r="N309" s="2" t="s">
        <v>1141</v>
      </c>
      <c r="O309" s="2" t="s">
        <v>183</v>
      </c>
      <c r="P309" s="2" t="s">
        <v>650</v>
      </c>
      <c r="Q309" s="2" t="s">
        <v>41</v>
      </c>
      <c r="R309" s="2" t="s">
        <v>32</v>
      </c>
      <c r="S309" s="2" t="s">
        <v>33</v>
      </c>
      <c r="T309" s="2" t="s">
        <v>1142</v>
      </c>
      <c r="U309" s="2" t="s">
        <v>1143</v>
      </c>
    </row>
    <row r="310" spans="1:112" ht="69" customHeight="1" x14ac:dyDescent="0.2">
      <c r="A310" s="2" t="s">
        <v>1144</v>
      </c>
      <c r="B310" s="2" t="s">
        <v>1145</v>
      </c>
      <c r="C310" s="2" t="s">
        <v>1145</v>
      </c>
      <c r="D310" s="1">
        <v>182.5</v>
      </c>
      <c r="E310" s="2" t="s">
        <v>23</v>
      </c>
      <c r="G310" s="2" t="s">
        <v>1146</v>
      </c>
      <c r="H310" s="2" t="s">
        <v>1147</v>
      </c>
      <c r="I310" s="2" t="s">
        <v>699</v>
      </c>
      <c r="J310" s="2" t="s">
        <v>144</v>
      </c>
      <c r="K310" s="2" t="s">
        <v>144</v>
      </c>
      <c r="L310" s="2" t="s">
        <v>700</v>
      </c>
      <c r="M310" s="2" t="s">
        <v>701</v>
      </c>
      <c r="N310" s="2" t="s">
        <v>1148</v>
      </c>
      <c r="O310" s="2" t="s">
        <v>183</v>
      </c>
      <c r="P310" s="2" t="s">
        <v>854</v>
      </c>
      <c r="Q310" s="2" t="s">
        <v>41</v>
      </c>
      <c r="R310" s="2" t="s">
        <v>32</v>
      </c>
      <c r="S310" s="2" t="s">
        <v>33</v>
      </c>
      <c r="T310" s="2" t="s">
        <v>1149</v>
      </c>
      <c r="U310" s="2" t="s">
        <v>4021</v>
      </c>
      <c r="V310" s="2" t="s">
        <v>4022</v>
      </c>
    </row>
    <row r="311" spans="1:112" ht="69" customHeight="1" x14ac:dyDescent="0.2">
      <c r="A311" s="7" t="s">
        <v>5111</v>
      </c>
      <c r="B311" s="7" t="s">
        <v>5112</v>
      </c>
      <c r="C311" s="2" t="s">
        <v>5112</v>
      </c>
      <c r="D311" s="1">
        <v>182.5</v>
      </c>
      <c r="E311" s="2" t="s">
        <v>23</v>
      </c>
      <c r="G311" s="2" t="s">
        <v>1146</v>
      </c>
      <c r="H311" s="2" t="s">
        <v>1147</v>
      </c>
      <c r="I311" s="2" t="s">
        <v>699</v>
      </c>
      <c r="J311" s="12" t="s">
        <v>144</v>
      </c>
      <c r="K311" s="12" t="s">
        <v>144</v>
      </c>
      <c r="L311" s="12" t="s">
        <v>700</v>
      </c>
      <c r="M311" s="12" t="s">
        <v>701</v>
      </c>
      <c r="N311" s="12" t="s">
        <v>1148</v>
      </c>
      <c r="O311" s="12" t="s">
        <v>183</v>
      </c>
      <c r="P311" s="12" t="s">
        <v>854</v>
      </c>
      <c r="Q311" s="12" t="s">
        <v>199</v>
      </c>
      <c r="R311" s="12" t="s">
        <v>32</v>
      </c>
      <c r="S311" s="12" t="s">
        <v>33</v>
      </c>
      <c r="T311" s="12" t="s">
        <v>1149</v>
      </c>
      <c r="U311" s="12" t="s">
        <v>5113</v>
      </c>
      <c r="V311" s="12" t="s">
        <v>5113</v>
      </c>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row>
    <row r="312" spans="1:112" ht="102" x14ac:dyDescent="0.2">
      <c r="A312" s="2" t="s">
        <v>1150</v>
      </c>
      <c r="B312" s="2" t="s">
        <v>1151</v>
      </c>
      <c r="C312" s="2" t="s">
        <v>1151</v>
      </c>
      <c r="D312" s="1">
        <v>182.5</v>
      </c>
      <c r="E312" s="2" t="s">
        <v>23</v>
      </c>
      <c r="G312" s="2" t="s">
        <v>1146</v>
      </c>
      <c r="H312" s="2" t="s">
        <v>410</v>
      </c>
      <c r="I312" s="2" t="s">
        <v>707</v>
      </c>
      <c r="J312" s="2" t="s">
        <v>144</v>
      </c>
      <c r="K312" s="2" t="s">
        <v>144</v>
      </c>
      <c r="L312" s="2" t="s">
        <v>708</v>
      </c>
      <c r="M312" s="2" t="s">
        <v>709</v>
      </c>
      <c r="N312" s="2" t="s">
        <v>1152</v>
      </c>
      <c r="O312" s="2" t="s">
        <v>183</v>
      </c>
      <c r="P312" s="2" t="s">
        <v>1153</v>
      </c>
      <c r="Q312" s="2" t="s">
        <v>41</v>
      </c>
      <c r="R312" s="2" t="s">
        <v>32</v>
      </c>
      <c r="S312" s="2" t="s">
        <v>33</v>
      </c>
      <c r="T312" s="2" t="s">
        <v>704</v>
      </c>
      <c r="U312" s="2" t="s">
        <v>4023</v>
      </c>
      <c r="V312" s="2" t="s">
        <v>4024</v>
      </c>
    </row>
    <row r="313" spans="1:112" ht="102" x14ac:dyDescent="0.2">
      <c r="A313" s="7" t="s">
        <v>5114</v>
      </c>
      <c r="B313" s="7" t="s">
        <v>5115</v>
      </c>
      <c r="C313" s="2" t="s">
        <v>5115</v>
      </c>
      <c r="D313" s="1">
        <v>182.5</v>
      </c>
      <c r="E313" s="2" t="s">
        <v>23</v>
      </c>
      <c r="G313" s="2" t="s">
        <v>1146</v>
      </c>
      <c r="H313" s="2" t="s">
        <v>1147</v>
      </c>
      <c r="I313" s="2" t="s">
        <v>699</v>
      </c>
      <c r="J313" s="12" t="s">
        <v>144</v>
      </c>
      <c r="K313" s="12" t="s">
        <v>144</v>
      </c>
      <c r="L313" s="12" t="s">
        <v>708</v>
      </c>
      <c r="M313" s="12" t="s">
        <v>709</v>
      </c>
      <c r="N313" s="12" t="s">
        <v>1152</v>
      </c>
      <c r="O313" s="12" t="s">
        <v>183</v>
      </c>
      <c r="P313" s="12" t="s">
        <v>1153</v>
      </c>
      <c r="Q313" s="12" t="s">
        <v>199</v>
      </c>
      <c r="R313" s="12" t="s">
        <v>32</v>
      </c>
      <c r="S313" s="12" t="s">
        <v>33</v>
      </c>
      <c r="T313" s="12" t="s">
        <v>704</v>
      </c>
      <c r="U313" s="12" t="s">
        <v>5116</v>
      </c>
      <c r="V313" s="12" t="s">
        <v>5116</v>
      </c>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c r="DE313" s="12"/>
      <c r="DF313" s="12"/>
      <c r="DG313" s="12"/>
      <c r="DH313" s="12"/>
    </row>
    <row r="314" spans="1:112" ht="102" x14ac:dyDescent="0.2">
      <c r="A314" s="2" t="s">
        <v>1154</v>
      </c>
      <c r="B314" s="2" t="s">
        <v>1155</v>
      </c>
      <c r="C314" s="2" t="s">
        <v>1156</v>
      </c>
      <c r="D314" s="1">
        <v>182.5</v>
      </c>
      <c r="E314" s="2" t="s">
        <v>1157</v>
      </c>
      <c r="F314" s="2" t="s">
        <v>1140</v>
      </c>
      <c r="G314" s="2" t="s">
        <v>1158</v>
      </c>
      <c r="I314" s="2" t="s">
        <v>1159</v>
      </c>
      <c r="J314" s="2" t="s">
        <v>469</v>
      </c>
      <c r="K314" s="2" t="s">
        <v>470</v>
      </c>
      <c r="L314" s="2" t="s">
        <v>1160</v>
      </c>
      <c r="M314" s="2" t="s">
        <v>1161</v>
      </c>
      <c r="N314" s="2" t="s">
        <v>1162</v>
      </c>
      <c r="O314" s="2" t="s">
        <v>1161</v>
      </c>
      <c r="P314" s="2" t="s">
        <v>30</v>
      </c>
      <c r="Q314" s="2" t="s">
        <v>40</v>
      </c>
      <c r="R314" s="2" t="s">
        <v>32</v>
      </c>
      <c r="S314" s="2" t="s">
        <v>33</v>
      </c>
      <c r="T314" s="2" t="s">
        <v>1163</v>
      </c>
      <c r="U314" s="2" t="s">
        <v>4025</v>
      </c>
      <c r="V314" s="2" t="s">
        <v>4026</v>
      </c>
      <c r="W314" s="2" t="s">
        <v>4027</v>
      </c>
    </row>
    <row r="315" spans="1:112" ht="153" x14ac:dyDescent="0.2">
      <c r="A315" s="2" t="s">
        <v>1164</v>
      </c>
      <c r="B315" s="2" t="s">
        <v>1165</v>
      </c>
      <c r="C315" s="2" t="s">
        <v>1166</v>
      </c>
      <c r="D315" s="1">
        <v>182.5</v>
      </c>
      <c r="E315" s="2" t="s">
        <v>1157</v>
      </c>
      <c r="F315" s="2" t="s">
        <v>1167</v>
      </c>
      <c r="G315" s="2" t="s">
        <v>1168</v>
      </c>
      <c r="H315" s="2" t="s">
        <v>1169</v>
      </c>
      <c r="I315" s="2" t="s">
        <v>1170</v>
      </c>
      <c r="J315" s="2" t="s">
        <v>469</v>
      </c>
      <c r="K315" s="2" t="s">
        <v>470</v>
      </c>
      <c r="L315" s="2" t="s">
        <v>1171</v>
      </c>
      <c r="M315" s="2" t="s">
        <v>1172</v>
      </c>
      <c r="N315" s="2" t="s">
        <v>1173</v>
      </c>
      <c r="O315" s="2" t="s">
        <v>1172</v>
      </c>
      <c r="P315" s="2" t="s">
        <v>40</v>
      </c>
      <c r="Q315" s="2" t="s">
        <v>41</v>
      </c>
      <c r="R315" s="2" t="s">
        <v>32</v>
      </c>
      <c r="S315" s="2" t="s">
        <v>33</v>
      </c>
      <c r="T315" s="2" t="s">
        <v>1174</v>
      </c>
      <c r="U315" s="2" t="s">
        <v>4028</v>
      </c>
      <c r="V315" s="2" t="s">
        <v>4029</v>
      </c>
      <c r="W315" s="2" t="s">
        <v>4030</v>
      </c>
      <c r="X315" s="2" t="s">
        <v>4031</v>
      </c>
      <c r="Y315" s="2" t="s">
        <v>4032</v>
      </c>
      <c r="Z315" s="2" t="s">
        <v>4033</v>
      </c>
    </row>
    <row r="316" spans="1:112" ht="153" x14ac:dyDescent="0.2">
      <c r="A316" s="2" t="s">
        <v>1175</v>
      </c>
      <c r="B316" s="2" t="s">
        <v>1176</v>
      </c>
      <c r="C316" s="2" t="s">
        <v>1177</v>
      </c>
      <c r="D316" s="1">
        <v>182.5</v>
      </c>
      <c r="E316" s="2" t="s">
        <v>1178</v>
      </c>
      <c r="F316" s="2" t="s">
        <v>1179</v>
      </c>
      <c r="G316" s="2" t="s">
        <v>1168</v>
      </c>
      <c r="H316" s="2" t="s">
        <v>1169</v>
      </c>
      <c r="I316" s="2" t="s">
        <v>1170</v>
      </c>
      <c r="J316" s="2" t="s">
        <v>469</v>
      </c>
      <c r="K316" s="2" t="s">
        <v>470</v>
      </c>
      <c r="L316" s="2" t="s">
        <v>1171</v>
      </c>
      <c r="M316" s="2" t="s">
        <v>1172</v>
      </c>
      <c r="N316" s="2" t="s">
        <v>1173</v>
      </c>
      <c r="O316" s="2" t="s">
        <v>1172</v>
      </c>
      <c r="P316" s="2" t="s">
        <v>40</v>
      </c>
      <c r="Q316" s="2" t="s">
        <v>199</v>
      </c>
      <c r="R316" s="2" t="s">
        <v>32</v>
      </c>
      <c r="S316" s="2" t="s">
        <v>33</v>
      </c>
      <c r="T316" s="2" t="s">
        <v>1174</v>
      </c>
      <c r="U316" s="2" t="s">
        <v>4028</v>
      </c>
      <c r="V316" s="2" t="s">
        <v>4029</v>
      </c>
      <c r="W316" s="2" t="s">
        <v>4030</v>
      </c>
      <c r="X316" s="2" t="s">
        <v>4031</v>
      </c>
      <c r="Y316" s="2" t="s">
        <v>4032</v>
      </c>
      <c r="Z316" s="2" t="s">
        <v>4033</v>
      </c>
    </row>
    <row r="317" spans="1:112" ht="136" x14ac:dyDescent="0.2">
      <c r="A317" s="2" t="s">
        <v>1180</v>
      </c>
      <c r="B317" s="2" t="s">
        <v>1181</v>
      </c>
      <c r="C317" s="2" t="s">
        <v>1182</v>
      </c>
      <c r="D317" s="1">
        <v>182.5</v>
      </c>
      <c r="E317" s="2" t="s">
        <v>23</v>
      </c>
      <c r="F317" s="2" t="s">
        <v>1183</v>
      </c>
      <c r="G317" s="2" t="s">
        <v>1184</v>
      </c>
      <c r="H317" s="2" t="s">
        <v>1185</v>
      </c>
      <c r="I317" s="2" t="s">
        <v>1186</v>
      </c>
      <c r="J317" s="2" t="s">
        <v>103</v>
      </c>
      <c r="K317" s="2" t="s">
        <v>190</v>
      </c>
      <c r="L317" s="2" t="s">
        <v>1187</v>
      </c>
      <c r="M317" s="2" t="s">
        <v>814</v>
      </c>
      <c r="N317" s="2" t="s">
        <v>1188</v>
      </c>
      <c r="O317" s="2" t="s">
        <v>814</v>
      </c>
      <c r="P317" s="2" t="s">
        <v>30</v>
      </c>
      <c r="Q317" s="2" t="s">
        <v>41</v>
      </c>
      <c r="R317" s="2" t="s">
        <v>32</v>
      </c>
      <c r="S317" s="2" t="s">
        <v>33</v>
      </c>
      <c r="T317" s="2" t="s">
        <v>1189</v>
      </c>
      <c r="U317" s="2" t="s">
        <v>1190</v>
      </c>
    </row>
    <row r="318" spans="1:112" ht="136" x14ac:dyDescent="0.2">
      <c r="A318" s="2" t="s">
        <v>1191</v>
      </c>
      <c r="B318" s="2" t="s">
        <v>1192</v>
      </c>
      <c r="C318" s="2" t="s">
        <v>1193</v>
      </c>
      <c r="D318" s="1">
        <v>182.5</v>
      </c>
      <c r="E318" s="2" t="s">
        <v>23</v>
      </c>
      <c r="F318" s="2" t="s">
        <v>1133</v>
      </c>
      <c r="G318" s="2" t="s">
        <v>1194</v>
      </c>
      <c r="H318" s="2" t="s">
        <v>492</v>
      </c>
      <c r="I318" s="2" t="s">
        <v>1195</v>
      </c>
      <c r="J318" s="2" t="s">
        <v>103</v>
      </c>
      <c r="K318" s="2" t="s">
        <v>190</v>
      </c>
      <c r="L318" s="2" t="s">
        <v>1187</v>
      </c>
      <c r="M318" s="2" t="s">
        <v>814</v>
      </c>
      <c r="N318" s="2" t="s">
        <v>1196</v>
      </c>
      <c r="O318" s="2" t="s">
        <v>814</v>
      </c>
      <c r="P318" s="2" t="s">
        <v>115</v>
      </c>
      <c r="Q318" s="2" t="s">
        <v>41</v>
      </c>
      <c r="R318" s="2" t="s">
        <v>32</v>
      </c>
      <c r="S318" s="2" t="s">
        <v>33</v>
      </c>
      <c r="T318" s="2" t="s">
        <v>1197</v>
      </c>
      <c r="U318" s="2" t="s">
        <v>1198</v>
      </c>
    </row>
    <row r="319" spans="1:112" ht="136" x14ac:dyDescent="0.2">
      <c r="A319" s="7" t="s">
        <v>5402</v>
      </c>
      <c r="B319" s="7" t="s">
        <v>5403</v>
      </c>
      <c r="C319" s="2" t="s">
        <v>5403</v>
      </c>
      <c r="D319" s="1">
        <v>182.5</v>
      </c>
      <c r="E319" s="2" t="s">
        <v>23</v>
      </c>
      <c r="F319" s="2" t="s">
        <v>1183</v>
      </c>
      <c r="G319" s="2" t="s">
        <v>1184</v>
      </c>
      <c r="H319" s="2" t="s">
        <v>1185</v>
      </c>
      <c r="I319" s="2" t="s">
        <v>1186</v>
      </c>
      <c r="J319" s="12" t="s">
        <v>103</v>
      </c>
      <c r="K319" s="12" t="s">
        <v>190</v>
      </c>
      <c r="L319" s="12" t="s">
        <v>1187</v>
      </c>
      <c r="M319" s="12" t="s">
        <v>814</v>
      </c>
      <c r="N319" s="12" t="s">
        <v>5404</v>
      </c>
      <c r="O319" s="12" t="s">
        <v>814</v>
      </c>
      <c r="P319" s="12" t="s">
        <v>52</v>
      </c>
      <c r="Q319" s="12" t="s">
        <v>41</v>
      </c>
      <c r="R319" s="12" t="s">
        <v>32</v>
      </c>
      <c r="S319" s="12" t="s">
        <v>33</v>
      </c>
      <c r="T319" s="12" t="s">
        <v>1189</v>
      </c>
      <c r="U319" s="12" t="s">
        <v>5405</v>
      </c>
      <c r="V319" s="12" t="s">
        <v>5405</v>
      </c>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row>
    <row r="320" spans="1:112" ht="136" x14ac:dyDescent="0.2">
      <c r="A320" s="2" t="s">
        <v>1199</v>
      </c>
      <c r="B320" s="2" t="s">
        <v>1200</v>
      </c>
      <c r="C320" s="2" t="s">
        <v>1200</v>
      </c>
      <c r="D320" s="1">
        <v>182.5</v>
      </c>
      <c r="E320" s="2" t="s">
        <v>23</v>
      </c>
      <c r="F320" s="2" t="s">
        <v>1183</v>
      </c>
      <c r="G320" s="2" t="s">
        <v>1184</v>
      </c>
      <c r="H320" s="2" t="s">
        <v>1185</v>
      </c>
      <c r="I320" s="2" t="s">
        <v>1186</v>
      </c>
      <c r="J320" s="2" t="s">
        <v>103</v>
      </c>
      <c r="K320" s="2" t="s">
        <v>190</v>
      </c>
      <c r="L320" s="2" t="s">
        <v>1187</v>
      </c>
      <c r="M320" s="2" t="s">
        <v>814</v>
      </c>
      <c r="N320" s="2" t="s">
        <v>1201</v>
      </c>
      <c r="O320" s="2" t="s">
        <v>814</v>
      </c>
      <c r="P320" s="2" t="s">
        <v>68</v>
      </c>
      <c r="Q320" s="2" t="s">
        <v>41</v>
      </c>
      <c r="R320" s="2" t="s">
        <v>32</v>
      </c>
      <c r="S320" s="2" t="s">
        <v>33</v>
      </c>
      <c r="T320" s="2" t="s">
        <v>1189</v>
      </c>
      <c r="U320" s="2" t="s">
        <v>1202</v>
      </c>
    </row>
    <row r="321" spans="1:112" ht="136" x14ac:dyDescent="0.2">
      <c r="A321" s="7" t="s">
        <v>5406</v>
      </c>
      <c r="B321" s="7" t="s">
        <v>5407</v>
      </c>
      <c r="C321" s="2" t="s">
        <v>5407</v>
      </c>
      <c r="D321" s="1">
        <v>182.5</v>
      </c>
      <c r="E321" s="2" t="s">
        <v>23</v>
      </c>
      <c r="F321" s="2" t="s">
        <v>1183</v>
      </c>
      <c r="G321" s="2" t="s">
        <v>1184</v>
      </c>
      <c r="H321" s="2" t="s">
        <v>1185</v>
      </c>
      <c r="I321" s="2" t="s">
        <v>1186</v>
      </c>
      <c r="J321" s="12" t="s">
        <v>103</v>
      </c>
      <c r="K321" s="12" t="s">
        <v>190</v>
      </c>
      <c r="L321" s="12" t="s">
        <v>1187</v>
      </c>
      <c r="M321" s="12" t="s">
        <v>814</v>
      </c>
      <c r="N321" s="12" t="s">
        <v>5408</v>
      </c>
      <c r="O321" s="12" t="s">
        <v>814</v>
      </c>
      <c r="P321" s="12" t="s">
        <v>165</v>
      </c>
      <c r="Q321" s="12" t="s">
        <v>41</v>
      </c>
      <c r="R321" s="12" t="s">
        <v>32</v>
      </c>
      <c r="S321" s="12" t="s">
        <v>33</v>
      </c>
      <c r="T321" s="12" t="s">
        <v>1206</v>
      </c>
      <c r="U321" s="12" t="s">
        <v>5409</v>
      </c>
      <c r="V321" s="12" t="s">
        <v>5409</v>
      </c>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row>
    <row r="322" spans="1:112" ht="136" x14ac:dyDescent="0.2">
      <c r="A322" s="7" t="s">
        <v>5410</v>
      </c>
      <c r="B322" s="7" t="s">
        <v>5411</v>
      </c>
      <c r="C322" s="2" t="s">
        <v>5411</v>
      </c>
      <c r="D322" s="1">
        <v>182.5</v>
      </c>
      <c r="E322" s="2" t="s">
        <v>23</v>
      </c>
      <c r="F322" s="2" t="s">
        <v>1183</v>
      </c>
      <c r="G322" s="2" t="s">
        <v>1184</v>
      </c>
      <c r="H322" s="2" t="s">
        <v>1185</v>
      </c>
      <c r="I322" s="2" t="s">
        <v>1186</v>
      </c>
      <c r="J322" s="12" t="s">
        <v>103</v>
      </c>
      <c r="K322" s="12" t="s">
        <v>190</v>
      </c>
      <c r="L322" s="12" t="s">
        <v>1187</v>
      </c>
      <c r="M322" s="12" t="s">
        <v>814</v>
      </c>
      <c r="N322" s="12" t="s">
        <v>1205</v>
      </c>
      <c r="O322" s="12" t="s">
        <v>814</v>
      </c>
      <c r="P322" s="12" t="s">
        <v>183</v>
      </c>
      <c r="Q322" s="12" t="s">
        <v>41</v>
      </c>
      <c r="R322" s="12" t="s">
        <v>32</v>
      </c>
      <c r="S322" s="12" t="s">
        <v>33</v>
      </c>
      <c r="T322" s="12" t="s">
        <v>1206</v>
      </c>
      <c r="U322" s="12" t="s">
        <v>1207</v>
      </c>
      <c r="V322" s="12" t="s">
        <v>1207</v>
      </c>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row>
    <row r="323" spans="1:112" ht="136" x14ac:dyDescent="0.2">
      <c r="A323" s="2" t="s">
        <v>1203</v>
      </c>
      <c r="B323" s="2" t="s">
        <v>1204</v>
      </c>
      <c r="C323" s="2" t="s">
        <v>1204</v>
      </c>
      <c r="D323" s="1">
        <v>182.5</v>
      </c>
      <c r="E323" s="2" t="s">
        <v>23</v>
      </c>
      <c r="F323" s="2" t="s">
        <v>1183</v>
      </c>
      <c r="G323" s="2" t="s">
        <v>1184</v>
      </c>
      <c r="H323" s="2" t="s">
        <v>1185</v>
      </c>
      <c r="I323" s="2" t="s">
        <v>1186</v>
      </c>
      <c r="J323" s="2" t="s">
        <v>103</v>
      </c>
      <c r="K323" s="2" t="s">
        <v>190</v>
      </c>
      <c r="L323" s="2" t="s">
        <v>1187</v>
      </c>
      <c r="M323" s="2" t="s">
        <v>814</v>
      </c>
      <c r="N323" s="2" t="s">
        <v>1205</v>
      </c>
      <c r="O323" s="2" t="s">
        <v>814</v>
      </c>
      <c r="P323" s="2" t="s">
        <v>183</v>
      </c>
      <c r="Q323" s="2" t="s">
        <v>199</v>
      </c>
      <c r="R323" s="2" t="s">
        <v>32</v>
      </c>
      <c r="S323" s="2" t="s">
        <v>33</v>
      </c>
      <c r="T323" s="2" t="s">
        <v>1206</v>
      </c>
      <c r="U323" s="2" t="s">
        <v>1207</v>
      </c>
    </row>
    <row r="324" spans="1:112" ht="153" x14ac:dyDescent="0.2">
      <c r="A324" s="2" t="s">
        <v>1208</v>
      </c>
      <c r="B324" s="2" t="s">
        <v>1209</v>
      </c>
      <c r="C324" s="2" t="s">
        <v>1209</v>
      </c>
      <c r="D324" s="1">
        <v>182.5</v>
      </c>
      <c r="E324" s="2" t="s">
        <v>61</v>
      </c>
      <c r="F324" s="2" t="s">
        <v>1210</v>
      </c>
      <c r="G324" s="2" t="s">
        <v>1184</v>
      </c>
      <c r="H324" s="2" t="s">
        <v>370</v>
      </c>
      <c r="I324" s="2" t="s">
        <v>1211</v>
      </c>
      <c r="J324" s="2" t="s">
        <v>103</v>
      </c>
      <c r="K324" s="2" t="s">
        <v>190</v>
      </c>
      <c r="L324" s="2" t="s">
        <v>1074</v>
      </c>
      <c r="M324" s="2" t="s">
        <v>819</v>
      </c>
      <c r="N324" s="2" t="s">
        <v>1212</v>
      </c>
      <c r="O324" s="2" t="s">
        <v>819</v>
      </c>
      <c r="P324" s="2" t="s">
        <v>30</v>
      </c>
      <c r="Q324" s="2" t="s">
        <v>41</v>
      </c>
      <c r="R324" s="2" t="s">
        <v>32</v>
      </c>
      <c r="S324" s="2" t="s">
        <v>33</v>
      </c>
      <c r="T324" s="2" t="s">
        <v>1213</v>
      </c>
      <c r="U324" s="2" t="s">
        <v>4034</v>
      </c>
      <c r="V324" s="2" t="s">
        <v>4035</v>
      </c>
    </row>
    <row r="325" spans="1:112" ht="153" x14ac:dyDescent="0.2">
      <c r="A325" s="2" t="s">
        <v>1214</v>
      </c>
      <c r="B325" s="2" t="s">
        <v>1215</v>
      </c>
      <c r="C325" s="2" t="s">
        <v>1215</v>
      </c>
      <c r="D325" s="1">
        <v>182.5</v>
      </c>
      <c r="E325" s="2" t="s">
        <v>61</v>
      </c>
      <c r="F325" s="2" t="s">
        <v>1210</v>
      </c>
      <c r="G325" s="2" t="s">
        <v>1184</v>
      </c>
      <c r="H325" s="2" t="s">
        <v>370</v>
      </c>
      <c r="I325" s="2" t="s">
        <v>1211</v>
      </c>
      <c r="J325" s="2" t="s">
        <v>103</v>
      </c>
      <c r="K325" s="2" t="s">
        <v>190</v>
      </c>
      <c r="L325" s="2" t="s">
        <v>1074</v>
      </c>
      <c r="M325" s="2" t="s">
        <v>819</v>
      </c>
      <c r="N325" s="2" t="s">
        <v>1212</v>
      </c>
      <c r="O325" s="2" t="s">
        <v>819</v>
      </c>
      <c r="P325" s="2" t="s">
        <v>30</v>
      </c>
      <c r="Q325" s="2" t="s">
        <v>199</v>
      </c>
      <c r="R325" s="2" t="s">
        <v>32</v>
      </c>
      <c r="S325" s="2" t="s">
        <v>33</v>
      </c>
      <c r="T325" s="2" t="s">
        <v>1213</v>
      </c>
      <c r="U325" s="2" t="s">
        <v>4034</v>
      </c>
      <c r="V325" s="2" t="s">
        <v>4035</v>
      </c>
    </row>
    <row r="326" spans="1:112" ht="119" x14ac:dyDescent="0.2">
      <c r="A326" s="2" t="s">
        <v>1216</v>
      </c>
      <c r="B326" s="2" t="s">
        <v>1217</v>
      </c>
      <c r="C326" s="2" t="s">
        <v>1217</v>
      </c>
      <c r="D326" s="1">
        <v>182.5</v>
      </c>
      <c r="E326" s="2" t="s">
        <v>23</v>
      </c>
      <c r="F326" s="2" t="s">
        <v>1218</v>
      </c>
      <c r="G326" s="2" t="s">
        <v>1184</v>
      </c>
      <c r="H326" s="2" t="s">
        <v>369</v>
      </c>
      <c r="I326" s="2" t="s">
        <v>1219</v>
      </c>
      <c r="J326" s="2" t="s">
        <v>103</v>
      </c>
      <c r="K326" s="2" t="s">
        <v>190</v>
      </c>
      <c r="L326" s="2" t="s">
        <v>1220</v>
      </c>
      <c r="M326" s="2" t="s">
        <v>825</v>
      </c>
      <c r="N326" s="2" t="s">
        <v>1221</v>
      </c>
      <c r="O326" s="2" t="s">
        <v>825</v>
      </c>
      <c r="P326" s="2" t="s">
        <v>229</v>
      </c>
      <c r="Q326" s="2" t="s">
        <v>41</v>
      </c>
      <c r="R326" s="2" t="s">
        <v>32</v>
      </c>
      <c r="S326" s="2" t="s">
        <v>33</v>
      </c>
      <c r="T326" s="2" t="s">
        <v>1222</v>
      </c>
      <c r="U326" s="2" t="s">
        <v>4036</v>
      </c>
      <c r="V326" s="2" t="s">
        <v>4037</v>
      </c>
    </row>
    <row r="327" spans="1:112" ht="119" x14ac:dyDescent="0.2">
      <c r="A327" s="2" t="s">
        <v>1223</v>
      </c>
      <c r="B327" s="2" t="s">
        <v>1224</v>
      </c>
      <c r="C327" s="2" t="s">
        <v>1224</v>
      </c>
      <c r="D327" s="1">
        <v>182.5</v>
      </c>
      <c r="E327" s="2" t="s">
        <v>23</v>
      </c>
      <c r="F327" s="2" t="s">
        <v>1218</v>
      </c>
      <c r="G327" s="2" t="s">
        <v>1184</v>
      </c>
      <c r="H327" s="2" t="s">
        <v>369</v>
      </c>
      <c r="I327" s="2" t="s">
        <v>1219</v>
      </c>
      <c r="J327" s="2" t="s">
        <v>103</v>
      </c>
      <c r="K327" s="2" t="s">
        <v>190</v>
      </c>
      <c r="L327" s="2" t="s">
        <v>1220</v>
      </c>
      <c r="M327" s="2" t="s">
        <v>825</v>
      </c>
      <c r="N327" s="2" t="s">
        <v>1225</v>
      </c>
      <c r="O327" s="2" t="s">
        <v>825</v>
      </c>
      <c r="P327" s="2" t="s">
        <v>109</v>
      </c>
      <c r="Q327" s="2" t="s">
        <v>41</v>
      </c>
      <c r="R327" s="2" t="s">
        <v>32</v>
      </c>
      <c r="S327" s="2" t="s">
        <v>33</v>
      </c>
      <c r="T327" s="2" t="s">
        <v>1226</v>
      </c>
      <c r="U327" s="2" t="s">
        <v>4038</v>
      </c>
      <c r="V327" s="2" t="s">
        <v>4039</v>
      </c>
    </row>
    <row r="328" spans="1:112" ht="119" x14ac:dyDescent="0.2">
      <c r="A328" s="2" t="s">
        <v>1227</v>
      </c>
      <c r="B328" s="2" t="s">
        <v>1228</v>
      </c>
      <c r="C328" s="2" t="s">
        <v>1228</v>
      </c>
      <c r="D328" s="1">
        <v>182.5</v>
      </c>
      <c r="E328" s="2" t="s">
        <v>23</v>
      </c>
      <c r="F328" s="2" t="s">
        <v>1218</v>
      </c>
      <c r="G328" s="2" t="s">
        <v>1184</v>
      </c>
      <c r="H328" s="2" t="s">
        <v>369</v>
      </c>
      <c r="I328" s="2" t="s">
        <v>1229</v>
      </c>
      <c r="J328" s="2" t="s">
        <v>103</v>
      </c>
      <c r="K328" s="2" t="s">
        <v>190</v>
      </c>
      <c r="L328" s="2" t="s">
        <v>1220</v>
      </c>
      <c r="M328" s="2" t="s">
        <v>825</v>
      </c>
      <c r="N328" s="2" t="s">
        <v>1230</v>
      </c>
      <c r="O328" s="2" t="s">
        <v>825</v>
      </c>
      <c r="P328" s="2" t="s">
        <v>115</v>
      </c>
      <c r="Q328" s="2" t="s">
        <v>40</v>
      </c>
      <c r="R328" s="2" t="s">
        <v>32</v>
      </c>
      <c r="S328" s="2" t="s">
        <v>33</v>
      </c>
      <c r="T328" s="2" t="s">
        <v>1231</v>
      </c>
      <c r="U328" s="2" t="s">
        <v>1232</v>
      </c>
    </row>
    <row r="329" spans="1:112" ht="68" x14ac:dyDescent="0.2">
      <c r="A329" s="2" t="s">
        <v>1233</v>
      </c>
      <c r="B329" s="2" t="s">
        <v>1234</v>
      </c>
      <c r="C329" s="2" t="s">
        <v>1235</v>
      </c>
      <c r="D329" s="1">
        <v>182.5</v>
      </c>
      <c r="E329" s="2" t="s">
        <v>153</v>
      </c>
      <c r="F329" s="2" t="s">
        <v>1236</v>
      </c>
      <c r="J329" s="2" t="s">
        <v>469</v>
      </c>
      <c r="K329" s="2" t="s">
        <v>470</v>
      </c>
      <c r="L329" s="2" t="s">
        <v>1237</v>
      </c>
      <c r="M329" s="2" t="s">
        <v>1238</v>
      </c>
      <c r="N329" s="2" t="s">
        <v>1239</v>
      </c>
      <c r="O329" s="2" t="s">
        <v>1238</v>
      </c>
      <c r="P329" s="2" t="s">
        <v>41</v>
      </c>
      <c r="Q329" s="2" t="s">
        <v>41</v>
      </c>
      <c r="R329" s="2" t="s">
        <v>32</v>
      </c>
      <c r="S329" s="2" t="s">
        <v>33</v>
      </c>
      <c r="T329" s="2" t="s">
        <v>34</v>
      </c>
      <c r="U329" s="2" t="s">
        <v>4040</v>
      </c>
      <c r="V329" s="2" t="s">
        <v>4041</v>
      </c>
      <c r="W329" s="2" t="s">
        <v>4042</v>
      </c>
      <c r="X329" s="2" t="s">
        <v>4043</v>
      </c>
      <c r="Y329" s="2" t="s">
        <v>4044</v>
      </c>
      <c r="Z329" s="2" t="s">
        <v>4045</v>
      </c>
    </row>
    <row r="330" spans="1:112" ht="68" x14ac:dyDescent="0.2">
      <c r="A330" s="2" t="s">
        <v>1240</v>
      </c>
      <c r="B330" s="2" t="s">
        <v>1241</v>
      </c>
      <c r="C330" s="2" t="s">
        <v>1242</v>
      </c>
      <c r="D330" s="1">
        <v>182.5</v>
      </c>
      <c r="E330" s="2" t="s">
        <v>153</v>
      </c>
      <c r="F330" s="2" t="s">
        <v>1236</v>
      </c>
      <c r="J330" s="2" t="s">
        <v>469</v>
      </c>
      <c r="K330" s="2" t="s">
        <v>470</v>
      </c>
      <c r="L330" s="2" t="s">
        <v>1237</v>
      </c>
      <c r="M330" s="2" t="s">
        <v>1238</v>
      </c>
      <c r="N330" s="2" t="s">
        <v>1239</v>
      </c>
      <c r="O330" s="2" t="s">
        <v>1238</v>
      </c>
      <c r="P330" s="2" t="s">
        <v>41</v>
      </c>
      <c r="Q330" s="2" t="s">
        <v>199</v>
      </c>
      <c r="R330" s="2" t="s">
        <v>32</v>
      </c>
      <c r="S330" s="2" t="s">
        <v>33</v>
      </c>
      <c r="T330" s="2" t="s">
        <v>34</v>
      </c>
      <c r="U330" s="2" t="s">
        <v>4040</v>
      </c>
      <c r="V330" s="2" t="s">
        <v>4041</v>
      </c>
      <c r="W330" s="2" t="s">
        <v>4042</v>
      </c>
      <c r="X330" s="2" t="s">
        <v>4043</v>
      </c>
      <c r="Y330" s="2" t="s">
        <v>4044</v>
      </c>
      <c r="Z330" s="2" t="s">
        <v>4045</v>
      </c>
    </row>
    <row r="331" spans="1:112" ht="51" x14ac:dyDescent="0.2">
      <c r="A331" s="7" t="s">
        <v>5494</v>
      </c>
      <c r="B331" s="7" t="s">
        <v>5495</v>
      </c>
      <c r="C331" s="2" t="s">
        <v>5496</v>
      </c>
      <c r="D331" s="5">
        <v>182.5</v>
      </c>
      <c r="E331" s="6" t="s">
        <v>61</v>
      </c>
      <c r="F331" s="6" t="s">
        <v>6051</v>
      </c>
      <c r="G331" s="6"/>
      <c r="H331" s="6" t="s">
        <v>680</v>
      </c>
      <c r="I331" s="6" t="s">
        <v>6050</v>
      </c>
      <c r="J331" s="12" t="s">
        <v>27</v>
      </c>
      <c r="K331" s="12" t="s">
        <v>64</v>
      </c>
      <c r="L331" s="12" t="s">
        <v>494</v>
      </c>
      <c r="M331" s="12" t="s">
        <v>495</v>
      </c>
      <c r="N331" s="12" t="s">
        <v>1379</v>
      </c>
      <c r="O331" s="12" t="s">
        <v>183</v>
      </c>
      <c r="P331" s="12" t="s">
        <v>68</v>
      </c>
      <c r="Q331" s="12" t="s">
        <v>199</v>
      </c>
      <c r="R331" s="12" t="s">
        <v>32</v>
      </c>
      <c r="S331" s="12" t="s">
        <v>33</v>
      </c>
      <c r="T331" s="12" t="s">
        <v>1380</v>
      </c>
      <c r="U331" s="12" t="s">
        <v>5497</v>
      </c>
      <c r="V331" s="12" t="s">
        <v>5497</v>
      </c>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row>
    <row r="332" spans="1:112" ht="102" x14ac:dyDescent="0.2">
      <c r="A332" s="2" t="s">
        <v>1249</v>
      </c>
      <c r="B332" s="2" t="s">
        <v>1250</v>
      </c>
      <c r="C332" s="2" t="s">
        <v>1251</v>
      </c>
      <c r="D332" s="1">
        <v>182.5</v>
      </c>
      <c r="E332" s="2" t="s">
        <v>23</v>
      </c>
      <c r="F332" s="2" t="s">
        <v>387</v>
      </c>
      <c r="G332" s="2" t="s">
        <v>1184</v>
      </c>
      <c r="H332" s="2" t="s">
        <v>369</v>
      </c>
      <c r="I332" s="2" t="s">
        <v>527</v>
      </c>
      <c r="J332" s="2" t="s">
        <v>27</v>
      </c>
      <c r="K332" s="2" t="s">
        <v>64</v>
      </c>
      <c r="L332" s="2" t="s">
        <v>389</v>
      </c>
      <c r="M332" s="2" t="s">
        <v>390</v>
      </c>
      <c r="N332" s="2" t="s">
        <v>1252</v>
      </c>
      <c r="O332" s="2" t="s">
        <v>183</v>
      </c>
      <c r="P332" s="2" t="s">
        <v>913</v>
      </c>
      <c r="Q332" s="2" t="s">
        <v>41</v>
      </c>
      <c r="R332" s="2" t="s">
        <v>32</v>
      </c>
      <c r="S332" s="2" t="s">
        <v>392</v>
      </c>
      <c r="T332" s="2" t="s">
        <v>1253</v>
      </c>
      <c r="U332" s="2" t="s">
        <v>4046</v>
      </c>
      <c r="V332" s="2" t="s">
        <v>4047</v>
      </c>
      <c r="W332" s="2" t="s">
        <v>4048</v>
      </c>
    </row>
    <row r="333" spans="1:112" ht="102" x14ac:dyDescent="0.2">
      <c r="A333" s="2" t="s">
        <v>1254</v>
      </c>
      <c r="B333" s="2" t="s">
        <v>1255</v>
      </c>
      <c r="C333" s="2" t="s">
        <v>1256</v>
      </c>
      <c r="D333" s="1">
        <v>182.5</v>
      </c>
      <c r="E333" s="2" t="s">
        <v>23</v>
      </c>
      <c r="F333" s="2" t="s">
        <v>387</v>
      </c>
      <c r="G333" s="2" t="s">
        <v>1184</v>
      </c>
      <c r="H333" s="2" t="s">
        <v>369</v>
      </c>
      <c r="I333" s="2" t="s">
        <v>527</v>
      </c>
      <c r="J333" s="2" t="s">
        <v>27</v>
      </c>
      <c r="K333" s="2" t="s">
        <v>64</v>
      </c>
      <c r="L333" s="2" t="s">
        <v>389</v>
      </c>
      <c r="M333" s="2" t="s">
        <v>390</v>
      </c>
      <c r="N333" s="2" t="s">
        <v>1252</v>
      </c>
      <c r="O333" s="2" t="s">
        <v>183</v>
      </c>
      <c r="P333" s="2" t="s">
        <v>913</v>
      </c>
      <c r="Q333" s="2" t="s">
        <v>199</v>
      </c>
      <c r="R333" s="2" t="s">
        <v>32</v>
      </c>
      <c r="S333" s="2" t="s">
        <v>392</v>
      </c>
      <c r="T333" s="2" t="s">
        <v>1253</v>
      </c>
      <c r="U333" s="2" t="s">
        <v>4046</v>
      </c>
      <c r="V333" s="2" t="s">
        <v>4047</v>
      </c>
      <c r="W333" s="2" t="s">
        <v>4048</v>
      </c>
    </row>
    <row r="334" spans="1:112" ht="102" x14ac:dyDescent="0.2">
      <c r="A334" s="7" t="s">
        <v>5525</v>
      </c>
      <c r="B334" s="7" t="s">
        <v>5526</v>
      </c>
      <c r="C334" s="2" t="s">
        <v>5526</v>
      </c>
      <c r="D334" s="1">
        <v>182.5</v>
      </c>
      <c r="E334" s="2" t="s">
        <v>23</v>
      </c>
      <c r="F334" s="2" t="s">
        <v>387</v>
      </c>
      <c r="G334" s="2" t="s">
        <v>1184</v>
      </c>
      <c r="H334" s="2" t="s">
        <v>369</v>
      </c>
      <c r="I334" s="2" t="s">
        <v>527</v>
      </c>
      <c r="J334" s="12" t="s">
        <v>27</v>
      </c>
      <c r="K334" s="12" t="s">
        <v>64</v>
      </c>
      <c r="L334" s="12" t="s">
        <v>5519</v>
      </c>
      <c r="M334" s="12" t="s">
        <v>5520</v>
      </c>
      <c r="N334" s="12" t="s">
        <v>528</v>
      </c>
      <c r="O334" s="12" t="s">
        <v>183</v>
      </c>
      <c r="P334" s="12" t="s">
        <v>30</v>
      </c>
      <c r="Q334" s="12" t="s">
        <v>40</v>
      </c>
      <c r="R334" s="12" t="s">
        <v>32</v>
      </c>
      <c r="S334" s="12" t="s">
        <v>392</v>
      </c>
      <c r="T334" s="12" t="s">
        <v>529</v>
      </c>
      <c r="U334" s="12" t="s">
        <v>530</v>
      </c>
      <c r="V334" s="12" t="s">
        <v>530</v>
      </c>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row>
    <row r="335" spans="1:112" ht="102" x14ac:dyDescent="0.2">
      <c r="A335" s="7" t="s">
        <v>5527</v>
      </c>
      <c r="B335" s="7" t="s">
        <v>5528</v>
      </c>
      <c r="C335" s="2" t="s">
        <v>5528</v>
      </c>
      <c r="D335" s="1">
        <v>182.5</v>
      </c>
      <c r="E335" s="2" t="s">
        <v>23</v>
      </c>
      <c r="F335" s="2" t="s">
        <v>387</v>
      </c>
      <c r="G335" s="2" t="s">
        <v>1184</v>
      </c>
      <c r="H335" s="2" t="s">
        <v>369</v>
      </c>
      <c r="I335" s="2" t="s">
        <v>527</v>
      </c>
      <c r="J335" s="12" t="s">
        <v>27</v>
      </c>
      <c r="K335" s="12" t="s">
        <v>64</v>
      </c>
      <c r="L335" s="12" t="s">
        <v>5519</v>
      </c>
      <c r="M335" s="12" t="s">
        <v>5520</v>
      </c>
      <c r="N335" s="12" t="s">
        <v>528</v>
      </c>
      <c r="O335" s="12" t="s">
        <v>183</v>
      </c>
      <c r="P335" s="12" t="s">
        <v>30</v>
      </c>
      <c r="Q335" s="12" t="s">
        <v>997</v>
      </c>
      <c r="R335" s="12" t="s">
        <v>32</v>
      </c>
      <c r="S335" s="12" t="s">
        <v>392</v>
      </c>
      <c r="T335" s="12" t="s">
        <v>529</v>
      </c>
      <c r="U335" s="12" t="s">
        <v>5529</v>
      </c>
      <c r="V335" s="12" t="s">
        <v>5529</v>
      </c>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row>
    <row r="336" spans="1:112" ht="102" x14ac:dyDescent="0.2">
      <c r="A336" s="7" t="s">
        <v>5530</v>
      </c>
      <c r="B336" s="7" t="s">
        <v>5531</v>
      </c>
      <c r="C336" s="2" t="s">
        <v>5531</v>
      </c>
      <c r="D336" s="1">
        <v>182.5</v>
      </c>
      <c r="E336" s="2" t="s">
        <v>23</v>
      </c>
      <c r="F336" s="2" t="s">
        <v>387</v>
      </c>
      <c r="G336" s="2" t="s">
        <v>1184</v>
      </c>
      <c r="H336" s="2" t="s">
        <v>369</v>
      </c>
      <c r="I336" s="2" t="s">
        <v>527</v>
      </c>
      <c r="J336" s="12" t="s">
        <v>27</v>
      </c>
      <c r="K336" s="12" t="s">
        <v>64</v>
      </c>
      <c r="L336" s="12" t="s">
        <v>5519</v>
      </c>
      <c r="M336" s="12" t="s">
        <v>5520</v>
      </c>
      <c r="N336" s="12" t="s">
        <v>1252</v>
      </c>
      <c r="O336" s="12" t="s">
        <v>183</v>
      </c>
      <c r="P336" s="12" t="s">
        <v>913</v>
      </c>
      <c r="Q336" s="12" t="s">
        <v>41</v>
      </c>
      <c r="R336" s="12" t="s">
        <v>32</v>
      </c>
      <c r="S336" s="12" t="s">
        <v>392</v>
      </c>
      <c r="T336" s="12" t="s">
        <v>1253</v>
      </c>
      <c r="U336" s="12" t="s">
        <v>5532</v>
      </c>
      <c r="V336" s="12" t="s">
        <v>5532</v>
      </c>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row>
    <row r="337" spans="1:112" ht="102" x14ac:dyDescent="0.2">
      <c r="A337" s="7" t="s">
        <v>5533</v>
      </c>
      <c r="B337" s="7" t="s">
        <v>5534</v>
      </c>
      <c r="C337" s="2" t="s">
        <v>5534</v>
      </c>
      <c r="D337" s="1">
        <v>182.5</v>
      </c>
      <c r="E337" s="2" t="s">
        <v>23</v>
      </c>
      <c r="F337" s="2" t="s">
        <v>387</v>
      </c>
      <c r="G337" s="2" t="s">
        <v>1184</v>
      </c>
      <c r="H337" s="2" t="s">
        <v>369</v>
      </c>
      <c r="I337" s="2" t="s">
        <v>527</v>
      </c>
      <c r="J337" s="12" t="s">
        <v>27</v>
      </c>
      <c r="K337" s="12" t="s">
        <v>64</v>
      </c>
      <c r="L337" s="12" t="s">
        <v>5519</v>
      </c>
      <c r="M337" s="12" t="s">
        <v>5520</v>
      </c>
      <c r="N337" s="12" t="s">
        <v>1252</v>
      </c>
      <c r="O337" s="12" t="s">
        <v>183</v>
      </c>
      <c r="P337" s="12" t="s">
        <v>913</v>
      </c>
      <c r="Q337" s="12" t="s">
        <v>199</v>
      </c>
      <c r="R337" s="12" t="s">
        <v>32</v>
      </c>
      <c r="S337" s="12" t="s">
        <v>392</v>
      </c>
      <c r="T337" s="12" t="s">
        <v>1253</v>
      </c>
      <c r="U337" s="12" t="s">
        <v>5532</v>
      </c>
      <c r="V337" s="12" t="s">
        <v>5535</v>
      </c>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row>
    <row r="338" spans="1:112" ht="85" x14ac:dyDescent="0.2">
      <c r="A338" s="2" t="s">
        <v>1257</v>
      </c>
      <c r="B338" s="2" t="s">
        <v>1258</v>
      </c>
      <c r="C338" s="2" t="s">
        <v>1258</v>
      </c>
      <c r="D338" s="1">
        <v>182.5</v>
      </c>
      <c r="E338" s="2" t="s">
        <v>61</v>
      </c>
      <c r="F338" s="2" t="s">
        <v>1259</v>
      </c>
      <c r="G338" s="2" t="s">
        <v>1260</v>
      </c>
      <c r="H338" s="2" t="s">
        <v>1261</v>
      </c>
      <c r="J338" s="2" t="s">
        <v>469</v>
      </c>
      <c r="K338" s="2" t="s">
        <v>470</v>
      </c>
      <c r="L338" s="2" t="s">
        <v>1262</v>
      </c>
      <c r="M338" s="2">
        <v>99</v>
      </c>
      <c r="N338" s="2" t="s">
        <v>1263</v>
      </c>
      <c r="O338" s="2">
        <v>98</v>
      </c>
      <c r="P338" s="2">
        <v>74</v>
      </c>
      <c r="Q338" s="2">
        <v>0</v>
      </c>
      <c r="R338" s="2" t="s">
        <v>32</v>
      </c>
      <c r="S338" s="2" t="s">
        <v>33</v>
      </c>
      <c r="T338" s="2" t="s">
        <v>1264</v>
      </c>
      <c r="U338" s="2" t="s">
        <v>1265</v>
      </c>
    </row>
    <row r="339" spans="1:112" ht="51" x14ac:dyDescent="0.2">
      <c r="A339" s="2" t="s">
        <v>1266</v>
      </c>
      <c r="B339" s="2" t="s">
        <v>1267</v>
      </c>
      <c r="C339" s="2" t="s">
        <v>1268</v>
      </c>
      <c r="D339" s="1">
        <v>182.5</v>
      </c>
      <c r="E339" s="2" t="s">
        <v>61</v>
      </c>
      <c r="F339" s="2" t="s">
        <v>1269</v>
      </c>
      <c r="G339" s="2" t="s">
        <v>1260</v>
      </c>
      <c r="H339" s="2" t="s">
        <v>664</v>
      </c>
      <c r="I339" s="2" t="s">
        <v>1270</v>
      </c>
      <c r="J339" s="2" t="s">
        <v>469</v>
      </c>
      <c r="K339" s="2" t="s">
        <v>470</v>
      </c>
      <c r="L339" s="2" t="s">
        <v>1262</v>
      </c>
      <c r="M339" s="2">
        <v>99</v>
      </c>
      <c r="N339" s="2" t="s">
        <v>1271</v>
      </c>
      <c r="O339" s="2">
        <v>99</v>
      </c>
      <c r="P339" s="2">
        <v>29</v>
      </c>
      <c r="Q339" s="2">
        <v>0</v>
      </c>
      <c r="R339" s="2" t="s">
        <v>32</v>
      </c>
      <c r="S339" s="2" t="s">
        <v>33</v>
      </c>
      <c r="T339" s="2" t="s">
        <v>1272</v>
      </c>
      <c r="U339" s="2" t="s">
        <v>1273</v>
      </c>
    </row>
    <row r="340" spans="1:112" ht="68" x14ac:dyDescent="0.2">
      <c r="A340" s="2" t="s">
        <v>1274</v>
      </c>
      <c r="B340" s="2" t="s">
        <v>1275</v>
      </c>
      <c r="C340" s="2" t="s">
        <v>1275</v>
      </c>
      <c r="D340" s="1">
        <v>182.5</v>
      </c>
      <c r="E340" s="2" t="s">
        <v>61</v>
      </c>
      <c r="F340" s="2" t="s">
        <v>1276</v>
      </c>
      <c r="H340" s="2" t="s">
        <v>1277</v>
      </c>
      <c r="I340" s="2" t="s">
        <v>1278</v>
      </c>
      <c r="J340" s="2" t="s">
        <v>469</v>
      </c>
      <c r="K340" s="2" t="s">
        <v>470</v>
      </c>
      <c r="L340" s="2" t="s">
        <v>1262</v>
      </c>
      <c r="M340" s="2">
        <v>99</v>
      </c>
      <c r="N340" s="2" t="s">
        <v>1279</v>
      </c>
      <c r="O340" s="2">
        <v>99</v>
      </c>
      <c r="P340" s="2">
        <v>79</v>
      </c>
      <c r="Q340" s="2">
        <v>0</v>
      </c>
      <c r="R340" s="2" t="s">
        <v>32</v>
      </c>
      <c r="S340" s="2" t="s">
        <v>33</v>
      </c>
      <c r="T340" s="2" t="s">
        <v>1280</v>
      </c>
      <c r="U340" s="2" t="s">
        <v>4049</v>
      </c>
      <c r="V340" s="2" t="s">
        <v>4050</v>
      </c>
    </row>
    <row r="341" spans="1:112" ht="68" x14ac:dyDescent="0.2">
      <c r="A341" s="2" t="s">
        <v>1281</v>
      </c>
      <c r="B341" s="2" t="s">
        <v>1282</v>
      </c>
      <c r="C341" s="2" t="s">
        <v>1282</v>
      </c>
      <c r="D341" s="1">
        <v>182.5</v>
      </c>
      <c r="E341" s="2" t="s">
        <v>61</v>
      </c>
      <c r="F341" s="2" t="s">
        <v>1283</v>
      </c>
      <c r="G341" s="2" t="s">
        <v>1260</v>
      </c>
      <c r="J341" s="2" t="s">
        <v>1284</v>
      </c>
      <c r="K341" s="2" t="s">
        <v>1284</v>
      </c>
      <c r="L341" s="2" t="s">
        <v>1284</v>
      </c>
      <c r="M341" s="2" t="s">
        <v>1285</v>
      </c>
      <c r="N341" s="2" t="s">
        <v>1286</v>
      </c>
      <c r="O341" s="2">
        <v>115</v>
      </c>
      <c r="P341" s="2">
        <v>32</v>
      </c>
      <c r="Q341" s="2">
        <v>0</v>
      </c>
      <c r="R341" s="2" t="s">
        <v>1287</v>
      </c>
      <c r="S341" s="2" t="s">
        <v>33</v>
      </c>
      <c r="T341" s="2" t="s">
        <v>1288</v>
      </c>
      <c r="U341" s="2" t="s">
        <v>4051</v>
      </c>
      <c r="V341" s="2" t="s">
        <v>4052</v>
      </c>
    </row>
    <row r="342" spans="1:112" ht="17" x14ac:dyDescent="0.2">
      <c r="A342" s="2" t="s">
        <v>6133</v>
      </c>
      <c r="B342" s="24" t="s">
        <v>6666</v>
      </c>
      <c r="C342" s="24" t="s">
        <v>6666</v>
      </c>
      <c r="D342" s="1">
        <v>182.5</v>
      </c>
      <c r="E342" s="2" t="s">
        <v>61</v>
      </c>
    </row>
    <row r="343" spans="1:112" ht="85" x14ac:dyDescent="0.2">
      <c r="A343" s="7" t="s">
        <v>6282</v>
      </c>
      <c r="B343" s="2" t="s">
        <v>6488</v>
      </c>
      <c r="C343" s="2" t="s">
        <v>6488</v>
      </c>
      <c r="D343" s="1">
        <v>182.5</v>
      </c>
      <c r="E343" s="2" t="s">
        <v>61</v>
      </c>
      <c r="F343" s="2" t="s">
        <v>1259</v>
      </c>
      <c r="G343" s="2" t="s">
        <v>1260</v>
      </c>
      <c r="H343" s="2" t="s">
        <v>1261</v>
      </c>
      <c r="N343" s="12" t="s">
        <v>6622</v>
      </c>
    </row>
    <row r="344" spans="1:112" ht="119" x14ac:dyDescent="0.2">
      <c r="A344" s="7" t="s">
        <v>6216</v>
      </c>
      <c r="B344" s="2" t="s">
        <v>6421</v>
      </c>
      <c r="C344" s="2" t="s">
        <v>6421</v>
      </c>
      <c r="D344" s="1">
        <v>182.5</v>
      </c>
      <c r="E344" s="2" t="s">
        <v>23</v>
      </c>
      <c r="F344" s="2" t="s">
        <v>1218</v>
      </c>
      <c r="G344" s="2" t="s">
        <v>1184</v>
      </c>
      <c r="H344" s="2" t="s">
        <v>369</v>
      </c>
      <c r="I344" s="2" t="s">
        <v>1219</v>
      </c>
      <c r="N344" s="12" t="s">
        <v>6584</v>
      </c>
    </row>
    <row r="345" spans="1:112" ht="119" x14ac:dyDescent="0.2">
      <c r="A345" s="7" t="s">
        <v>6835</v>
      </c>
      <c r="B345" s="7" t="s">
        <v>6836</v>
      </c>
      <c r="C345" s="7" t="s">
        <v>6836</v>
      </c>
      <c r="D345" s="1">
        <v>182.5</v>
      </c>
      <c r="E345" s="2" t="s">
        <v>23</v>
      </c>
      <c r="F345" s="2" t="s">
        <v>1218</v>
      </c>
      <c r="G345" s="2" t="s">
        <v>1184</v>
      </c>
      <c r="H345" s="2" t="s">
        <v>369</v>
      </c>
      <c r="I345" s="2" t="s">
        <v>1219</v>
      </c>
    </row>
    <row r="346" spans="1:112" ht="119" x14ac:dyDescent="0.2">
      <c r="A346" s="7" t="s">
        <v>6216</v>
      </c>
      <c r="B346" s="7" t="s">
        <v>6421</v>
      </c>
      <c r="C346" s="7" t="s">
        <v>6421</v>
      </c>
      <c r="D346" s="1">
        <v>182.5</v>
      </c>
      <c r="E346" s="2" t="s">
        <v>23</v>
      </c>
      <c r="F346" s="2" t="s">
        <v>1218</v>
      </c>
      <c r="G346" s="2" t="s">
        <v>1184</v>
      </c>
      <c r="H346" s="2" t="s">
        <v>369</v>
      </c>
      <c r="I346" s="2" t="s">
        <v>1219</v>
      </c>
    </row>
    <row r="347" spans="1:112" ht="119" x14ac:dyDescent="0.2">
      <c r="A347" s="7" t="s">
        <v>6837</v>
      </c>
      <c r="B347" s="7" t="s">
        <v>6838</v>
      </c>
      <c r="C347" s="7" t="s">
        <v>6838</v>
      </c>
      <c r="D347" s="1">
        <v>182.5</v>
      </c>
      <c r="E347" s="2" t="s">
        <v>23</v>
      </c>
      <c r="F347" s="2" t="s">
        <v>1218</v>
      </c>
      <c r="G347" s="2" t="s">
        <v>1184</v>
      </c>
      <c r="H347" s="2" t="s">
        <v>369</v>
      </c>
      <c r="I347" s="2" t="s">
        <v>1219</v>
      </c>
    </row>
    <row r="348" spans="1:112" ht="119" x14ac:dyDescent="0.2">
      <c r="A348" s="7" t="s">
        <v>6839</v>
      </c>
      <c r="B348" s="7" t="s">
        <v>6840</v>
      </c>
      <c r="C348" s="7" t="s">
        <v>6840</v>
      </c>
      <c r="D348" s="1">
        <v>182.5</v>
      </c>
      <c r="E348" s="2" t="s">
        <v>23</v>
      </c>
      <c r="F348" s="2" t="s">
        <v>1218</v>
      </c>
      <c r="G348" s="2" t="s">
        <v>1184</v>
      </c>
      <c r="H348" s="2" t="s">
        <v>369</v>
      </c>
      <c r="I348" s="2" t="s">
        <v>1219</v>
      </c>
    </row>
    <row r="349" spans="1:112" ht="119" x14ac:dyDescent="0.2">
      <c r="A349" s="7" t="s">
        <v>6841</v>
      </c>
      <c r="B349" s="7" t="s">
        <v>6842</v>
      </c>
      <c r="C349" s="7" t="s">
        <v>6842</v>
      </c>
      <c r="D349" s="1">
        <v>182.5</v>
      </c>
      <c r="E349" s="2" t="s">
        <v>23</v>
      </c>
      <c r="F349" s="2" t="s">
        <v>1218</v>
      </c>
      <c r="G349" s="2" t="s">
        <v>1184</v>
      </c>
      <c r="H349" s="2" t="s">
        <v>369</v>
      </c>
      <c r="I349" s="2" t="s">
        <v>1219</v>
      </c>
    </row>
    <row r="350" spans="1:112" ht="119" x14ac:dyDescent="0.2">
      <c r="A350" s="7" t="s">
        <v>5056</v>
      </c>
      <c r="B350" s="7" t="s">
        <v>5057</v>
      </c>
      <c r="C350" s="2" t="s">
        <v>5057</v>
      </c>
      <c r="D350" s="1">
        <v>182</v>
      </c>
      <c r="E350" s="2" t="s">
        <v>23</v>
      </c>
      <c r="G350" s="2" t="s">
        <v>1184</v>
      </c>
      <c r="H350" s="2" t="s">
        <v>5058</v>
      </c>
      <c r="I350" s="6" t="s">
        <v>5059</v>
      </c>
      <c r="J350" s="12" t="s">
        <v>27</v>
      </c>
      <c r="K350" s="12" t="s">
        <v>48</v>
      </c>
      <c r="L350" s="12" t="s">
        <v>691</v>
      </c>
      <c r="M350" s="12" t="s">
        <v>5060</v>
      </c>
      <c r="N350" s="12" t="s">
        <v>5061</v>
      </c>
      <c r="O350" s="12" t="s">
        <v>250</v>
      </c>
      <c r="P350" s="12" t="s">
        <v>913</v>
      </c>
      <c r="Q350" s="12" t="s">
        <v>41</v>
      </c>
      <c r="R350" s="12" t="s">
        <v>32</v>
      </c>
      <c r="S350" s="12" t="s">
        <v>33</v>
      </c>
      <c r="T350" s="12" t="s">
        <v>5062</v>
      </c>
      <c r="U350" s="12" t="s">
        <v>5063</v>
      </c>
      <c r="V350" s="12" t="s">
        <v>5063</v>
      </c>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row>
    <row r="351" spans="1:112" ht="119" x14ac:dyDescent="0.2">
      <c r="A351" s="7" t="s">
        <v>5064</v>
      </c>
      <c r="B351" s="7" t="s">
        <v>5065</v>
      </c>
      <c r="C351" s="2" t="s">
        <v>5065</v>
      </c>
      <c r="D351" s="5">
        <v>182</v>
      </c>
      <c r="E351" s="6" t="s">
        <v>23</v>
      </c>
      <c r="F351" s="6"/>
      <c r="G351" s="6" t="s">
        <v>1322</v>
      </c>
      <c r="H351" s="6" t="s">
        <v>5066</v>
      </c>
      <c r="I351" s="6" t="s">
        <v>5059</v>
      </c>
      <c r="J351" s="12" t="s">
        <v>27</v>
      </c>
      <c r="K351" s="12" t="s">
        <v>48</v>
      </c>
      <c r="L351" s="12" t="s">
        <v>691</v>
      </c>
      <c r="M351" s="12" t="s">
        <v>5060</v>
      </c>
      <c r="N351" s="12" t="s">
        <v>5067</v>
      </c>
      <c r="O351" s="12" t="s">
        <v>250</v>
      </c>
      <c r="P351" s="12" t="s">
        <v>165</v>
      </c>
      <c r="Q351" s="12" t="s">
        <v>41</v>
      </c>
      <c r="R351" s="12" t="s">
        <v>32</v>
      </c>
      <c r="S351" s="12" t="s">
        <v>33</v>
      </c>
      <c r="T351" s="12" t="s">
        <v>5068</v>
      </c>
      <c r="U351" s="12" t="s">
        <v>5069</v>
      </c>
      <c r="V351" s="12" t="s">
        <v>5069</v>
      </c>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row>
    <row r="352" spans="1:112" ht="119" x14ac:dyDescent="0.2">
      <c r="A352" s="7" t="s">
        <v>5070</v>
      </c>
      <c r="B352" s="7" t="s">
        <v>5071</v>
      </c>
      <c r="C352" s="2" t="s">
        <v>5071</v>
      </c>
      <c r="D352" s="5">
        <v>182</v>
      </c>
      <c r="E352" s="6" t="s">
        <v>23</v>
      </c>
      <c r="F352" s="6"/>
      <c r="G352" s="6" t="s">
        <v>1322</v>
      </c>
      <c r="H352" s="6" t="s">
        <v>5066</v>
      </c>
      <c r="I352" s="6" t="s">
        <v>5059</v>
      </c>
      <c r="J352" s="12" t="s">
        <v>27</v>
      </c>
      <c r="K352" s="12" t="s">
        <v>48</v>
      </c>
      <c r="L352" s="12" t="s">
        <v>691</v>
      </c>
      <c r="M352" s="12" t="s">
        <v>5060</v>
      </c>
      <c r="N352" s="12" t="s">
        <v>5067</v>
      </c>
      <c r="O352" s="12" t="s">
        <v>250</v>
      </c>
      <c r="P352" s="12" t="s">
        <v>165</v>
      </c>
      <c r="Q352" s="12" t="s">
        <v>199</v>
      </c>
      <c r="R352" s="12" t="s">
        <v>32</v>
      </c>
      <c r="S352" s="12" t="s">
        <v>33</v>
      </c>
      <c r="T352" s="12" t="s">
        <v>5068</v>
      </c>
      <c r="U352" s="12" t="s">
        <v>5069</v>
      </c>
      <c r="V352" s="12" t="s">
        <v>5069</v>
      </c>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row>
    <row r="353" spans="1:112" ht="85" x14ac:dyDescent="0.2">
      <c r="A353" s="7" t="s">
        <v>5072</v>
      </c>
      <c r="B353" s="7" t="s">
        <v>5073</v>
      </c>
      <c r="C353" s="2" t="s">
        <v>5073</v>
      </c>
      <c r="D353" s="5">
        <v>182</v>
      </c>
      <c r="E353" s="6" t="s">
        <v>23</v>
      </c>
      <c r="F353" s="6"/>
      <c r="G353" s="6" t="s">
        <v>1322</v>
      </c>
      <c r="H353" s="6" t="s">
        <v>5066</v>
      </c>
      <c r="I353" s="6" t="s">
        <v>5074</v>
      </c>
      <c r="J353" s="12" t="s">
        <v>27</v>
      </c>
      <c r="K353" s="12" t="s">
        <v>48</v>
      </c>
      <c r="L353" s="12" t="s">
        <v>691</v>
      </c>
      <c r="M353" s="12" t="s">
        <v>5060</v>
      </c>
      <c r="N353" s="12" t="s">
        <v>5075</v>
      </c>
      <c r="O353" s="12" t="s">
        <v>250</v>
      </c>
      <c r="P353" s="12" t="s">
        <v>183</v>
      </c>
      <c r="Q353" s="12" t="s">
        <v>41</v>
      </c>
      <c r="R353" s="12" t="s">
        <v>32</v>
      </c>
      <c r="S353" s="12" t="s">
        <v>33</v>
      </c>
      <c r="T353" s="12" t="s">
        <v>5076</v>
      </c>
      <c r="U353" s="12" t="s">
        <v>5077</v>
      </c>
      <c r="V353" s="12" t="s">
        <v>5077</v>
      </c>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row>
    <row r="354" spans="1:112" ht="85" x14ac:dyDescent="0.2">
      <c r="A354" s="7" t="s">
        <v>5078</v>
      </c>
      <c r="B354" s="7" t="s">
        <v>5079</v>
      </c>
      <c r="C354" s="2" t="s">
        <v>5079</v>
      </c>
      <c r="D354" s="5">
        <v>182</v>
      </c>
      <c r="E354" s="6" t="s">
        <v>23</v>
      </c>
      <c r="F354" s="6"/>
      <c r="G354" s="6" t="s">
        <v>1322</v>
      </c>
      <c r="H354" s="6" t="s">
        <v>5066</v>
      </c>
      <c r="I354" s="6" t="s">
        <v>5074</v>
      </c>
      <c r="J354" s="12" t="s">
        <v>27</v>
      </c>
      <c r="K354" s="12" t="s">
        <v>48</v>
      </c>
      <c r="L354" s="12" t="s">
        <v>691</v>
      </c>
      <c r="M354" s="12" t="s">
        <v>5060</v>
      </c>
      <c r="N354" s="12" t="s">
        <v>5080</v>
      </c>
      <c r="O354" s="12" t="s">
        <v>250</v>
      </c>
      <c r="P354" s="12" t="s">
        <v>94</v>
      </c>
      <c r="Q354" s="12" t="s">
        <v>41</v>
      </c>
      <c r="R354" s="12" t="s">
        <v>32</v>
      </c>
      <c r="S354" s="12" t="s">
        <v>33</v>
      </c>
      <c r="T354" s="12" t="s">
        <v>5081</v>
      </c>
      <c r="U354" s="12" t="s">
        <v>5082</v>
      </c>
      <c r="V354" s="12" t="s">
        <v>5082</v>
      </c>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row>
    <row r="355" spans="1:112" ht="85" x14ac:dyDescent="0.2">
      <c r="A355" s="7" t="s">
        <v>5083</v>
      </c>
      <c r="B355" s="7" t="s">
        <v>5084</v>
      </c>
      <c r="C355" s="2" t="s">
        <v>5084</v>
      </c>
      <c r="D355" s="5">
        <v>182</v>
      </c>
      <c r="E355" s="6" t="s">
        <v>23</v>
      </c>
      <c r="F355" s="6"/>
      <c r="G355" s="6" t="s">
        <v>1322</v>
      </c>
      <c r="H355" s="6" t="s">
        <v>5066</v>
      </c>
      <c r="I355" s="6" t="s">
        <v>5074</v>
      </c>
      <c r="J355" s="12" t="s">
        <v>27</v>
      </c>
      <c r="K355" s="12" t="s">
        <v>48</v>
      </c>
      <c r="L355" s="12" t="s">
        <v>691</v>
      </c>
      <c r="M355" s="12" t="s">
        <v>5060</v>
      </c>
      <c r="N355" s="12" t="s">
        <v>5085</v>
      </c>
      <c r="O355" s="12" t="s">
        <v>250</v>
      </c>
      <c r="P355" s="12" t="s">
        <v>159</v>
      </c>
      <c r="Q355" s="12" t="s">
        <v>41</v>
      </c>
      <c r="R355" s="12" t="s">
        <v>32</v>
      </c>
      <c r="S355" s="12" t="s">
        <v>33</v>
      </c>
      <c r="T355" s="12" t="s">
        <v>5086</v>
      </c>
      <c r="U355" s="12" t="s">
        <v>5087</v>
      </c>
      <c r="V355" s="12" t="s">
        <v>5087</v>
      </c>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row>
    <row r="356" spans="1:112" ht="85" x14ac:dyDescent="0.2">
      <c r="A356" s="2" t="s">
        <v>1289</v>
      </c>
      <c r="B356" s="2" t="s">
        <v>1290</v>
      </c>
      <c r="C356" s="2" t="s">
        <v>1290</v>
      </c>
      <c r="D356" s="1">
        <v>182</v>
      </c>
      <c r="E356" s="2" t="s">
        <v>23</v>
      </c>
      <c r="G356" s="2" t="s">
        <v>1291</v>
      </c>
      <c r="H356" s="2" t="s">
        <v>370</v>
      </c>
      <c r="I356" s="2" t="s">
        <v>102</v>
      </c>
      <c r="J356" s="2" t="s">
        <v>103</v>
      </c>
      <c r="K356" s="2" t="s">
        <v>190</v>
      </c>
      <c r="L356" s="2" t="s">
        <v>430</v>
      </c>
      <c r="M356" s="2" t="s">
        <v>431</v>
      </c>
      <c r="N356" s="2" t="s">
        <v>1292</v>
      </c>
      <c r="O356" s="2" t="s">
        <v>123</v>
      </c>
      <c r="P356" s="2" t="s">
        <v>109</v>
      </c>
      <c r="Q356" s="2" t="s">
        <v>41</v>
      </c>
      <c r="R356" s="2" t="s">
        <v>32</v>
      </c>
      <c r="S356" s="2" t="s">
        <v>33</v>
      </c>
      <c r="T356" s="2" t="s">
        <v>1293</v>
      </c>
      <c r="U356" s="2" t="s">
        <v>4053</v>
      </c>
      <c r="V356" s="2" t="s">
        <v>4054</v>
      </c>
    </row>
    <row r="357" spans="1:112" ht="85" x14ac:dyDescent="0.2">
      <c r="A357" s="2" t="s">
        <v>1294</v>
      </c>
      <c r="B357" s="2" t="s">
        <v>1295</v>
      </c>
      <c r="C357" s="2" t="s">
        <v>1295</v>
      </c>
      <c r="D357" s="1">
        <v>182</v>
      </c>
      <c r="E357" s="2" t="s">
        <v>23</v>
      </c>
      <c r="G357" s="2" t="s">
        <v>1291</v>
      </c>
      <c r="H357" s="2" t="s">
        <v>370</v>
      </c>
      <c r="I357" s="2" t="s">
        <v>102</v>
      </c>
      <c r="J357" s="2" t="s">
        <v>103</v>
      </c>
      <c r="K357" s="2" t="s">
        <v>190</v>
      </c>
      <c r="L357" s="2" t="s">
        <v>430</v>
      </c>
      <c r="M357" s="2" t="s">
        <v>431</v>
      </c>
      <c r="N357" s="2" t="s">
        <v>1292</v>
      </c>
      <c r="O357" s="2" t="s">
        <v>123</v>
      </c>
      <c r="P357" s="2" t="s">
        <v>109</v>
      </c>
      <c r="Q357" s="2" t="s">
        <v>199</v>
      </c>
      <c r="R357" s="2" t="s">
        <v>32</v>
      </c>
      <c r="S357" s="2" t="s">
        <v>33</v>
      </c>
      <c r="T357" s="2" t="s">
        <v>1293</v>
      </c>
      <c r="U357" s="2" t="s">
        <v>4053</v>
      </c>
      <c r="V357" s="2" t="s">
        <v>4054</v>
      </c>
    </row>
    <row r="358" spans="1:112" ht="85" x14ac:dyDescent="0.2">
      <c r="A358" s="2" t="s">
        <v>1296</v>
      </c>
      <c r="B358" s="2" t="s">
        <v>1297</v>
      </c>
      <c r="C358" s="2" t="s">
        <v>1297</v>
      </c>
      <c r="D358" s="1">
        <v>182</v>
      </c>
      <c r="E358" s="2" t="s">
        <v>23</v>
      </c>
      <c r="G358" s="2" t="s">
        <v>1291</v>
      </c>
      <c r="H358" s="2" t="s">
        <v>370</v>
      </c>
      <c r="I358" s="2" t="s">
        <v>102</v>
      </c>
      <c r="J358" s="2" t="s">
        <v>103</v>
      </c>
      <c r="K358" s="2" t="s">
        <v>190</v>
      </c>
      <c r="L358" s="2" t="s">
        <v>438</v>
      </c>
      <c r="M358" s="2" t="s">
        <v>439</v>
      </c>
      <c r="N358" s="2" t="s">
        <v>1298</v>
      </c>
      <c r="O358" s="2" t="s">
        <v>441</v>
      </c>
      <c r="P358" s="2" t="s">
        <v>913</v>
      </c>
      <c r="Q358" s="2" t="s">
        <v>41</v>
      </c>
      <c r="R358" s="2" t="s">
        <v>32</v>
      </c>
      <c r="S358" s="2" t="s">
        <v>33</v>
      </c>
      <c r="T358" s="2" t="s">
        <v>1299</v>
      </c>
      <c r="U358" s="2" t="s">
        <v>4055</v>
      </c>
      <c r="V358" s="2" t="s">
        <v>4056</v>
      </c>
    </row>
    <row r="359" spans="1:112" ht="85" x14ac:dyDescent="0.2">
      <c r="A359" s="2" t="s">
        <v>1300</v>
      </c>
      <c r="B359" s="2" t="s">
        <v>1301</v>
      </c>
      <c r="C359" s="2" t="s">
        <v>1301</v>
      </c>
      <c r="D359" s="1">
        <v>182</v>
      </c>
      <c r="E359" s="2" t="s">
        <v>23</v>
      </c>
      <c r="G359" s="2" t="s">
        <v>1291</v>
      </c>
      <c r="H359" s="2" t="s">
        <v>370</v>
      </c>
      <c r="I359" s="2" t="s">
        <v>102</v>
      </c>
      <c r="J359" s="2" t="s">
        <v>103</v>
      </c>
      <c r="K359" s="2" t="s">
        <v>190</v>
      </c>
      <c r="L359" s="2" t="s">
        <v>438</v>
      </c>
      <c r="M359" s="2" t="s">
        <v>439</v>
      </c>
      <c r="N359" s="2" t="s">
        <v>1298</v>
      </c>
      <c r="O359" s="2" t="s">
        <v>441</v>
      </c>
      <c r="P359" s="2" t="s">
        <v>913</v>
      </c>
      <c r="Q359" s="2" t="s">
        <v>199</v>
      </c>
      <c r="R359" s="2" t="s">
        <v>32</v>
      </c>
      <c r="S359" s="2" t="s">
        <v>33</v>
      </c>
      <c r="T359" s="2" t="s">
        <v>1299</v>
      </c>
      <c r="U359" s="2" t="s">
        <v>4055</v>
      </c>
      <c r="V359" s="2" t="s">
        <v>4056</v>
      </c>
    </row>
    <row r="360" spans="1:112" ht="119" x14ac:dyDescent="0.2">
      <c r="A360" s="2" t="s">
        <v>1302</v>
      </c>
      <c r="B360" s="2" t="s">
        <v>1303</v>
      </c>
      <c r="C360" s="2" t="s">
        <v>1304</v>
      </c>
      <c r="D360" s="1">
        <v>182</v>
      </c>
      <c r="E360" s="2" t="s">
        <v>61</v>
      </c>
      <c r="F360" s="2" t="s">
        <v>1305</v>
      </c>
      <c r="G360" s="2" t="s">
        <v>1184</v>
      </c>
      <c r="H360" s="2" t="s">
        <v>538</v>
      </c>
      <c r="I360" s="2" t="s">
        <v>1306</v>
      </c>
      <c r="J360" s="2" t="s">
        <v>469</v>
      </c>
      <c r="K360" s="2" t="s">
        <v>470</v>
      </c>
      <c r="L360" s="2" t="s">
        <v>1307</v>
      </c>
      <c r="M360" s="2" t="s">
        <v>1308</v>
      </c>
      <c r="N360" s="2" t="s">
        <v>1309</v>
      </c>
      <c r="O360" s="2" t="s">
        <v>854</v>
      </c>
      <c r="P360" s="2" t="s">
        <v>810</v>
      </c>
      <c r="Q360" s="2" t="s">
        <v>41</v>
      </c>
      <c r="R360" s="2" t="s">
        <v>32</v>
      </c>
      <c r="S360" s="2" t="s">
        <v>33</v>
      </c>
      <c r="T360" s="2" t="s">
        <v>1310</v>
      </c>
      <c r="U360" s="2" t="s">
        <v>4057</v>
      </c>
      <c r="V360" s="2" t="s">
        <v>4058</v>
      </c>
    </row>
    <row r="361" spans="1:112" ht="119" x14ac:dyDescent="0.2">
      <c r="A361" s="7" t="s">
        <v>5328</v>
      </c>
      <c r="B361" s="7" t="s">
        <v>5329</v>
      </c>
      <c r="C361" s="2" t="s">
        <v>5330</v>
      </c>
      <c r="D361" s="1">
        <v>182</v>
      </c>
      <c r="E361" s="2" t="s">
        <v>61</v>
      </c>
      <c r="F361" s="2" t="s">
        <v>1305</v>
      </c>
      <c r="G361" s="2" t="s">
        <v>1184</v>
      </c>
      <c r="H361" s="2" t="s">
        <v>538</v>
      </c>
      <c r="I361" s="2" t="s">
        <v>1306</v>
      </c>
      <c r="J361" s="12" t="s">
        <v>469</v>
      </c>
      <c r="K361" s="12" t="s">
        <v>470</v>
      </c>
      <c r="L361" s="12" t="s">
        <v>1307</v>
      </c>
      <c r="M361" s="12" t="s">
        <v>1308</v>
      </c>
      <c r="N361" s="12" t="s">
        <v>1309</v>
      </c>
      <c r="O361" s="12" t="s">
        <v>854</v>
      </c>
      <c r="P361" s="12" t="s">
        <v>810</v>
      </c>
      <c r="Q361" s="12" t="s">
        <v>199</v>
      </c>
      <c r="R361" s="12" t="s">
        <v>32</v>
      </c>
      <c r="S361" s="12" t="s">
        <v>33</v>
      </c>
      <c r="T361" s="12" t="s">
        <v>1310</v>
      </c>
      <c r="U361" s="12" t="s">
        <v>5331</v>
      </c>
      <c r="V361" s="12" t="s">
        <v>5331</v>
      </c>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row>
    <row r="362" spans="1:112" ht="85" x14ac:dyDescent="0.2">
      <c r="A362" s="2" t="s">
        <v>1311</v>
      </c>
      <c r="B362" s="2" t="s">
        <v>1312</v>
      </c>
      <c r="C362" s="2" t="s">
        <v>1312</v>
      </c>
      <c r="D362" s="1">
        <v>182</v>
      </c>
      <c r="E362" s="2" t="s">
        <v>23</v>
      </c>
      <c r="G362" s="2" t="s">
        <v>1184</v>
      </c>
      <c r="H362" s="2" t="s">
        <v>369</v>
      </c>
      <c r="I362" s="2" t="s">
        <v>1313</v>
      </c>
      <c r="J362" s="2" t="s">
        <v>645</v>
      </c>
      <c r="K362" s="2" t="s">
        <v>1314</v>
      </c>
      <c r="L362" s="2" t="s">
        <v>1314</v>
      </c>
      <c r="M362" s="2" t="s">
        <v>1315</v>
      </c>
      <c r="N362" s="2" t="s">
        <v>1316</v>
      </c>
      <c r="O362" s="2" t="s">
        <v>1317</v>
      </c>
      <c r="P362" s="2" t="s">
        <v>41</v>
      </c>
      <c r="Q362" s="2" t="s">
        <v>41</v>
      </c>
      <c r="R362" s="2" t="s">
        <v>32</v>
      </c>
      <c r="S362" s="2" t="s">
        <v>33</v>
      </c>
      <c r="T362" s="2" t="s">
        <v>1318</v>
      </c>
      <c r="U362" s="2" t="s">
        <v>4059</v>
      </c>
      <c r="V362" s="2" t="s">
        <v>4060</v>
      </c>
    </row>
    <row r="363" spans="1:112" ht="102" x14ac:dyDescent="0.2">
      <c r="A363" s="2" t="s">
        <v>1319</v>
      </c>
      <c r="B363" s="2" t="s">
        <v>1320</v>
      </c>
      <c r="C363" s="2" t="s">
        <v>1320</v>
      </c>
      <c r="D363" s="1">
        <v>182</v>
      </c>
      <c r="E363" s="2" t="s">
        <v>61</v>
      </c>
      <c r="F363" s="2" t="s">
        <v>1321</v>
      </c>
      <c r="G363" s="2" t="s">
        <v>1322</v>
      </c>
      <c r="H363" s="2" t="s">
        <v>25</v>
      </c>
      <c r="I363" s="2" t="s">
        <v>1323</v>
      </c>
      <c r="J363" s="2" t="s">
        <v>469</v>
      </c>
      <c r="K363" s="2" t="s">
        <v>470</v>
      </c>
      <c r="L363" s="2" t="s">
        <v>1262</v>
      </c>
      <c r="M363" s="2">
        <v>99</v>
      </c>
      <c r="N363" s="2" t="s">
        <v>1324</v>
      </c>
      <c r="O363" s="2">
        <v>99</v>
      </c>
      <c r="P363" s="2">
        <v>12</v>
      </c>
      <c r="Q363" s="2">
        <v>0</v>
      </c>
      <c r="R363" s="2" t="s">
        <v>32</v>
      </c>
      <c r="S363" s="2" t="s">
        <v>33</v>
      </c>
      <c r="T363" s="2" t="s">
        <v>34</v>
      </c>
      <c r="U363" s="2" t="s">
        <v>4061</v>
      </c>
      <c r="V363" s="2" t="s">
        <v>4062</v>
      </c>
    </row>
    <row r="364" spans="1:112" ht="51" x14ac:dyDescent="0.2">
      <c r="A364" s="2" t="s">
        <v>1325</v>
      </c>
      <c r="B364" s="2" t="s">
        <v>1326</v>
      </c>
      <c r="C364" s="2" t="s">
        <v>1326</v>
      </c>
      <c r="D364" s="1">
        <v>182</v>
      </c>
      <c r="E364" s="2" t="s">
        <v>61</v>
      </c>
      <c r="F364" s="2" t="s">
        <v>1327</v>
      </c>
      <c r="G364" s="2" t="s">
        <v>1184</v>
      </c>
      <c r="J364" s="2" t="s">
        <v>469</v>
      </c>
      <c r="K364" s="2" t="s">
        <v>470</v>
      </c>
      <c r="L364" s="2" t="s">
        <v>1262</v>
      </c>
      <c r="M364" s="2">
        <v>99</v>
      </c>
      <c r="N364" s="2" t="s">
        <v>1328</v>
      </c>
      <c r="O364" s="2">
        <v>99</v>
      </c>
      <c r="P364" s="2">
        <v>6</v>
      </c>
      <c r="Q364" s="2">
        <v>0</v>
      </c>
      <c r="R364" s="2" t="s">
        <v>32</v>
      </c>
      <c r="S364" s="2" t="s">
        <v>33</v>
      </c>
      <c r="T364" s="2" t="s">
        <v>1329</v>
      </c>
      <c r="U364" s="2" t="s">
        <v>4063</v>
      </c>
      <c r="V364" s="2" t="s">
        <v>4064</v>
      </c>
    </row>
    <row r="365" spans="1:112" ht="85" x14ac:dyDescent="0.2">
      <c r="A365" s="7" t="s">
        <v>5886</v>
      </c>
      <c r="B365" s="7" t="s">
        <v>5887</v>
      </c>
      <c r="C365" s="2" t="s">
        <v>5887</v>
      </c>
      <c r="D365" s="5">
        <f>26*7</f>
        <v>182</v>
      </c>
      <c r="E365" s="6" t="s">
        <v>61</v>
      </c>
      <c r="F365" s="6" t="s">
        <v>6093</v>
      </c>
      <c r="G365" s="6"/>
      <c r="H365" s="6"/>
      <c r="I365" s="6" t="s">
        <v>6092</v>
      </c>
      <c r="J365" s="12" t="s">
        <v>1284</v>
      </c>
      <c r="K365" s="12" t="s">
        <v>1284</v>
      </c>
      <c r="L365" s="12" t="s">
        <v>1284</v>
      </c>
      <c r="M365" s="12" t="s">
        <v>1285</v>
      </c>
      <c r="N365" s="12" t="s">
        <v>5888</v>
      </c>
      <c r="O365" s="12" t="s">
        <v>3437</v>
      </c>
      <c r="P365" s="12" t="s">
        <v>52</v>
      </c>
      <c r="Q365" s="12" t="s">
        <v>30</v>
      </c>
      <c r="R365" s="12" t="s">
        <v>1287</v>
      </c>
      <c r="S365" s="12" t="s">
        <v>33</v>
      </c>
      <c r="T365" s="12" t="s">
        <v>3445</v>
      </c>
      <c r="U365" s="12" t="s">
        <v>5889</v>
      </c>
      <c r="V365" s="12" t="s">
        <v>5889</v>
      </c>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row>
    <row r="366" spans="1:112" ht="119" x14ac:dyDescent="0.2">
      <c r="A366" s="7" t="s">
        <v>6136</v>
      </c>
      <c r="B366" s="2" t="s">
        <v>6340</v>
      </c>
      <c r="C366" s="2" t="s">
        <v>6340</v>
      </c>
      <c r="D366" s="1">
        <v>182</v>
      </c>
      <c r="E366" s="2" t="s">
        <v>23</v>
      </c>
      <c r="G366" s="2" t="s">
        <v>1184</v>
      </c>
      <c r="H366" s="2" t="s">
        <v>5058</v>
      </c>
      <c r="I366" s="6" t="s">
        <v>5059</v>
      </c>
      <c r="N366" s="12" t="s">
        <v>5061</v>
      </c>
    </row>
    <row r="367" spans="1:112" ht="85" x14ac:dyDescent="0.2">
      <c r="A367" s="7" t="s">
        <v>6137</v>
      </c>
      <c r="B367" s="2" t="s">
        <v>6341</v>
      </c>
      <c r="C367" s="2" t="s">
        <v>6341</v>
      </c>
      <c r="D367" s="5">
        <v>182</v>
      </c>
      <c r="E367" s="6" t="s">
        <v>23</v>
      </c>
      <c r="F367" s="6"/>
      <c r="G367" s="6" t="s">
        <v>1322</v>
      </c>
      <c r="H367" s="6" t="s">
        <v>5066</v>
      </c>
      <c r="I367" s="6" t="s">
        <v>5074</v>
      </c>
      <c r="N367" s="12" t="s">
        <v>5075</v>
      </c>
    </row>
    <row r="368" spans="1:112" ht="17" x14ac:dyDescent="0.2">
      <c r="A368" s="2" t="s">
        <v>6133</v>
      </c>
      <c r="B368" s="19" t="s">
        <v>6685</v>
      </c>
      <c r="C368" s="19" t="s">
        <v>6685</v>
      </c>
      <c r="D368" s="1">
        <v>182</v>
      </c>
      <c r="E368" s="2" t="s">
        <v>6672</v>
      </c>
      <c r="I368" s="32" t="s">
        <v>6684</v>
      </c>
    </row>
    <row r="369" spans="1:24" ht="17" x14ac:dyDescent="0.2">
      <c r="A369" s="2" t="s">
        <v>6133</v>
      </c>
      <c r="B369" s="19" t="s">
        <v>6687</v>
      </c>
      <c r="C369" s="19" t="s">
        <v>6687</v>
      </c>
      <c r="D369" s="1">
        <v>182</v>
      </c>
      <c r="E369" s="2" t="s">
        <v>6672</v>
      </c>
      <c r="I369" s="32" t="s">
        <v>6688</v>
      </c>
    </row>
    <row r="370" spans="1:24" ht="85" x14ac:dyDescent="0.2">
      <c r="A370" s="2" t="s">
        <v>1330</v>
      </c>
      <c r="B370" s="2" t="s">
        <v>1331</v>
      </c>
      <c r="C370" s="2" t="s">
        <v>1331</v>
      </c>
      <c r="D370" s="1">
        <v>182</v>
      </c>
      <c r="E370" s="2" t="s">
        <v>23</v>
      </c>
      <c r="F370" s="2" t="s">
        <v>960</v>
      </c>
      <c r="G370" s="2" t="s">
        <v>1332</v>
      </c>
      <c r="H370" s="2" t="s">
        <v>369</v>
      </c>
      <c r="I370" s="2" t="s">
        <v>6128</v>
      </c>
      <c r="J370" s="2" t="s">
        <v>612</v>
      </c>
      <c r="K370" s="2" t="s">
        <v>613</v>
      </c>
      <c r="L370" s="2" t="s">
        <v>961</v>
      </c>
      <c r="M370" s="2" t="s">
        <v>962</v>
      </c>
      <c r="N370" s="2" t="s">
        <v>963</v>
      </c>
      <c r="O370" s="2" t="s">
        <v>948</v>
      </c>
      <c r="P370" s="2" t="s">
        <v>52</v>
      </c>
      <c r="Q370" s="2" t="s">
        <v>40</v>
      </c>
      <c r="R370" s="2" t="s">
        <v>32</v>
      </c>
      <c r="S370" s="2" t="s">
        <v>392</v>
      </c>
      <c r="T370" s="2" t="s">
        <v>618</v>
      </c>
      <c r="U370" s="2" t="s">
        <v>4065</v>
      </c>
      <c r="V370" s="2" t="s">
        <v>4066</v>
      </c>
      <c r="W370" s="2" t="s">
        <v>4067</v>
      </c>
      <c r="X370" s="2" t="s">
        <v>4068</v>
      </c>
    </row>
    <row r="371" spans="1:24" ht="85" x14ac:dyDescent="0.2">
      <c r="A371" s="2" t="s">
        <v>1333</v>
      </c>
      <c r="B371" s="2" t="s">
        <v>1334</v>
      </c>
      <c r="C371" s="2" t="s">
        <v>1334</v>
      </c>
      <c r="D371" s="1">
        <v>182</v>
      </c>
      <c r="E371" s="2" t="s">
        <v>23</v>
      </c>
      <c r="F371" s="2" t="s">
        <v>960</v>
      </c>
      <c r="G371" s="2" t="s">
        <v>1332</v>
      </c>
      <c r="H371" s="2" t="s">
        <v>369</v>
      </c>
      <c r="I371" s="2" t="s">
        <v>6128</v>
      </c>
      <c r="J371" s="2" t="s">
        <v>612</v>
      </c>
      <c r="K371" s="2" t="s">
        <v>613</v>
      </c>
      <c r="L371" s="2" t="s">
        <v>966</v>
      </c>
      <c r="M371" s="2" t="s">
        <v>967</v>
      </c>
      <c r="N371" s="2" t="s">
        <v>963</v>
      </c>
      <c r="O371" s="2" t="s">
        <v>948</v>
      </c>
      <c r="P371" s="2" t="s">
        <v>52</v>
      </c>
      <c r="Q371" s="2" t="s">
        <v>40</v>
      </c>
      <c r="R371" s="2" t="s">
        <v>32</v>
      </c>
      <c r="S371" s="2" t="s">
        <v>392</v>
      </c>
      <c r="T371" s="2" t="s">
        <v>618</v>
      </c>
      <c r="U371" s="2" t="s">
        <v>4065</v>
      </c>
      <c r="V371" s="2" t="s">
        <v>4066</v>
      </c>
      <c r="W371" s="2" t="s">
        <v>4067</v>
      </c>
      <c r="X371" s="2" t="s">
        <v>4068</v>
      </c>
    </row>
    <row r="372" spans="1:24" ht="85" x14ac:dyDescent="0.2">
      <c r="A372" s="2" t="s">
        <v>451</v>
      </c>
      <c r="B372" s="2" t="s">
        <v>452</v>
      </c>
      <c r="C372" s="2" t="s">
        <v>453</v>
      </c>
      <c r="D372" s="1">
        <f>26*7</f>
        <v>182</v>
      </c>
      <c r="E372" s="2" t="s">
        <v>23</v>
      </c>
      <c r="G372" s="2" t="s">
        <v>1418</v>
      </c>
      <c r="H372" s="2" t="s">
        <v>247</v>
      </c>
      <c r="I372" s="2" t="s">
        <v>6732</v>
      </c>
      <c r="J372" s="2" t="s">
        <v>27</v>
      </c>
      <c r="K372" s="2" t="s">
        <v>48</v>
      </c>
      <c r="L372" s="2" t="s">
        <v>249</v>
      </c>
      <c r="M372" s="2" t="s">
        <v>250</v>
      </c>
      <c r="N372" s="2" t="s">
        <v>455</v>
      </c>
      <c r="O372" s="2" t="s">
        <v>250</v>
      </c>
      <c r="P372" s="2" t="s">
        <v>30</v>
      </c>
      <c r="Q372" s="2" t="s">
        <v>41</v>
      </c>
      <c r="R372" s="2" t="s">
        <v>32</v>
      </c>
      <c r="S372" s="2" t="s">
        <v>33</v>
      </c>
      <c r="T372" s="2" t="s">
        <v>456</v>
      </c>
      <c r="U372" s="2" t="s">
        <v>3797</v>
      </c>
      <c r="V372" s="2" t="s">
        <v>3798</v>
      </c>
      <c r="W372" s="2" t="s">
        <v>3799</v>
      </c>
    </row>
    <row r="373" spans="1:24" ht="85" x14ac:dyDescent="0.2">
      <c r="A373" s="2" t="s">
        <v>457</v>
      </c>
      <c r="B373" s="2" t="s">
        <v>458</v>
      </c>
      <c r="C373" s="2" t="s">
        <v>459</v>
      </c>
      <c r="D373" s="1">
        <v>182</v>
      </c>
      <c r="E373" s="2" t="s">
        <v>23</v>
      </c>
      <c r="G373" s="2" t="s">
        <v>1418</v>
      </c>
      <c r="H373" s="2" t="s">
        <v>247</v>
      </c>
      <c r="I373" s="2" t="s">
        <v>6732</v>
      </c>
      <c r="J373" s="2" t="s">
        <v>27</v>
      </c>
      <c r="K373" s="2" t="s">
        <v>48</v>
      </c>
      <c r="L373" s="2" t="s">
        <v>249</v>
      </c>
      <c r="M373" s="2" t="s">
        <v>250</v>
      </c>
      <c r="N373" s="2" t="s">
        <v>455</v>
      </c>
      <c r="O373" s="2" t="s">
        <v>250</v>
      </c>
      <c r="P373" s="2" t="s">
        <v>30</v>
      </c>
      <c r="Q373" s="2" t="s">
        <v>199</v>
      </c>
      <c r="R373" s="2" t="s">
        <v>32</v>
      </c>
      <c r="S373" s="2" t="s">
        <v>33</v>
      </c>
      <c r="T373" s="2" t="s">
        <v>456</v>
      </c>
      <c r="U373" s="2" t="s">
        <v>3797</v>
      </c>
      <c r="V373" s="2" t="s">
        <v>3798</v>
      </c>
      <c r="W373" s="2" t="s">
        <v>3799</v>
      </c>
    </row>
    <row r="374" spans="1:24" ht="85" x14ac:dyDescent="0.2">
      <c r="A374" s="2" t="s">
        <v>460</v>
      </c>
      <c r="B374" s="2" t="s">
        <v>461</v>
      </c>
      <c r="C374" s="2" t="s">
        <v>462</v>
      </c>
      <c r="D374" s="1">
        <v>182</v>
      </c>
      <c r="E374" s="2" t="s">
        <v>23</v>
      </c>
      <c r="G374" s="2" t="s">
        <v>1418</v>
      </c>
      <c r="H374" s="2" t="s">
        <v>247</v>
      </c>
      <c r="I374" s="2" t="s">
        <v>6732</v>
      </c>
      <c r="J374" s="2" t="s">
        <v>27</v>
      </c>
      <c r="K374" s="2" t="s">
        <v>48</v>
      </c>
      <c r="L374" s="2" t="s">
        <v>249</v>
      </c>
      <c r="M374" s="2" t="s">
        <v>250</v>
      </c>
      <c r="N374" s="2" t="s">
        <v>463</v>
      </c>
      <c r="O374" s="2" t="s">
        <v>250</v>
      </c>
      <c r="P374" s="2" t="s">
        <v>52</v>
      </c>
      <c r="Q374" s="2" t="s">
        <v>41</v>
      </c>
      <c r="R374" s="2" t="s">
        <v>32</v>
      </c>
      <c r="S374" s="2" t="s">
        <v>33</v>
      </c>
      <c r="T374" s="2" t="s">
        <v>456</v>
      </c>
      <c r="U374" s="2" t="s">
        <v>464</v>
      </c>
    </row>
    <row r="375" spans="1:24" ht="68" x14ac:dyDescent="0.2">
      <c r="A375" s="7" t="s">
        <v>6143</v>
      </c>
      <c r="B375" s="2" t="s">
        <v>6347</v>
      </c>
      <c r="C375" s="2" t="s">
        <v>6347</v>
      </c>
      <c r="D375" s="1">
        <v>182</v>
      </c>
      <c r="E375" s="2" t="s">
        <v>61</v>
      </c>
      <c r="G375" s="2" t="s">
        <v>6717</v>
      </c>
      <c r="I375" s="2" t="s">
        <v>6716</v>
      </c>
      <c r="N375" s="12" t="s">
        <v>6548</v>
      </c>
    </row>
    <row r="376" spans="1:24" ht="85" x14ac:dyDescent="0.2">
      <c r="A376" s="7" t="s">
        <v>6146</v>
      </c>
      <c r="B376" s="2" t="s">
        <v>6350</v>
      </c>
      <c r="C376" s="2" t="s">
        <v>6350</v>
      </c>
      <c r="D376" s="1">
        <v>182</v>
      </c>
      <c r="E376" s="2" t="s">
        <v>23</v>
      </c>
      <c r="I376" s="2" t="s">
        <v>6721</v>
      </c>
      <c r="N376" s="12" t="s">
        <v>6551</v>
      </c>
    </row>
    <row r="377" spans="1:24" ht="85" x14ac:dyDescent="0.2">
      <c r="A377" s="7" t="s">
        <v>6147</v>
      </c>
      <c r="B377" s="2" t="s">
        <v>6351</v>
      </c>
      <c r="C377" s="2" t="s">
        <v>6351</v>
      </c>
      <c r="D377" s="1">
        <v>182</v>
      </c>
      <c r="E377" s="2" t="s">
        <v>61</v>
      </c>
      <c r="F377" s="2" t="s">
        <v>6722</v>
      </c>
      <c r="I377" s="2" t="s">
        <v>6721</v>
      </c>
      <c r="N377" s="12" t="s">
        <v>6551</v>
      </c>
    </row>
    <row r="378" spans="1:24" ht="17" x14ac:dyDescent="0.2">
      <c r="A378" s="7" t="s">
        <v>6174</v>
      </c>
      <c r="B378" s="2" t="s">
        <v>6379</v>
      </c>
      <c r="C378" s="2" t="s">
        <v>6379</v>
      </c>
      <c r="D378" s="1">
        <v>182</v>
      </c>
      <c r="N378" s="12" t="s">
        <v>963</v>
      </c>
    </row>
    <row r="379" spans="1:24" ht="34" x14ac:dyDescent="0.2">
      <c r="A379" s="7" t="s">
        <v>6175</v>
      </c>
      <c r="B379" s="2" t="s">
        <v>6380</v>
      </c>
      <c r="C379" s="2" t="s">
        <v>6380</v>
      </c>
      <c r="D379" s="1">
        <v>182</v>
      </c>
      <c r="N379" s="12" t="s">
        <v>963</v>
      </c>
    </row>
    <row r="380" spans="1:24" ht="85" x14ac:dyDescent="0.2">
      <c r="A380" s="7" t="s">
        <v>6179</v>
      </c>
      <c r="B380" s="2" t="s">
        <v>6384</v>
      </c>
      <c r="C380" s="2" t="s">
        <v>6384</v>
      </c>
      <c r="D380" s="1">
        <v>182</v>
      </c>
      <c r="E380" s="2" t="s">
        <v>23</v>
      </c>
      <c r="G380" s="2" t="s">
        <v>1418</v>
      </c>
      <c r="I380" s="2" t="s">
        <v>6732</v>
      </c>
      <c r="N380" s="12" t="s">
        <v>463</v>
      </c>
    </row>
    <row r="381" spans="1:24" ht="17" x14ac:dyDescent="0.2">
      <c r="A381" s="7" t="s">
        <v>6196</v>
      </c>
      <c r="B381" s="2" t="s">
        <v>6401</v>
      </c>
      <c r="C381" s="2" t="s">
        <v>6401</v>
      </c>
      <c r="D381" s="1">
        <v>182</v>
      </c>
      <c r="E381" s="2" t="s">
        <v>61</v>
      </c>
      <c r="F381" s="31" t="s">
        <v>6757</v>
      </c>
      <c r="N381" s="12" t="s">
        <v>6574</v>
      </c>
    </row>
    <row r="382" spans="1:24" ht="34" x14ac:dyDescent="0.2">
      <c r="A382" s="7" t="s">
        <v>6209</v>
      </c>
      <c r="B382" s="2" t="s">
        <v>6414</v>
      </c>
      <c r="C382" s="2" t="s">
        <v>6414</v>
      </c>
      <c r="D382" s="1">
        <v>182</v>
      </c>
      <c r="E382" s="2" t="s">
        <v>23</v>
      </c>
      <c r="N382" s="12" t="s">
        <v>6581</v>
      </c>
    </row>
    <row r="383" spans="1:24" ht="34" x14ac:dyDescent="0.2">
      <c r="A383" s="7" t="s">
        <v>6224</v>
      </c>
      <c r="B383" s="2" t="s">
        <v>6429</v>
      </c>
      <c r="C383" s="2" t="s">
        <v>6429</v>
      </c>
      <c r="D383" s="1">
        <v>182</v>
      </c>
      <c r="E383" s="2" t="s">
        <v>61</v>
      </c>
      <c r="N383" s="12" t="s">
        <v>6591</v>
      </c>
    </row>
    <row r="384" spans="1:24" ht="34" x14ac:dyDescent="0.2">
      <c r="A384" s="7" t="s">
        <v>6231</v>
      </c>
      <c r="B384" s="2" t="s">
        <v>6436</v>
      </c>
      <c r="C384" s="2" t="s">
        <v>6436</v>
      </c>
      <c r="D384" s="1">
        <v>182</v>
      </c>
      <c r="E384" s="2" t="s">
        <v>61</v>
      </c>
      <c r="F384" s="2" t="s">
        <v>6763</v>
      </c>
      <c r="N384" s="12" t="s">
        <v>6597</v>
      </c>
    </row>
    <row r="385" spans="1:112" ht="34" x14ac:dyDescent="0.2">
      <c r="A385" s="7" t="s">
        <v>6232</v>
      </c>
      <c r="B385" s="2" t="s">
        <v>6437</v>
      </c>
      <c r="C385" s="2" t="s">
        <v>6437</v>
      </c>
      <c r="D385" s="1">
        <v>182</v>
      </c>
      <c r="E385" s="2" t="s">
        <v>61</v>
      </c>
      <c r="F385" s="2" t="s">
        <v>6763</v>
      </c>
      <c r="N385" s="12" t="s">
        <v>674</v>
      </c>
    </row>
    <row r="386" spans="1:112" ht="51" x14ac:dyDescent="0.2">
      <c r="A386" s="7" t="s">
        <v>6274</v>
      </c>
      <c r="B386" s="2" t="s">
        <v>6480</v>
      </c>
      <c r="C386" s="2" t="s">
        <v>6480</v>
      </c>
      <c r="D386" s="1">
        <v>182</v>
      </c>
      <c r="E386" s="2" t="s">
        <v>61</v>
      </c>
      <c r="G386" s="2" t="s">
        <v>6766</v>
      </c>
      <c r="N386" s="12" t="s">
        <v>6616</v>
      </c>
    </row>
    <row r="387" spans="1:112" ht="102" x14ac:dyDescent="0.2">
      <c r="A387" s="2" t="s">
        <v>1534</v>
      </c>
      <c r="B387" s="2" t="s">
        <v>1535</v>
      </c>
      <c r="C387" s="2" t="s">
        <v>1536</v>
      </c>
      <c r="D387" s="1">
        <v>182</v>
      </c>
      <c r="E387" s="2" t="s">
        <v>23</v>
      </c>
      <c r="G387" s="2" t="s">
        <v>1418</v>
      </c>
      <c r="H387" s="2" t="s">
        <v>369</v>
      </c>
      <c r="I387" s="2" t="s">
        <v>743</v>
      </c>
      <c r="J387" s="2" t="s">
        <v>27</v>
      </c>
      <c r="K387" s="2" t="s">
        <v>64</v>
      </c>
      <c r="L387" s="2" t="s">
        <v>494</v>
      </c>
      <c r="M387" s="2" t="s">
        <v>495</v>
      </c>
      <c r="N387" s="2" t="s">
        <v>528</v>
      </c>
      <c r="O387" s="2" t="s">
        <v>183</v>
      </c>
      <c r="P387" s="2" t="s">
        <v>30</v>
      </c>
      <c r="Q387" s="2" t="s">
        <v>40</v>
      </c>
      <c r="R387" s="2" t="s">
        <v>32</v>
      </c>
      <c r="S387" s="2" t="s">
        <v>33</v>
      </c>
      <c r="T387" s="2" t="s">
        <v>744</v>
      </c>
      <c r="U387" s="2" t="s">
        <v>530</v>
      </c>
    </row>
    <row r="388" spans="1:112" ht="102" x14ac:dyDescent="0.2">
      <c r="A388" s="2" t="s">
        <v>1537</v>
      </c>
      <c r="B388" s="2" t="s">
        <v>1538</v>
      </c>
      <c r="C388" s="2" t="s">
        <v>1539</v>
      </c>
      <c r="D388" s="1">
        <v>182</v>
      </c>
      <c r="E388" s="2" t="s">
        <v>23</v>
      </c>
      <c r="G388" s="2" t="s">
        <v>1418</v>
      </c>
      <c r="H388" s="2" t="s">
        <v>369</v>
      </c>
      <c r="I388" s="2" t="s">
        <v>743</v>
      </c>
      <c r="J388" s="2" t="s">
        <v>27</v>
      </c>
      <c r="K388" s="2" t="s">
        <v>64</v>
      </c>
      <c r="L388" s="2" t="s">
        <v>494</v>
      </c>
      <c r="M388" s="2" t="s">
        <v>495</v>
      </c>
      <c r="N388" s="2" t="s">
        <v>528</v>
      </c>
      <c r="O388" s="2" t="s">
        <v>183</v>
      </c>
      <c r="P388" s="2" t="s">
        <v>30</v>
      </c>
      <c r="Q388" s="2" t="s">
        <v>997</v>
      </c>
      <c r="R388" s="2" t="s">
        <v>32</v>
      </c>
      <c r="S388" s="2" t="s">
        <v>33</v>
      </c>
      <c r="T388" s="2" t="s">
        <v>744</v>
      </c>
      <c r="U388" s="2" t="s">
        <v>530</v>
      </c>
      <c r="V388" s="2" t="s">
        <v>3861</v>
      </c>
    </row>
    <row r="389" spans="1:112" ht="34" x14ac:dyDescent="0.2">
      <c r="A389" s="7" t="s">
        <v>6275</v>
      </c>
      <c r="B389" s="2" t="s">
        <v>6481</v>
      </c>
      <c r="C389" s="2" t="s">
        <v>6481</v>
      </c>
      <c r="D389" s="1">
        <v>182</v>
      </c>
      <c r="E389" s="2" t="s">
        <v>6777</v>
      </c>
      <c r="H389" s="2" t="s">
        <v>410</v>
      </c>
      <c r="N389" s="12" t="s">
        <v>6617</v>
      </c>
    </row>
    <row r="390" spans="1:112" ht="34" x14ac:dyDescent="0.2">
      <c r="A390" s="7" t="s">
        <v>6287</v>
      </c>
      <c r="B390" s="2" t="s">
        <v>6493</v>
      </c>
      <c r="C390" s="2" t="s">
        <v>6493</v>
      </c>
      <c r="D390" s="1">
        <v>182</v>
      </c>
      <c r="E390" s="2" t="s">
        <v>61</v>
      </c>
      <c r="F390" s="2" t="s">
        <v>6784</v>
      </c>
      <c r="N390" s="12" t="s">
        <v>1093</v>
      </c>
    </row>
    <row r="391" spans="1:112" ht="34" x14ac:dyDescent="0.2">
      <c r="A391" s="7" t="s">
        <v>6290</v>
      </c>
      <c r="B391" s="2" t="s">
        <v>6496</v>
      </c>
      <c r="C391" s="2" t="s">
        <v>6496</v>
      </c>
      <c r="D391" s="1">
        <v>182</v>
      </c>
      <c r="E391" s="2" t="s">
        <v>61</v>
      </c>
      <c r="F391" s="2" t="s">
        <v>6784</v>
      </c>
      <c r="N391" s="12" t="s">
        <v>1093</v>
      </c>
    </row>
    <row r="392" spans="1:112" ht="68" x14ac:dyDescent="0.2">
      <c r="A392" s="7" t="s">
        <v>6332</v>
      </c>
      <c r="B392" s="2" t="s">
        <v>6538</v>
      </c>
      <c r="C392" s="2" t="s">
        <v>6538</v>
      </c>
      <c r="D392" s="1">
        <v>182</v>
      </c>
      <c r="E392" s="2" t="s">
        <v>61</v>
      </c>
      <c r="F392" s="2" t="s">
        <v>6799</v>
      </c>
      <c r="N392" s="12" t="s">
        <v>6657</v>
      </c>
    </row>
    <row r="393" spans="1:112" ht="85" x14ac:dyDescent="0.2">
      <c r="A393" s="2" t="s">
        <v>1335</v>
      </c>
      <c r="B393" s="2" t="s">
        <v>1336</v>
      </c>
      <c r="C393" s="2" t="s">
        <v>1336</v>
      </c>
      <c r="D393" s="1">
        <v>126</v>
      </c>
      <c r="E393" s="2" t="s">
        <v>23</v>
      </c>
      <c r="F393" s="2" t="s">
        <v>1337</v>
      </c>
      <c r="G393" s="2" t="s">
        <v>1332</v>
      </c>
      <c r="I393" s="2" t="s">
        <v>1338</v>
      </c>
      <c r="J393" s="2" t="s">
        <v>469</v>
      </c>
      <c r="K393" s="2" t="s">
        <v>470</v>
      </c>
      <c r="L393" s="2" t="s">
        <v>1339</v>
      </c>
      <c r="M393" s="2" t="s">
        <v>839</v>
      </c>
      <c r="N393" s="2" t="s">
        <v>1340</v>
      </c>
      <c r="O393" s="2" t="s">
        <v>839</v>
      </c>
      <c r="P393" s="2" t="s">
        <v>93</v>
      </c>
      <c r="Q393" s="2" t="s">
        <v>199</v>
      </c>
      <c r="R393" s="2" t="s">
        <v>32</v>
      </c>
      <c r="S393" s="2" t="s">
        <v>33</v>
      </c>
      <c r="T393" s="2" t="s">
        <v>1341</v>
      </c>
      <c r="U393" s="2" t="s">
        <v>1342</v>
      </c>
    </row>
    <row r="394" spans="1:112" ht="102" x14ac:dyDescent="0.2">
      <c r="A394" s="2" t="s">
        <v>1343</v>
      </c>
      <c r="B394" s="2" t="s">
        <v>1344</v>
      </c>
      <c r="C394" s="2" t="s">
        <v>1345</v>
      </c>
      <c r="D394" s="1">
        <v>120</v>
      </c>
      <c r="E394" s="2" t="s">
        <v>61</v>
      </c>
      <c r="F394" s="2" t="s">
        <v>1346</v>
      </c>
      <c r="G394" s="2" t="s">
        <v>1347</v>
      </c>
      <c r="I394" s="2" t="s">
        <v>1348</v>
      </c>
      <c r="J394" s="2" t="s">
        <v>469</v>
      </c>
      <c r="K394" s="2" t="s">
        <v>470</v>
      </c>
      <c r="L394" s="2" t="s">
        <v>1339</v>
      </c>
      <c r="M394" s="2" t="s">
        <v>839</v>
      </c>
      <c r="N394" s="2" t="s">
        <v>1349</v>
      </c>
      <c r="O394" s="2" t="s">
        <v>839</v>
      </c>
      <c r="P394" s="2" t="s">
        <v>30</v>
      </c>
      <c r="Q394" s="2" t="s">
        <v>41</v>
      </c>
      <c r="R394" s="2" t="s">
        <v>32</v>
      </c>
      <c r="S394" s="2" t="s">
        <v>33</v>
      </c>
      <c r="T394" s="2" t="s">
        <v>34</v>
      </c>
      <c r="U394" s="2" t="s">
        <v>4069</v>
      </c>
      <c r="V394" s="2" t="s">
        <v>4070</v>
      </c>
      <c r="W394" s="2" t="s">
        <v>4071</v>
      </c>
      <c r="X394" s="2" t="s">
        <v>4072</v>
      </c>
    </row>
    <row r="395" spans="1:112" ht="153" x14ac:dyDescent="0.2">
      <c r="A395" s="2" t="s">
        <v>1350</v>
      </c>
      <c r="B395" s="2" t="s">
        <v>1351</v>
      </c>
      <c r="C395" s="2" t="s">
        <v>1351</v>
      </c>
      <c r="D395" s="1">
        <v>120</v>
      </c>
      <c r="E395" s="2" t="s">
        <v>61</v>
      </c>
      <c r="F395" s="2" t="s">
        <v>1352</v>
      </c>
      <c r="G395" s="2" t="s">
        <v>1347</v>
      </c>
      <c r="H395" s="2" t="s">
        <v>1353</v>
      </c>
      <c r="I395" s="2" t="s">
        <v>1354</v>
      </c>
      <c r="J395" s="2" t="s">
        <v>469</v>
      </c>
      <c r="K395" s="2" t="s">
        <v>470</v>
      </c>
      <c r="L395" s="2" t="s">
        <v>1262</v>
      </c>
      <c r="M395" s="2">
        <v>99</v>
      </c>
      <c r="N395" s="2" t="s">
        <v>1355</v>
      </c>
      <c r="O395" s="2">
        <v>94</v>
      </c>
      <c r="P395" s="2">
        <v>17</v>
      </c>
      <c r="Q395" s="2">
        <v>0</v>
      </c>
      <c r="R395" s="2" t="s">
        <v>32</v>
      </c>
      <c r="S395" s="2" t="s">
        <v>392</v>
      </c>
      <c r="T395" s="2" t="s">
        <v>1356</v>
      </c>
      <c r="U395" s="2" t="s">
        <v>292</v>
      </c>
    </row>
    <row r="396" spans="1:112" ht="153" x14ac:dyDescent="0.2">
      <c r="A396" s="7" t="s">
        <v>5714</v>
      </c>
      <c r="B396" s="7" t="s">
        <v>5715</v>
      </c>
      <c r="C396" s="2" t="s">
        <v>5715</v>
      </c>
      <c r="D396" s="1">
        <v>120</v>
      </c>
      <c r="E396" s="2" t="s">
        <v>61</v>
      </c>
      <c r="F396" s="2" t="s">
        <v>1352</v>
      </c>
      <c r="G396" s="2" t="s">
        <v>1347</v>
      </c>
      <c r="H396" s="2" t="s">
        <v>1353</v>
      </c>
      <c r="I396" s="2" t="s">
        <v>1354</v>
      </c>
      <c r="J396" s="12" t="s">
        <v>469</v>
      </c>
      <c r="K396" s="12" t="s">
        <v>470</v>
      </c>
      <c r="L396" s="12" t="s">
        <v>1262</v>
      </c>
      <c r="M396" s="12" t="s">
        <v>1094</v>
      </c>
      <c r="N396" s="12" t="s">
        <v>5716</v>
      </c>
      <c r="O396" s="12" t="s">
        <v>1364</v>
      </c>
      <c r="P396" s="12" t="s">
        <v>115</v>
      </c>
      <c r="Q396" s="12" t="s">
        <v>41</v>
      </c>
      <c r="R396" s="12" t="s">
        <v>32</v>
      </c>
      <c r="S396" s="12" t="s">
        <v>392</v>
      </c>
      <c r="T396" s="12" t="s">
        <v>5717</v>
      </c>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row>
    <row r="397" spans="1:112" ht="153" x14ac:dyDescent="0.2">
      <c r="A397" s="7" t="s">
        <v>5880</v>
      </c>
      <c r="B397" s="7" t="s">
        <v>5881</v>
      </c>
      <c r="C397" s="2" t="s">
        <v>5881</v>
      </c>
      <c r="D397" s="1">
        <v>120</v>
      </c>
      <c r="E397" s="2" t="s">
        <v>61</v>
      </c>
      <c r="F397" s="2" t="s">
        <v>1352</v>
      </c>
      <c r="G397" s="2" t="s">
        <v>1347</v>
      </c>
      <c r="H397" s="2" t="s">
        <v>1353</v>
      </c>
      <c r="I397" s="2" t="s">
        <v>1354</v>
      </c>
      <c r="J397" s="12" t="s">
        <v>1284</v>
      </c>
      <c r="K397" s="12" t="s">
        <v>1284</v>
      </c>
      <c r="L397" s="12" t="s">
        <v>1284</v>
      </c>
      <c r="M397" s="12" t="s">
        <v>1285</v>
      </c>
      <c r="N397" s="12" t="s">
        <v>5882</v>
      </c>
      <c r="O397" s="12" t="s">
        <v>5883</v>
      </c>
      <c r="P397" s="12" t="s">
        <v>115</v>
      </c>
      <c r="Q397" s="12" t="s">
        <v>41</v>
      </c>
      <c r="R397" s="12" t="s">
        <v>1287</v>
      </c>
      <c r="S397" s="12" t="s">
        <v>33</v>
      </c>
      <c r="T397" s="12" t="s">
        <v>5884</v>
      </c>
      <c r="U397" s="12" t="s">
        <v>5885</v>
      </c>
      <c r="V397" s="12" t="s">
        <v>5885</v>
      </c>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row>
    <row r="398" spans="1:112" ht="68" x14ac:dyDescent="0.2">
      <c r="A398" s="7" t="s">
        <v>5364</v>
      </c>
      <c r="B398" s="7" t="s">
        <v>5365</v>
      </c>
      <c r="C398" s="2" t="s">
        <v>5366</v>
      </c>
      <c r="D398" s="5">
        <f>3*30</f>
        <v>90</v>
      </c>
      <c r="E398" s="6" t="s">
        <v>61</v>
      </c>
      <c r="F398" s="6" t="s">
        <v>6046</v>
      </c>
      <c r="G398" s="6"/>
      <c r="H398" s="6" t="s">
        <v>369</v>
      </c>
      <c r="I398" s="6" t="s">
        <v>6047</v>
      </c>
      <c r="J398" s="12" t="s">
        <v>645</v>
      </c>
      <c r="K398" s="12" t="s">
        <v>646</v>
      </c>
      <c r="L398" s="12" t="s">
        <v>647</v>
      </c>
      <c r="M398" s="12" t="s">
        <v>648</v>
      </c>
      <c r="N398" s="12" t="s">
        <v>5367</v>
      </c>
      <c r="O398" s="12" t="s">
        <v>1068</v>
      </c>
      <c r="P398" s="12" t="s">
        <v>30</v>
      </c>
      <c r="Q398" s="12" t="s">
        <v>41</v>
      </c>
      <c r="R398" s="12" t="s">
        <v>32</v>
      </c>
      <c r="S398" s="12" t="s">
        <v>33</v>
      </c>
      <c r="T398" s="12" t="s">
        <v>5368</v>
      </c>
      <c r="U398" s="12" t="s">
        <v>5369</v>
      </c>
      <c r="V398" s="12" t="s">
        <v>5369</v>
      </c>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row>
    <row r="399" spans="1:112" ht="119" x14ac:dyDescent="0.2">
      <c r="A399" s="2" t="s">
        <v>1590</v>
      </c>
      <c r="B399" s="2" t="s">
        <v>1591</v>
      </c>
      <c r="C399" s="2" t="s">
        <v>1591</v>
      </c>
      <c r="D399" s="1">
        <v>84</v>
      </c>
      <c r="E399" s="2" t="s">
        <v>23</v>
      </c>
      <c r="G399" s="2" t="s">
        <v>1194</v>
      </c>
      <c r="H399" s="2" t="s">
        <v>369</v>
      </c>
      <c r="I399" s="2" t="s">
        <v>1592</v>
      </c>
      <c r="J399" s="2" t="s">
        <v>27</v>
      </c>
      <c r="K399" s="2" t="s">
        <v>48</v>
      </c>
      <c r="L399" s="2" t="s">
        <v>1593</v>
      </c>
      <c r="M399" s="2" t="s">
        <v>1594</v>
      </c>
      <c r="N399" s="2" t="s">
        <v>1595</v>
      </c>
      <c r="O399" s="2" t="s">
        <v>183</v>
      </c>
      <c r="P399" s="2" t="s">
        <v>1161</v>
      </c>
      <c r="Q399" s="2" t="s">
        <v>41</v>
      </c>
      <c r="R399" s="2" t="s">
        <v>32</v>
      </c>
      <c r="S399" s="2" t="s">
        <v>33</v>
      </c>
      <c r="T399" s="2" t="s">
        <v>1596</v>
      </c>
      <c r="U399" s="2" t="s">
        <v>1597</v>
      </c>
    </row>
    <row r="400" spans="1:112" ht="119" x14ac:dyDescent="0.2">
      <c r="A400" s="7" t="s">
        <v>5052</v>
      </c>
      <c r="B400" s="7" t="s">
        <v>5053</v>
      </c>
      <c r="C400" s="2" t="s">
        <v>5053</v>
      </c>
      <c r="D400" s="1">
        <v>84</v>
      </c>
      <c r="E400" s="2" t="s">
        <v>23</v>
      </c>
      <c r="G400" s="2" t="s">
        <v>1194</v>
      </c>
      <c r="H400" s="2" t="s">
        <v>369</v>
      </c>
      <c r="I400" s="2" t="s">
        <v>1592</v>
      </c>
      <c r="J400" s="12" t="s">
        <v>27</v>
      </c>
      <c r="K400" s="12" t="s">
        <v>1121</v>
      </c>
      <c r="L400" s="12" t="s">
        <v>5054</v>
      </c>
      <c r="M400" s="12" t="s">
        <v>5055</v>
      </c>
      <c r="N400" s="12" t="s">
        <v>1595</v>
      </c>
      <c r="O400" s="12" t="s">
        <v>183</v>
      </c>
      <c r="P400" s="12" t="s">
        <v>1161</v>
      </c>
      <c r="Q400" s="12" t="s">
        <v>199</v>
      </c>
      <c r="R400" s="12" t="s">
        <v>32</v>
      </c>
      <c r="S400" s="12" t="s">
        <v>33</v>
      </c>
      <c r="T400" s="12" t="s">
        <v>1596</v>
      </c>
      <c r="U400" s="12" t="s">
        <v>1597</v>
      </c>
      <c r="V400" s="12" t="s">
        <v>1597</v>
      </c>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row>
    <row r="401" spans="1:112" ht="136" x14ac:dyDescent="0.2">
      <c r="A401" s="2" t="s">
        <v>1357</v>
      </c>
      <c r="B401" s="2" t="s">
        <v>1358</v>
      </c>
      <c r="C401" s="2" t="s">
        <v>1358</v>
      </c>
      <c r="D401" s="1">
        <v>84</v>
      </c>
      <c r="E401" s="2" t="s">
        <v>61</v>
      </c>
      <c r="F401" s="2" t="s">
        <v>1359</v>
      </c>
      <c r="G401" s="2" t="s">
        <v>1360</v>
      </c>
      <c r="H401" s="2" t="s">
        <v>1361</v>
      </c>
      <c r="I401" s="2" t="s">
        <v>1362</v>
      </c>
      <c r="J401" s="2" t="s">
        <v>645</v>
      </c>
      <c r="K401" s="2" t="s">
        <v>646</v>
      </c>
      <c r="L401" s="2" t="s">
        <v>647</v>
      </c>
      <c r="M401" s="2" t="s">
        <v>648</v>
      </c>
      <c r="N401" s="2" t="s">
        <v>1363</v>
      </c>
      <c r="O401" s="2" t="s">
        <v>648</v>
      </c>
      <c r="P401" s="2" t="s">
        <v>1364</v>
      </c>
      <c r="Q401" s="2" t="s">
        <v>41</v>
      </c>
      <c r="R401" s="2" t="s">
        <v>32</v>
      </c>
      <c r="S401" s="2" t="s">
        <v>33</v>
      </c>
      <c r="T401" s="2" t="s">
        <v>1365</v>
      </c>
      <c r="U401" s="2" t="s">
        <v>1366</v>
      </c>
    </row>
    <row r="402" spans="1:112" ht="136" x14ac:dyDescent="0.2">
      <c r="A402" s="2" t="s">
        <v>1367</v>
      </c>
      <c r="B402" s="2" t="s">
        <v>1368</v>
      </c>
      <c r="C402" s="2" t="s">
        <v>1368</v>
      </c>
      <c r="D402" s="1">
        <v>84</v>
      </c>
      <c r="E402" s="2" t="s">
        <v>61</v>
      </c>
      <c r="F402" s="2" t="s">
        <v>1359</v>
      </c>
      <c r="G402" s="2" t="s">
        <v>1360</v>
      </c>
      <c r="H402" s="2" t="s">
        <v>1361</v>
      </c>
      <c r="I402" s="2" t="s">
        <v>1369</v>
      </c>
      <c r="J402" s="2" t="s">
        <v>645</v>
      </c>
      <c r="K402" s="2" t="s">
        <v>646</v>
      </c>
      <c r="L402" s="2" t="s">
        <v>647</v>
      </c>
      <c r="M402" s="2" t="s">
        <v>648</v>
      </c>
      <c r="N402" s="2" t="s">
        <v>1370</v>
      </c>
      <c r="O402" s="2" t="s">
        <v>648</v>
      </c>
      <c r="P402" s="2" t="s">
        <v>1371</v>
      </c>
      <c r="Q402" s="2" t="s">
        <v>30</v>
      </c>
      <c r="R402" s="2" t="s">
        <v>32</v>
      </c>
      <c r="S402" s="2" t="s">
        <v>33</v>
      </c>
      <c r="T402" s="2" t="s">
        <v>1372</v>
      </c>
      <c r="U402" s="2" t="s">
        <v>1373</v>
      </c>
    </row>
    <row r="403" spans="1:112" ht="85" x14ac:dyDescent="0.2">
      <c r="A403" s="2" t="s">
        <v>1374</v>
      </c>
      <c r="B403" s="2" t="s">
        <v>1375</v>
      </c>
      <c r="C403" s="2" t="s">
        <v>1376</v>
      </c>
      <c r="D403" s="1">
        <v>84</v>
      </c>
      <c r="E403" s="2" t="s">
        <v>61</v>
      </c>
      <c r="F403" s="2" t="s">
        <v>1377</v>
      </c>
      <c r="G403" s="2" t="s">
        <v>1360</v>
      </c>
      <c r="H403" s="2" t="s">
        <v>680</v>
      </c>
      <c r="I403" s="2" t="s">
        <v>1378</v>
      </c>
      <c r="J403" s="2" t="s">
        <v>27</v>
      </c>
      <c r="K403" s="2" t="s">
        <v>64</v>
      </c>
      <c r="L403" s="2" t="s">
        <v>494</v>
      </c>
      <c r="M403" s="2" t="s">
        <v>495</v>
      </c>
      <c r="N403" s="2" t="s">
        <v>1379</v>
      </c>
      <c r="O403" s="2" t="s">
        <v>183</v>
      </c>
      <c r="P403" s="2" t="s">
        <v>68</v>
      </c>
      <c r="Q403" s="2" t="s">
        <v>41</v>
      </c>
      <c r="R403" s="2" t="s">
        <v>32</v>
      </c>
      <c r="S403" s="2" t="s">
        <v>33</v>
      </c>
      <c r="T403" s="2" t="s">
        <v>1380</v>
      </c>
      <c r="U403" s="2" t="s">
        <v>4073</v>
      </c>
      <c r="V403" s="2" t="s">
        <v>4074</v>
      </c>
      <c r="W403" s="2" t="s">
        <v>4075</v>
      </c>
      <c r="X403" s="2" t="s">
        <v>4076</v>
      </c>
    </row>
    <row r="404" spans="1:112" ht="119" x14ac:dyDescent="0.2">
      <c r="A404" s="2" t="s">
        <v>1381</v>
      </c>
      <c r="B404" s="2" t="s">
        <v>1382</v>
      </c>
      <c r="C404" s="2" t="s">
        <v>1383</v>
      </c>
      <c r="D404" s="1">
        <v>84</v>
      </c>
      <c r="E404" s="2" t="s">
        <v>23</v>
      </c>
      <c r="F404" s="2" t="s">
        <v>1384</v>
      </c>
      <c r="G404" s="2" t="s">
        <v>1360</v>
      </c>
      <c r="H404" s="2" t="s">
        <v>664</v>
      </c>
      <c r="I404" s="2" t="s">
        <v>1120</v>
      </c>
      <c r="J404" s="2" t="s">
        <v>27</v>
      </c>
      <c r="K404" s="2" t="s">
        <v>1121</v>
      </c>
      <c r="L404" s="2" t="s">
        <v>1122</v>
      </c>
      <c r="M404" s="2" t="s">
        <v>1123</v>
      </c>
      <c r="N404" s="2" t="s">
        <v>1385</v>
      </c>
      <c r="O404" s="2" t="s">
        <v>183</v>
      </c>
      <c r="P404" s="2" t="s">
        <v>1317</v>
      </c>
      <c r="Q404" s="2" t="s">
        <v>41</v>
      </c>
      <c r="R404" s="2" t="s">
        <v>32</v>
      </c>
      <c r="S404" s="2" t="s">
        <v>33</v>
      </c>
      <c r="T404" s="2" t="s">
        <v>1386</v>
      </c>
      <c r="U404" s="2" t="s">
        <v>1387</v>
      </c>
    </row>
    <row r="405" spans="1:112" ht="102" x14ac:dyDescent="0.2">
      <c r="A405" s="2" t="s">
        <v>1388</v>
      </c>
      <c r="B405" s="2" t="s">
        <v>1389</v>
      </c>
      <c r="C405" s="2" t="s">
        <v>1389</v>
      </c>
      <c r="D405" s="1">
        <v>84</v>
      </c>
      <c r="E405" s="2" t="s">
        <v>23</v>
      </c>
      <c r="F405" s="2" t="s">
        <v>1390</v>
      </c>
      <c r="G405" s="2" t="s">
        <v>1391</v>
      </c>
      <c r="H405" s="2" t="s">
        <v>369</v>
      </c>
      <c r="I405" s="2" t="s">
        <v>1392</v>
      </c>
      <c r="J405" s="2" t="s">
        <v>1284</v>
      </c>
      <c r="K405" s="2" t="s">
        <v>1284</v>
      </c>
      <c r="L405" s="2" t="s">
        <v>1284</v>
      </c>
      <c r="M405" s="2" t="s">
        <v>1285</v>
      </c>
      <c r="N405" s="2" t="s">
        <v>1393</v>
      </c>
      <c r="O405" s="2" t="s">
        <v>1394</v>
      </c>
      <c r="P405" s="2" t="s">
        <v>227</v>
      </c>
      <c r="Q405" s="2" t="s">
        <v>41</v>
      </c>
      <c r="R405" s="2" t="s">
        <v>1287</v>
      </c>
      <c r="S405" s="2" t="s">
        <v>33</v>
      </c>
      <c r="T405" s="2" t="s">
        <v>1395</v>
      </c>
      <c r="U405" s="2" t="s">
        <v>1396</v>
      </c>
    </row>
    <row r="406" spans="1:112" ht="119" x14ac:dyDescent="0.2">
      <c r="A406" s="7" t="s">
        <v>6240</v>
      </c>
      <c r="B406" s="2" t="s">
        <v>6444</v>
      </c>
      <c r="C406" s="2" t="s">
        <v>6444</v>
      </c>
      <c r="D406" s="1">
        <v>84</v>
      </c>
      <c r="E406" s="2" t="s">
        <v>23</v>
      </c>
      <c r="F406" s="2" t="s">
        <v>1384</v>
      </c>
      <c r="G406" s="2" t="s">
        <v>1360</v>
      </c>
      <c r="H406" s="2" t="s">
        <v>664</v>
      </c>
      <c r="I406" s="2" t="s">
        <v>1120</v>
      </c>
      <c r="N406" s="12" t="s">
        <v>1385</v>
      </c>
    </row>
    <row r="407" spans="1:112" ht="102" x14ac:dyDescent="0.2">
      <c r="A407" s="7" t="s">
        <v>5345</v>
      </c>
      <c r="B407" s="7" t="s">
        <v>5346</v>
      </c>
      <c r="C407" s="2" t="s">
        <v>5346</v>
      </c>
      <c r="D407" s="1">
        <v>42</v>
      </c>
      <c r="E407" s="2" t="s">
        <v>61</v>
      </c>
      <c r="F407" s="2" t="s">
        <v>6042</v>
      </c>
      <c r="G407" s="2" t="s">
        <v>1399</v>
      </c>
      <c r="I407" s="2" t="s">
        <v>1338</v>
      </c>
      <c r="J407" s="12" t="s">
        <v>645</v>
      </c>
      <c r="K407" s="12" t="s">
        <v>646</v>
      </c>
      <c r="L407" s="12" t="s">
        <v>647</v>
      </c>
      <c r="M407" s="12" t="s">
        <v>648</v>
      </c>
      <c r="N407" s="12" t="s">
        <v>5347</v>
      </c>
      <c r="O407" s="12" t="s">
        <v>648</v>
      </c>
      <c r="P407" s="12" t="s">
        <v>2334</v>
      </c>
      <c r="Q407" s="12" t="s">
        <v>41</v>
      </c>
      <c r="R407" s="12" t="s">
        <v>32</v>
      </c>
      <c r="S407" s="12" t="s">
        <v>33</v>
      </c>
      <c r="T407" s="12" t="s">
        <v>5348</v>
      </c>
      <c r="U407" s="12" t="s">
        <v>5349</v>
      </c>
      <c r="V407" s="12" t="s">
        <v>5349</v>
      </c>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row>
    <row r="408" spans="1:112" ht="102" x14ac:dyDescent="0.2">
      <c r="A408" s="7" t="s">
        <v>5350</v>
      </c>
      <c r="B408" s="7" t="s">
        <v>5351</v>
      </c>
      <c r="C408" s="2" t="s">
        <v>5351</v>
      </c>
      <c r="D408" s="1">
        <v>42</v>
      </c>
      <c r="E408" s="2" t="s">
        <v>61</v>
      </c>
      <c r="F408" s="2" t="s">
        <v>6042</v>
      </c>
      <c r="G408" s="2" t="s">
        <v>1399</v>
      </c>
      <c r="I408" s="2" t="s">
        <v>1338</v>
      </c>
      <c r="J408" s="12" t="s">
        <v>645</v>
      </c>
      <c r="K408" s="12" t="s">
        <v>646</v>
      </c>
      <c r="L408" s="12" t="s">
        <v>647</v>
      </c>
      <c r="M408" s="12" t="s">
        <v>648</v>
      </c>
      <c r="N408" s="12" t="s">
        <v>5352</v>
      </c>
      <c r="O408" s="12" t="s">
        <v>648</v>
      </c>
      <c r="P408" s="12" t="s">
        <v>2753</v>
      </c>
      <c r="Q408" s="12" t="s">
        <v>41</v>
      </c>
      <c r="R408" s="12" t="s">
        <v>32</v>
      </c>
      <c r="S408" s="12" t="s">
        <v>33</v>
      </c>
      <c r="T408" s="12" t="s">
        <v>5353</v>
      </c>
      <c r="U408" s="12" t="s">
        <v>5354</v>
      </c>
      <c r="V408" s="12" t="s">
        <v>5354</v>
      </c>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row>
    <row r="409" spans="1:112" ht="85" x14ac:dyDescent="0.2">
      <c r="A409" s="2" t="s">
        <v>1397</v>
      </c>
      <c r="B409" s="2" t="s">
        <v>1398</v>
      </c>
      <c r="C409" s="2" t="s">
        <v>1398</v>
      </c>
      <c r="D409" s="1">
        <v>42</v>
      </c>
      <c r="E409" s="2" t="s">
        <v>23</v>
      </c>
      <c r="G409" s="2" t="s">
        <v>1399</v>
      </c>
      <c r="I409" s="2" t="s">
        <v>1338</v>
      </c>
      <c r="J409" s="2" t="s">
        <v>469</v>
      </c>
      <c r="K409" s="2" t="s">
        <v>470</v>
      </c>
      <c r="L409" s="2" t="s">
        <v>1339</v>
      </c>
      <c r="M409" s="2" t="s">
        <v>839</v>
      </c>
      <c r="N409" s="2" t="s">
        <v>1400</v>
      </c>
      <c r="O409" s="2" t="s">
        <v>839</v>
      </c>
      <c r="P409" s="2" t="s">
        <v>40</v>
      </c>
      <c r="Q409" s="2" t="s">
        <v>41</v>
      </c>
      <c r="R409" s="2" t="s">
        <v>32</v>
      </c>
      <c r="S409" s="2" t="s">
        <v>33</v>
      </c>
      <c r="T409" s="2" t="s">
        <v>1401</v>
      </c>
      <c r="U409" s="2" t="s">
        <v>4077</v>
      </c>
      <c r="V409" s="2" t="s">
        <v>4078</v>
      </c>
    </row>
    <row r="410" spans="1:112" ht="51" x14ac:dyDescent="0.2">
      <c r="A410" s="2" t="s">
        <v>1402</v>
      </c>
      <c r="B410" s="2" t="s">
        <v>1403</v>
      </c>
      <c r="C410" s="2" t="s">
        <v>1403</v>
      </c>
      <c r="D410" s="1">
        <v>42</v>
      </c>
      <c r="E410" s="2" t="s">
        <v>23</v>
      </c>
      <c r="G410" s="2" t="s">
        <v>1399</v>
      </c>
      <c r="J410" s="2" t="s">
        <v>469</v>
      </c>
      <c r="K410" s="2" t="s">
        <v>470</v>
      </c>
      <c r="L410" s="2" t="s">
        <v>1339</v>
      </c>
      <c r="M410" s="2" t="s">
        <v>839</v>
      </c>
      <c r="N410" s="2" t="s">
        <v>1400</v>
      </c>
      <c r="O410" s="2" t="s">
        <v>839</v>
      </c>
      <c r="P410" s="2" t="s">
        <v>40</v>
      </c>
      <c r="Q410" s="2" t="s">
        <v>199</v>
      </c>
      <c r="R410" s="2" t="s">
        <v>32</v>
      </c>
      <c r="S410" s="2" t="s">
        <v>33</v>
      </c>
      <c r="T410" s="2" t="s">
        <v>1401</v>
      </c>
      <c r="U410" s="2" t="s">
        <v>4077</v>
      </c>
      <c r="V410" s="2" t="s">
        <v>4078</v>
      </c>
    </row>
    <row r="411" spans="1:112" ht="51" x14ac:dyDescent="0.2">
      <c r="A411" s="2" t="s">
        <v>1404</v>
      </c>
      <c r="B411" s="2" t="s">
        <v>1405</v>
      </c>
      <c r="C411" s="2" t="s">
        <v>1405</v>
      </c>
      <c r="D411" s="1">
        <v>42</v>
      </c>
      <c r="E411" s="2" t="s">
        <v>23</v>
      </c>
      <c r="G411" s="2" t="s">
        <v>1399</v>
      </c>
      <c r="J411" s="2" t="s">
        <v>469</v>
      </c>
      <c r="K411" s="2" t="s">
        <v>470</v>
      </c>
      <c r="L411" s="2" t="s">
        <v>1339</v>
      </c>
      <c r="M411" s="2" t="s">
        <v>839</v>
      </c>
      <c r="N411" s="2" t="s">
        <v>1406</v>
      </c>
      <c r="O411" s="2" t="s">
        <v>839</v>
      </c>
      <c r="P411" s="2" t="s">
        <v>52</v>
      </c>
      <c r="Q411" s="2" t="s">
        <v>41</v>
      </c>
      <c r="R411" s="2" t="s">
        <v>32</v>
      </c>
      <c r="S411" s="2" t="s">
        <v>33</v>
      </c>
      <c r="T411" s="2" t="s">
        <v>1407</v>
      </c>
      <c r="U411" s="2" t="s">
        <v>4079</v>
      </c>
      <c r="V411" s="2" t="s">
        <v>4080</v>
      </c>
      <c r="W411" s="2" t="s">
        <v>4081</v>
      </c>
    </row>
    <row r="412" spans="1:112" ht="85" x14ac:dyDescent="0.2">
      <c r="A412" s="2" t="s">
        <v>1408</v>
      </c>
      <c r="B412" s="2" t="s">
        <v>1409</v>
      </c>
      <c r="C412" s="2" t="s">
        <v>1409</v>
      </c>
      <c r="D412" s="1">
        <v>42</v>
      </c>
      <c r="E412" s="2" t="s">
        <v>23</v>
      </c>
      <c r="G412" s="2" t="s">
        <v>1399</v>
      </c>
      <c r="I412" s="2" t="s">
        <v>1338</v>
      </c>
      <c r="J412" s="2" t="s">
        <v>469</v>
      </c>
      <c r="K412" s="2" t="s">
        <v>470</v>
      </c>
      <c r="L412" s="2" t="s">
        <v>1339</v>
      </c>
      <c r="M412" s="2" t="s">
        <v>839</v>
      </c>
      <c r="N412" s="2" t="s">
        <v>1410</v>
      </c>
      <c r="O412" s="2" t="s">
        <v>839</v>
      </c>
      <c r="P412" s="2" t="s">
        <v>68</v>
      </c>
      <c r="Q412" s="2" t="s">
        <v>41</v>
      </c>
      <c r="R412" s="2" t="s">
        <v>32</v>
      </c>
      <c r="S412" s="2" t="s">
        <v>33</v>
      </c>
      <c r="T412" s="2" t="s">
        <v>1411</v>
      </c>
      <c r="U412" s="2" t="s">
        <v>1412</v>
      </c>
    </row>
    <row r="413" spans="1:112" ht="69" customHeight="1" x14ac:dyDescent="0.2">
      <c r="A413" s="7" t="s">
        <v>5448</v>
      </c>
      <c r="B413" s="7" t="s">
        <v>5449</v>
      </c>
      <c r="C413" s="2" t="s">
        <v>5449</v>
      </c>
      <c r="D413" s="1">
        <v>42</v>
      </c>
      <c r="E413" s="2" t="s">
        <v>23</v>
      </c>
      <c r="G413" s="2" t="s">
        <v>1399</v>
      </c>
      <c r="I413" s="2" t="s">
        <v>1338</v>
      </c>
      <c r="J413" s="12" t="s">
        <v>469</v>
      </c>
      <c r="K413" s="12" t="s">
        <v>470</v>
      </c>
      <c r="L413" s="12" t="s">
        <v>1339</v>
      </c>
      <c r="M413" s="12" t="s">
        <v>839</v>
      </c>
      <c r="N413" s="12" t="s">
        <v>1410</v>
      </c>
      <c r="O413" s="12" t="s">
        <v>839</v>
      </c>
      <c r="P413" s="12" t="s">
        <v>68</v>
      </c>
      <c r="Q413" s="12" t="s">
        <v>199</v>
      </c>
      <c r="R413" s="12" t="s">
        <v>32</v>
      </c>
      <c r="S413" s="12" t="s">
        <v>33</v>
      </c>
      <c r="T413" s="12" t="s">
        <v>1411</v>
      </c>
      <c r="U413" s="12" t="s">
        <v>1412</v>
      </c>
      <c r="V413" s="12" t="s">
        <v>1412</v>
      </c>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row>
    <row r="414" spans="1:112" ht="69" customHeight="1" x14ac:dyDescent="0.2">
      <c r="A414" s="2" t="s">
        <v>1413</v>
      </c>
      <c r="B414" s="2" t="s">
        <v>1414</v>
      </c>
      <c r="C414" s="2" t="s">
        <v>1414</v>
      </c>
      <c r="D414" s="1">
        <v>42</v>
      </c>
      <c r="E414" s="2" t="s">
        <v>23</v>
      </c>
      <c r="G414" s="2" t="s">
        <v>1399</v>
      </c>
      <c r="I414" s="2" t="s">
        <v>1338</v>
      </c>
      <c r="J414" s="2" t="s">
        <v>469</v>
      </c>
      <c r="K414" s="2" t="s">
        <v>470</v>
      </c>
      <c r="L414" s="2" t="s">
        <v>1339</v>
      </c>
      <c r="M414" s="2" t="s">
        <v>839</v>
      </c>
      <c r="N414" s="2" t="s">
        <v>1340</v>
      </c>
      <c r="O414" s="2" t="s">
        <v>839</v>
      </c>
      <c r="P414" s="2" t="s">
        <v>93</v>
      </c>
      <c r="Q414" s="2" t="s">
        <v>41</v>
      </c>
      <c r="R414" s="2" t="s">
        <v>32</v>
      </c>
      <c r="S414" s="2" t="s">
        <v>33</v>
      </c>
      <c r="T414" s="2" t="s">
        <v>1341</v>
      </c>
      <c r="U414" s="2" t="s">
        <v>1342</v>
      </c>
    </row>
    <row r="415" spans="1:112" ht="34" x14ac:dyDescent="0.2">
      <c r="A415" s="7" t="s">
        <v>6222</v>
      </c>
      <c r="B415" s="2" t="s">
        <v>6427</v>
      </c>
      <c r="C415" s="2" t="s">
        <v>6427</v>
      </c>
      <c r="D415" s="1">
        <v>19</v>
      </c>
      <c r="E415" s="2" t="s">
        <v>61</v>
      </c>
      <c r="F415" s="2" t="s">
        <v>6761</v>
      </c>
      <c r="N415" s="12" t="s">
        <v>6589</v>
      </c>
    </row>
    <row r="416" spans="1:112" ht="170" x14ac:dyDescent="0.2">
      <c r="A416" s="7" t="s">
        <v>5091</v>
      </c>
      <c r="B416" s="7" t="s">
        <v>5092</v>
      </c>
      <c r="C416" s="2" t="s">
        <v>5092</v>
      </c>
      <c r="D416" s="5">
        <v>19</v>
      </c>
      <c r="E416" s="6" t="s">
        <v>61</v>
      </c>
      <c r="F416" s="6" t="s">
        <v>5093</v>
      </c>
      <c r="G416" s="6"/>
      <c r="H416" s="6"/>
      <c r="I416" s="6" t="s">
        <v>5094</v>
      </c>
      <c r="J416" s="12" t="s">
        <v>27</v>
      </c>
      <c r="K416" s="12" t="s">
        <v>48</v>
      </c>
      <c r="L416" s="12" t="s">
        <v>691</v>
      </c>
      <c r="M416" s="12" t="s">
        <v>5060</v>
      </c>
      <c r="N416" s="12" t="s">
        <v>5095</v>
      </c>
      <c r="O416" s="12" t="s">
        <v>250</v>
      </c>
      <c r="P416" s="12" t="s">
        <v>353</v>
      </c>
      <c r="Q416" s="12" t="s">
        <v>41</v>
      </c>
      <c r="R416" s="12" t="s">
        <v>32</v>
      </c>
      <c r="S416" s="12" t="s">
        <v>33</v>
      </c>
      <c r="T416" s="12" t="s">
        <v>5096</v>
      </c>
      <c r="U416" s="12" t="s">
        <v>5097</v>
      </c>
      <c r="V416" s="12" t="s">
        <v>5097</v>
      </c>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row>
    <row r="417" spans="1:112" ht="102" x14ac:dyDescent="0.2">
      <c r="A417" s="2" t="s">
        <v>1415</v>
      </c>
      <c r="B417" s="2" t="s">
        <v>1416</v>
      </c>
      <c r="C417" s="2" t="s">
        <v>1417</v>
      </c>
      <c r="D417" s="1">
        <v>19</v>
      </c>
      <c r="E417" s="2" t="s">
        <v>23</v>
      </c>
      <c r="G417" s="2" t="s">
        <v>1418</v>
      </c>
      <c r="H417" s="2" t="s">
        <v>697</v>
      </c>
      <c r="I417" s="2" t="s">
        <v>699</v>
      </c>
      <c r="J417" s="2" t="s">
        <v>144</v>
      </c>
      <c r="K417" s="2" t="s">
        <v>144</v>
      </c>
      <c r="L417" s="2" t="s">
        <v>700</v>
      </c>
      <c r="M417" s="2" t="s">
        <v>701</v>
      </c>
      <c r="N417" s="2" t="s">
        <v>1419</v>
      </c>
      <c r="O417" s="2" t="s">
        <v>183</v>
      </c>
      <c r="P417" s="2" t="s">
        <v>948</v>
      </c>
      <c r="Q417" s="2" t="s">
        <v>41</v>
      </c>
      <c r="R417" s="2" t="s">
        <v>32</v>
      </c>
      <c r="S417" s="2" t="s">
        <v>33</v>
      </c>
      <c r="T417" s="2" t="s">
        <v>1420</v>
      </c>
      <c r="U417" s="2" t="s">
        <v>1421</v>
      </c>
    </row>
    <row r="418" spans="1:112" ht="102" x14ac:dyDescent="0.2">
      <c r="A418" s="2" t="s">
        <v>1422</v>
      </c>
      <c r="B418" s="2" t="s">
        <v>1423</v>
      </c>
      <c r="C418" s="2" t="s">
        <v>1423</v>
      </c>
      <c r="D418" s="1">
        <v>19</v>
      </c>
      <c r="E418" s="2" t="s">
        <v>971</v>
      </c>
      <c r="G418" s="2" t="s">
        <v>1418</v>
      </c>
      <c r="H418" s="2" t="s">
        <v>410</v>
      </c>
      <c r="I418" s="2" t="s">
        <v>699</v>
      </c>
      <c r="J418" s="2" t="s">
        <v>144</v>
      </c>
      <c r="K418" s="2" t="s">
        <v>144</v>
      </c>
      <c r="L418" s="2" t="s">
        <v>708</v>
      </c>
      <c r="M418" s="2" t="s">
        <v>709</v>
      </c>
      <c r="N418" s="2" t="s">
        <v>1424</v>
      </c>
      <c r="O418" s="2" t="s">
        <v>183</v>
      </c>
      <c r="P418" s="2" t="s">
        <v>544</v>
      </c>
      <c r="Q418" s="2" t="s">
        <v>41</v>
      </c>
      <c r="R418" s="2" t="s">
        <v>32</v>
      </c>
      <c r="S418" s="2" t="s">
        <v>33</v>
      </c>
      <c r="T418" s="2" t="s">
        <v>1425</v>
      </c>
      <c r="U418" s="2" t="s">
        <v>4082</v>
      </c>
      <c r="V418" s="2" t="s">
        <v>4083</v>
      </c>
    </row>
    <row r="419" spans="1:112" ht="170" x14ac:dyDescent="0.2">
      <c r="A419" s="2" t="s">
        <v>1426</v>
      </c>
      <c r="B419" s="2" t="s">
        <v>1427</v>
      </c>
      <c r="C419" s="2" t="s">
        <v>1427</v>
      </c>
      <c r="D419" s="1">
        <v>19</v>
      </c>
      <c r="E419" s="2" t="s">
        <v>153</v>
      </c>
      <c r="F419" s="2" t="s">
        <v>1428</v>
      </c>
      <c r="G419" s="2" t="s">
        <v>1418</v>
      </c>
      <c r="H419" s="2" t="s">
        <v>411</v>
      </c>
      <c r="I419" s="2" t="s">
        <v>412</v>
      </c>
      <c r="J419" s="2" t="s">
        <v>27</v>
      </c>
      <c r="K419" s="2" t="s">
        <v>48</v>
      </c>
      <c r="L419" s="2" t="s">
        <v>413</v>
      </c>
      <c r="M419" s="2" t="s">
        <v>137</v>
      </c>
      <c r="N419" s="2" t="s">
        <v>1429</v>
      </c>
      <c r="O419" s="2" t="s">
        <v>137</v>
      </c>
      <c r="P419" s="2" t="s">
        <v>30</v>
      </c>
      <c r="Q419" s="2" t="s">
        <v>41</v>
      </c>
      <c r="R419" s="2" t="s">
        <v>32</v>
      </c>
      <c r="S419" s="2" t="s">
        <v>33</v>
      </c>
      <c r="T419" s="2" t="s">
        <v>1430</v>
      </c>
      <c r="U419" s="2" t="s">
        <v>4084</v>
      </c>
      <c r="V419" s="2" t="s">
        <v>4085</v>
      </c>
    </row>
    <row r="420" spans="1:112" ht="170" x14ac:dyDescent="0.2">
      <c r="A420" s="2" t="s">
        <v>1431</v>
      </c>
      <c r="B420" s="2" t="s">
        <v>1432</v>
      </c>
      <c r="C420" s="2" t="s">
        <v>1432</v>
      </c>
      <c r="D420" s="1">
        <v>19</v>
      </c>
      <c r="E420" s="2" t="s">
        <v>153</v>
      </c>
      <c r="F420" s="2" t="s">
        <v>1433</v>
      </c>
      <c r="G420" s="2" t="s">
        <v>1418</v>
      </c>
      <c r="H420" s="2" t="s">
        <v>411</v>
      </c>
      <c r="I420" s="2" t="s">
        <v>412</v>
      </c>
      <c r="J420" s="2" t="s">
        <v>27</v>
      </c>
      <c r="K420" s="2" t="s">
        <v>48</v>
      </c>
      <c r="L420" s="2" t="s">
        <v>413</v>
      </c>
      <c r="M420" s="2" t="s">
        <v>137</v>
      </c>
      <c r="N420" s="2" t="s">
        <v>1429</v>
      </c>
      <c r="O420" s="2" t="s">
        <v>137</v>
      </c>
      <c r="P420" s="2" t="s">
        <v>30</v>
      </c>
      <c r="Q420" s="2" t="s">
        <v>199</v>
      </c>
      <c r="R420" s="2" t="s">
        <v>32</v>
      </c>
      <c r="S420" s="2" t="s">
        <v>33</v>
      </c>
      <c r="T420" s="2" t="s">
        <v>1430</v>
      </c>
      <c r="U420" s="2" t="s">
        <v>4084</v>
      </c>
      <c r="V420" s="2" t="s">
        <v>4085</v>
      </c>
    </row>
    <row r="421" spans="1:112" ht="85" x14ac:dyDescent="0.2">
      <c r="A421" s="7" t="s">
        <v>5119</v>
      </c>
      <c r="B421" s="7" t="s">
        <v>5120</v>
      </c>
      <c r="C421" s="2" t="s">
        <v>5120</v>
      </c>
      <c r="D421" s="5">
        <v>19</v>
      </c>
      <c r="E421" s="6" t="s">
        <v>61</v>
      </c>
      <c r="F421" s="6" t="s">
        <v>5121</v>
      </c>
      <c r="G421" s="6"/>
      <c r="H421" s="6" t="s">
        <v>5122</v>
      </c>
      <c r="I421" s="11" t="s">
        <v>5123</v>
      </c>
      <c r="J421" s="12" t="s">
        <v>469</v>
      </c>
      <c r="K421" s="12" t="s">
        <v>470</v>
      </c>
      <c r="L421" s="12" t="s">
        <v>5124</v>
      </c>
      <c r="M421" s="12" t="s">
        <v>194</v>
      </c>
      <c r="N421" s="12" t="s">
        <v>5125</v>
      </c>
      <c r="O421" s="12" t="s">
        <v>194</v>
      </c>
      <c r="P421" s="12" t="s">
        <v>41</v>
      </c>
      <c r="Q421" s="12" t="s">
        <v>41</v>
      </c>
      <c r="R421" s="12" t="s">
        <v>32</v>
      </c>
      <c r="S421" s="12" t="s">
        <v>33</v>
      </c>
      <c r="T421" s="12" t="s">
        <v>5126</v>
      </c>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c r="DE421" s="12"/>
      <c r="DF421" s="12"/>
      <c r="DG421" s="12"/>
      <c r="DH421" s="12"/>
    </row>
    <row r="422" spans="1:112" ht="85" x14ac:dyDescent="0.2">
      <c r="A422" s="2" t="s">
        <v>1434</v>
      </c>
      <c r="B422" s="2" t="s">
        <v>1435</v>
      </c>
      <c r="C422" s="2" t="s">
        <v>1435</v>
      </c>
      <c r="D422" s="1">
        <v>19</v>
      </c>
      <c r="E422" s="2" t="s">
        <v>23</v>
      </c>
      <c r="G422" s="2" t="s">
        <v>1418</v>
      </c>
      <c r="H422" s="2" t="s">
        <v>509</v>
      </c>
      <c r="I422" s="2" t="s">
        <v>102</v>
      </c>
      <c r="J422" s="2" t="s">
        <v>103</v>
      </c>
      <c r="K422" s="2" t="s">
        <v>190</v>
      </c>
      <c r="L422" s="2" t="s">
        <v>550</v>
      </c>
      <c r="M422" s="2" t="s">
        <v>551</v>
      </c>
      <c r="N422" s="2" t="s">
        <v>1436</v>
      </c>
      <c r="O422" s="2" t="s">
        <v>123</v>
      </c>
      <c r="P422" s="2" t="s">
        <v>194</v>
      </c>
      <c r="Q422" s="2" t="s">
        <v>41</v>
      </c>
      <c r="R422" s="2" t="s">
        <v>32</v>
      </c>
      <c r="S422" s="2" t="s">
        <v>33</v>
      </c>
      <c r="T422" s="2" t="s">
        <v>1437</v>
      </c>
      <c r="U422" s="2" t="s">
        <v>4086</v>
      </c>
      <c r="V422" s="2" t="s">
        <v>4087</v>
      </c>
    </row>
    <row r="423" spans="1:112" ht="85" x14ac:dyDescent="0.2">
      <c r="A423" s="2" t="s">
        <v>1438</v>
      </c>
      <c r="B423" s="2" t="s">
        <v>1439</v>
      </c>
      <c r="C423" s="2" t="s">
        <v>1439</v>
      </c>
      <c r="D423" s="1">
        <v>19</v>
      </c>
      <c r="E423" s="2" t="s">
        <v>23</v>
      </c>
      <c r="G423" s="2" t="s">
        <v>1418</v>
      </c>
      <c r="H423" s="2" t="s">
        <v>509</v>
      </c>
      <c r="I423" s="2" t="s">
        <v>102</v>
      </c>
      <c r="J423" s="2" t="s">
        <v>103</v>
      </c>
      <c r="K423" s="2" t="s">
        <v>190</v>
      </c>
      <c r="L423" s="2" t="s">
        <v>550</v>
      </c>
      <c r="M423" s="2" t="s">
        <v>551</v>
      </c>
      <c r="N423" s="2" t="s">
        <v>1436</v>
      </c>
      <c r="O423" s="2" t="s">
        <v>123</v>
      </c>
      <c r="P423" s="2" t="s">
        <v>194</v>
      </c>
      <c r="Q423" s="2" t="s">
        <v>199</v>
      </c>
      <c r="R423" s="2" t="s">
        <v>32</v>
      </c>
      <c r="S423" s="2" t="s">
        <v>33</v>
      </c>
      <c r="T423" s="2" t="s">
        <v>1437</v>
      </c>
      <c r="U423" s="2" t="s">
        <v>4086</v>
      </c>
      <c r="V423" s="2" t="s">
        <v>4087</v>
      </c>
    </row>
    <row r="424" spans="1:112" ht="85" x14ac:dyDescent="0.2">
      <c r="A424" s="2" t="s">
        <v>1440</v>
      </c>
      <c r="B424" s="2" t="s">
        <v>1441</v>
      </c>
      <c r="C424" s="2" t="s">
        <v>1441</v>
      </c>
      <c r="D424" s="1">
        <v>19</v>
      </c>
      <c r="E424" s="2" t="s">
        <v>23</v>
      </c>
      <c r="G424" s="2" t="s">
        <v>1418</v>
      </c>
      <c r="H424" s="2" t="s">
        <v>509</v>
      </c>
      <c r="I424" s="2" t="s">
        <v>102</v>
      </c>
      <c r="J424" s="2" t="s">
        <v>103</v>
      </c>
      <c r="K424" s="2" t="s">
        <v>190</v>
      </c>
      <c r="L424" s="2" t="s">
        <v>557</v>
      </c>
      <c r="M424" s="2" t="s">
        <v>558</v>
      </c>
      <c r="N424" s="2" t="s">
        <v>1442</v>
      </c>
      <c r="O424" s="2" t="s">
        <v>441</v>
      </c>
      <c r="P424" s="2" t="s">
        <v>93</v>
      </c>
      <c r="Q424" s="2" t="s">
        <v>41</v>
      </c>
      <c r="R424" s="2" t="s">
        <v>32</v>
      </c>
      <c r="S424" s="2" t="s">
        <v>33</v>
      </c>
      <c r="T424" s="2" t="s">
        <v>1443</v>
      </c>
      <c r="U424" s="2" t="s">
        <v>4088</v>
      </c>
      <c r="V424" s="2" t="s">
        <v>4089</v>
      </c>
    </row>
    <row r="425" spans="1:112" ht="85" x14ac:dyDescent="0.2">
      <c r="A425" s="2" t="s">
        <v>1444</v>
      </c>
      <c r="B425" s="2" t="s">
        <v>1445</v>
      </c>
      <c r="C425" s="2" t="s">
        <v>1445</v>
      </c>
      <c r="D425" s="1">
        <v>19</v>
      </c>
      <c r="E425" s="2" t="s">
        <v>23</v>
      </c>
      <c r="G425" s="2" t="s">
        <v>1418</v>
      </c>
      <c r="H425" s="2" t="s">
        <v>509</v>
      </c>
      <c r="I425" s="2" t="s">
        <v>102</v>
      </c>
      <c r="J425" s="2" t="s">
        <v>103</v>
      </c>
      <c r="K425" s="2" t="s">
        <v>190</v>
      </c>
      <c r="L425" s="2" t="s">
        <v>557</v>
      </c>
      <c r="M425" s="2" t="s">
        <v>558</v>
      </c>
      <c r="N425" s="2" t="s">
        <v>1442</v>
      </c>
      <c r="O425" s="2" t="s">
        <v>441</v>
      </c>
      <c r="P425" s="2" t="s">
        <v>93</v>
      </c>
      <c r="Q425" s="2" t="s">
        <v>199</v>
      </c>
      <c r="R425" s="2" t="s">
        <v>32</v>
      </c>
      <c r="S425" s="2" t="s">
        <v>33</v>
      </c>
      <c r="T425" s="2" t="s">
        <v>1443</v>
      </c>
      <c r="U425" s="2" t="s">
        <v>4088</v>
      </c>
      <c r="V425" s="2" t="s">
        <v>4089</v>
      </c>
    </row>
    <row r="426" spans="1:112" ht="85" x14ac:dyDescent="0.2">
      <c r="A426" s="2" t="s">
        <v>1446</v>
      </c>
      <c r="B426" s="2" t="s">
        <v>1447</v>
      </c>
      <c r="C426" s="2" t="s">
        <v>1447</v>
      </c>
      <c r="D426" s="1">
        <v>19</v>
      </c>
      <c r="E426" s="2" t="s">
        <v>23</v>
      </c>
      <c r="F426" s="2" t="s">
        <v>1448</v>
      </c>
      <c r="G426" s="2" t="s">
        <v>1418</v>
      </c>
      <c r="H426" s="2" t="s">
        <v>509</v>
      </c>
      <c r="I426" s="2" t="s">
        <v>102</v>
      </c>
      <c r="J426" s="2" t="s">
        <v>103</v>
      </c>
      <c r="K426" s="2" t="s">
        <v>190</v>
      </c>
      <c r="L426" s="2" t="s">
        <v>592</v>
      </c>
      <c r="M426" s="2" t="s">
        <v>593</v>
      </c>
      <c r="N426" s="2" t="s">
        <v>1449</v>
      </c>
      <c r="O426" s="2" t="s">
        <v>564</v>
      </c>
      <c r="P426" s="2" t="s">
        <v>68</v>
      </c>
      <c r="Q426" s="2" t="s">
        <v>41</v>
      </c>
      <c r="R426" s="2" t="s">
        <v>32</v>
      </c>
      <c r="S426" s="2" t="s">
        <v>33</v>
      </c>
      <c r="T426" s="2" t="s">
        <v>595</v>
      </c>
      <c r="U426" s="2" t="s">
        <v>1450</v>
      </c>
    </row>
    <row r="427" spans="1:112" ht="85" x14ac:dyDescent="0.2">
      <c r="A427" s="2" t="s">
        <v>1451</v>
      </c>
      <c r="B427" s="2" t="s">
        <v>1452</v>
      </c>
      <c r="C427" s="2" t="s">
        <v>1452</v>
      </c>
      <c r="D427" s="1">
        <v>19</v>
      </c>
      <c r="E427" s="2" t="s">
        <v>23</v>
      </c>
      <c r="F427" s="2" t="s">
        <v>1448</v>
      </c>
      <c r="G427" s="2" t="s">
        <v>1418</v>
      </c>
      <c r="H427" s="2" t="s">
        <v>509</v>
      </c>
      <c r="I427" s="2" t="s">
        <v>102</v>
      </c>
      <c r="J427" s="2" t="s">
        <v>103</v>
      </c>
      <c r="K427" s="2" t="s">
        <v>190</v>
      </c>
      <c r="L427" s="2" t="s">
        <v>592</v>
      </c>
      <c r="M427" s="2" t="s">
        <v>593</v>
      </c>
      <c r="N427" s="2" t="s">
        <v>1449</v>
      </c>
      <c r="O427" s="2" t="s">
        <v>564</v>
      </c>
      <c r="P427" s="2" t="s">
        <v>68</v>
      </c>
      <c r="Q427" s="2" t="s">
        <v>199</v>
      </c>
      <c r="R427" s="2" t="s">
        <v>32</v>
      </c>
      <c r="S427" s="2" t="s">
        <v>33</v>
      </c>
      <c r="T427" s="2" t="s">
        <v>595</v>
      </c>
      <c r="U427" s="2" t="s">
        <v>1450</v>
      </c>
    </row>
    <row r="428" spans="1:112" ht="85" x14ac:dyDescent="0.2">
      <c r="A428" s="2" t="s">
        <v>1453</v>
      </c>
      <c r="B428" s="2" t="s">
        <v>1454</v>
      </c>
      <c r="C428" s="2" t="s">
        <v>1454</v>
      </c>
      <c r="D428" s="1">
        <v>19</v>
      </c>
      <c r="E428" s="2" t="s">
        <v>23</v>
      </c>
      <c r="F428" s="2" t="s">
        <v>1448</v>
      </c>
      <c r="G428" s="2" t="s">
        <v>1418</v>
      </c>
      <c r="H428" s="2" t="s">
        <v>509</v>
      </c>
      <c r="I428" s="2" t="s">
        <v>102</v>
      </c>
      <c r="J428" s="2" t="s">
        <v>103</v>
      </c>
      <c r="K428" s="2" t="s">
        <v>190</v>
      </c>
      <c r="L428" s="2" t="s">
        <v>592</v>
      </c>
      <c r="M428" s="2" t="s">
        <v>593</v>
      </c>
      <c r="N428" s="2" t="s">
        <v>1455</v>
      </c>
      <c r="O428" s="2" t="s">
        <v>564</v>
      </c>
      <c r="P428" s="2" t="s">
        <v>93</v>
      </c>
      <c r="Q428" s="2" t="s">
        <v>41</v>
      </c>
      <c r="R428" s="2" t="s">
        <v>32</v>
      </c>
      <c r="S428" s="2" t="s">
        <v>33</v>
      </c>
      <c r="T428" s="2" t="s">
        <v>595</v>
      </c>
      <c r="U428" s="2" t="s">
        <v>1456</v>
      </c>
    </row>
    <row r="429" spans="1:112" ht="85" x14ac:dyDescent="0.2">
      <c r="A429" s="2" t="s">
        <v>1457</v>
      </c>
      <c r="B429" s="2" t="s">
        <v>1458</v>
      </c>
      <c r="C429" s="2" t="s">
        <v>1458</v>
      </c>
      <c r="D429" s="1">
        <v>19</v>
      </c>
      <c r="E429" s="2" t="s">
        <v>1459</v>
      </c>
      <c r="F429" s="2" t="s">
        <v>1460</v>
      </c>
      <c r="G429" s="2" t="s">
        <v>1418</v>
      </c>
      <c r="H429" s="2" t="s">
        <v>1147</v>
      </c>
      <c r="I429" s="2" t="s">
        <v>102</v>
      </c>
      <c r="J429" s="2" t="s">
        <v>103</v>
      </c>
      <c r="K429" s="2" t="s">
        <v>190</v>
      </c>
      <c r="L429" s="2" t="s">
        <v>191</v>
      </c>
      <c r="M429" s="2" t="s">
        <v>192</v>
      </c>
      <c r="N429" s="2" t="s">
        <v>1461</v>
      </c>
      <c r="O429" s="2" t="s">
        <v>192</v>
      </c>
      <c r="P429" s="2" t="s">
        <v>353</v>
      </c>
      <c r="Q429" s="2" t="s">
        <v>41</v>
      </c>
      <c r="R429" s="2" t="s">
        <v>32</v>
      </c>
      <c r="S429" s="2" t="s">
        <v>33</v>
      </c>
      <c r="T429" s="2" t="s">
        <v>1462</v>
      </c>
      <c r="U429" s="2" t="s">
        <v>1463</v>
      </c>
    </row>
    <row r="430" spans="1:112" ht="85" x14ac:dyDescent="0.2">
      <c r="A430" s="2" t="s">
        <v>1472</v>
      </c>
      <c r="B430" s="2" t="s">
        <v>1473</v>
      </c>
      <c r="C430" s="2" t="s">
        <v>1473</v>
      </c>
      <c r="D430" s="1">
        <v>19</v>
      </c>
      <c r="E430" s="2" t="s">
        <v>1474</v>
      </c>
      <c r="F430" s="2" t="s">
        <v>1475</v>
      </c>
      <c r="G430" s="2" t="s">
        <v>1418</v>
      </c>
      <c r="H430" s="2" t="s">
        <v>953</v>
      </c>
      <c r="I430" s="2" t="s">
        <v>1476</v>
      </c>
      <c r="J430" s="2" t="s">
        <v>1007</v>
      </c>
      <c r="K430" s="2" t="s">
        <v>1008</v>
      </c>
      <c r="L430" s="2" t="s">
        <v>1477</v>
      </c>
      <c r="M430" s="2" t="s">
        <v>1478</v>
      </c>
      <c r="N430" s="2" t="s">
        <v>1479</v>
      </c>
      <c r="O430" s="2" t="s">
        <v>1478</v>
      </c>
      <c r="P430" s="2" t="s">
        <v>41</v>
      </c>
      <c r="Q430" s="2" t="s">
        <v>41</v>
      </c>
      <c r="R430" s="2" t="s">
        <v>32</v>
      </c>
      <c r="S430" s="2" t="s">
        <v>33</v>
      </c>
      <c r="T430" s="2" t="s">
        <v>1480</v>
      </c>
      <c r="U430" s="2" t="s">
        <v>4090</v>
      </c>
      <c r="V430" s="2" t="s">
        <v>4091</v>
      </c>
      <c r="W430" s="2" t="s">
        <v>4092</v>
      </c>
    </row>
    <row r="431" spans="1:112" ht="85" x14ac:dyDescent="0.2">
      <c r="A431" s="2" t="s">
        <v>1481</v>
      </c>
      <c r="B431" s="2" t="s">
        <v>1482</v>
      </c>
      <c r="C431" s="2" t="s">
        <v>1482</v>
      </c>
      <c r="D431" s="1">
        <v>19</v>
      </c>
      <c r="E431" s="2" t="s">
        <v>1474</v>
      </c>
      <c r="F431" s="2" t="s">
        <v>1475</v>
      </c>
      <c r="G431" s="2" t="s">
        <v>1418</v>
      </c>
      <c r="H431" s="2" t="s">
        <v>953</v>
      </c>
      <c r="I431" s="2" t="s">
        <v>1476</v>
      </c>
      <c r="J431" s="2" t="s">
        <v>1007</v>
      </c>
      <c r="K431" s="2" t="s">
        <v>1008</v>
      </c>
      <c r="L431" s="2" t="s">
        <v>1477</v>
      </c>
      <c r="M431" s="2" t="s">
        <v>1478</v>
      </c>
      <c r="N431" s="2" t="s">
        <v>1479</v>
      </c>
      <c r="O431" s="2" t="s">
        <v>1478</v>
      </c>
      <c r="P431" s="2" t="s">
        <v>41</v>
      </c>
      <c r="Q431" s="2" t="s">
        <v>199</v>
      </c>
      <c r="R431" s="2" t="s">
        <v>32</v>
      </c>
      <c r="S431" s="2" t="s">
        <v>33</v>
      </c>
      <c r="T431" s="2" t="s">
        <v>1480</v>
      </c>
      <c r="U431" s="2" t="s">
        <v>4090</v>
      </c>
      <c r="V431" s="2" t="s">
        <v>4091</v>
      </c>
      <c r="W431" s="2" t="s">
        <v>4092</v>
      </c>
    </row>
    <row r="432" spans="1:112" ht="119" x14ac:dyDescent="0.2">
      <c r="A432" s="2" t="s">
        <v>1483</v>
      </c>
      <c r="B432" s="2" t="s">
        <v>1484</v>
      </c>
      <c r="C432" s="2" t="s">
        <v>1484</v>
      </c>
      <c r="D432" s="1">
        <v>19</v>
      </c>
      <c r="E432" s="2" t="s">
        <v>23</v>
      </c>
      <c r="F432" s="2" t="s">
        <v>1485</v>
      </c>
      <c r="G432" s="2" t="s">
        <v>1418</v>
      </c>
      <c r="H432" s="2" t="s">
        <v>369</v>
      </c>
      <c r="I432" s="2" t="s">
        <v>1486</v>
      </c>
      <c r="J432" s="2" t="s">
        <v>645</v>
      </c>
      <c r="K432" s="2" t="s">
        <v>646</v>
      </c>
      <c r="L432" s="2" t="s">
        <v>647</v>
      </c>
      <c r="M432" s="2" t="s">
        <v>648</v>
      </c>
      <c r="N432" s="2" t="s">
        <v>1487</v>
      </c>
      <c r="O432" s="2" t="s">
        <v>648</v>
      </c>
      <c r="P432" s="2" t="s">
        <v>115</v>
      </c>
      <c r="Q432" s="2" t="s">
        <v>41</v>
      </c>
      <c r="R432" s="2" t="s">
        <v>32</v>
      </c>
      <c r="S432" s="2" t="s">
        <v>33</v>
      </c>
      <c r="T432" s="2" t="s">
        <v>1488</v>
      </c>
      <c r="U432" s="2" t="s">
        <v>4093</v>
      </c>
      <c r="V432" s="2" t="s">
        <v>4094</v>
      </c>
      <c r="W432" s="2" t="s">
        <v>4095</v>
      </c>
      <c r="X432" s="2" t="s">
        <v>4096</v>
      </c>
      <c r="Y432" s="2" t="s">
        <v>4097</v>
      </c>
    </row>
    <row r="433" spans="1:112" ht="51" x14ac:dyDescent="0.2">
      <c r="A433" s="2" t="s">
        <v>1489</v>
      </c>
      <c r="B433" s="2" t="s">
        <v>1490</v>
      </c>
      <c r="C433" s="2" t="s">
        <v>1490</v>
      </c>
      <c r="D433" s="1">
        <v>19</v>
      </c>
      <c r="E433" s="2" t="s">
        <v>61</v>
      </c>
      <c r="F433" s="2" t="s">
        <v>1491</v>
      </c>
      <c r="G433" s="2" t="s">
        <v>1418</v>
      </c>
      <c r="H433" s="2" t="s">
        <v>1492</v>
      </c>
      <c r="J433" s="2" t="s">
        <v>645</v>
      </c>
      <c r="K433" s="2" t="s">
        <v>646</v>
      </c>
      <c r="L433" s="2" t="s">
        <v>647</v>
      </c>
      <c r="M433" s="2" t="s">
        <v>648</v>
      </c>
      <c r="N433" s="2" t="s">
        <v>1493</v>
      </c>
      <c r="O433" s="2" t="s">
        <v>648</v>
      </c>
      <c r="P433" s="2" t="s">
        <v>52</v>
      </c>
      <c r="Q433" s="2" t="s">
        <v>41</v>
      </c>
      <c r="R433" s="2" t="s">
        <v>32</v>
      </c>
      <c r="S433" s="2" t="s">
        <v>33</v>
      </c>
      <c r="T433" s="2" t="s">
        <v>1494</v>
      </c>
      <c r="U433" s="2" t="s">
        <v>4098</v>
      </c>
      <c r="V433" s="2" t="s">
        <v>4099</v>
      </c>
    </row>
    <row r="434" spans="1:112" ht="51" x14ac:dyDescent="0.2">
      <c r="A434" s="2" t="s">
        <v>1495</v>
      </c>
      <c r="B434" s="2" t="s">
        <v>1496</v>
      </c>
      <c r="C434" s="2" t="s">
        <v>1496</v>
      </c>
      <c r="D434" s="1">
        <v>19</v>
      </c>
      <c r="E434" s="2" t="s">
        <v>61</v>
      </c>
      <c r="F434" s="2" t="s">
        <v>1491</v>
      </c>
      <c r="G434" s="2" t="s">
        <v>1418</v>
      </c>
      <c r="H434" s="2" t="s">
        <v>1492</v>
      </c>
      <c r="J434" s="2" t="s">
        <v>645</v>
      </c>
      <c r="K434" s="2" t="s">
        <v>646</v>
      </c>
      <c r="L434" s="2" t="s">
        <v>647</v>
      </c>
      <c r="M434" s="2" t="s">
        <v>648</v>
      </c>
      <c r="N434" s="2" t="s">
        <v>1497</v>
      </c>
      <c r="O434" s="2" t="s">
        <v>648</v>
      </c>
      <c r="P434" s="2" t="s">
        <v>68</v>
      </c>
      <c r="Q434" s="2" t="s">
        <v>41</v>
      </c>
      <c r="R434" s="2" t="s">
        <v>32</v>
      </c>
      <c r="S434" s="2" t="s">
        <v>33</v>
      </c>
      <c r="T434" s="2" t="s">
        <v>1494</v>
      </c>
      <c r="U434" s="2" t="s">
        <v>1498</v>
      </c>
    </row>
    <row r="435" spans="1:112" ht="51" x14ac:dyDescent="0.2">
      <c r="A435" s="7" t="s">
        <v>5370</v>
      </c>
      <c r="B435" s="7" t="s">
        <v>5371</v>
      </c>
      <c r="C435" s="2" t="s">
        <v>5371</v>
      </c>
      <c r="D435" s="5">
        <v>19</v>
      </c>
      <c r="E435" s="6" t="s">
        <v>61</v>
      </c>
      <c r="F435" s="6" t="s">
        <v>6048</v>
      </c>
      <c r="G435" s="6"/>
      <c r="H435" s="6"/>
      <c r="I435" s="6"/>
      <c r="J435" s="12" t="s">
        <v>645</v>
      </c>
      <c r="K435" s="12" t="s">
        <v>646</v>
      </c>
      <c r="L435" s="12" t="s">
        <v>647</v>
      </c>
      <c r="M435" s="12" t="s">
        <v>648</v>
      </c>
      <c r="N435" s="12" t="s">
        <v>5372</v>
      </c>
      <c r="O435" s="12" t="s">
        <v>1068</v>
      </c>
      <c r="P435" s="12" t="s">
        <v>194</v>
      </c>
      <c r="Q435" s="12" t="s">
        <v>41</v>
      </c>
      <c r="R435" s="12" t="s">
        <v>32</v>
      </c>
      <c r="S435" s="12" t="s">
        <v>33</v>
      </c>
      <c r="T435" s="12" t="s">
        <v>5373</v>
      </c>
      <c r="U435" s="12" t="s">
        <v>5374</v>
      </c>
      <c r="V435" s="12" t="s">
        <v>5374</v>
      </c>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row>
    <row r="436" spans="1:112" ht="102" x14ac:dyDescent="0.2">
      <c r="A436" s="2" t="s">
        <v>1499</v>
      </c>
      <c r="B436" s="2" t="s">
        <v>1500</v>
      </c>
      <c r="C436" s="2" t="s">
        <v>1500</v>
      </c>
      <c r="D436" s="1">
        <v>19</v>
      </c>
      <c r="E436" s="2" t="s">
        <v>23</v>
      </c>
      <c r="F436" s="2" t="s">
        <v>1501</v>
      </c>
      <c r="G436" s="2" t="s">
        <v>1418</v>
      </c>
      <c r="H436" s="2" t="s">
        <v>1502</v>
      </c>
      <c r="I436" s="2" t="s">
        <v>1503</v>
      </c>
      <c r="J436" s="2" t="s">
        <v>469</v>
      </c>
      <c r="K436" s="2" t="s">
        <v>470</v>
      </c>
      <c r="L436" s="2" t="s">
        <v>1171</v>
      </c>
      <c r="M436" s="2" t="s">
        <v>1172</v>
      </c>
      <c r="N436" s="2" t="s">
        <v>1504</v>
      </c>
      <c r="O436" s="2" t="s">
        <v>1172</v>
      </c>
      <c r="P436" s="2" t="s">
        <v>93</v>
      </c>
      <c r="Q436" s="2" t="s">
        <v>30</v>
      </c>
      <c r="R436" s="2" t="s">
        <v>32</v>
      </c>
      <c r="S436" s="2" t="s">
        <v>33</v>
      </c>
      <c r="T436" s="2" t="s">
        <v>1505</v>
      </c>
      <c r="U436" s="2" t="s">
        <v>1506</v>
      </c>
    </row>
    <row r="437" spans="1:112" ht="102" x14ac:dyDescent="0.2">
      <c r="A437" s="2" t="s">
        <v>1507</v>
      </c>
      <c r="B437" s="2" t="s">
        <v>1500</v>
      </c>
      <c r="C437" s="2" t="s">
        <v>1500</v>
      </c>
      <c r="D437" s="1">
        <v>19</v>
      </c>
      <c r="E437" s="2" t="s">
        <v>23</v>
      </c>
      <c r="F437" s="2" t="s">
        <v>1501</v>
      </c>
      <c r="G437" s="2" t="s">
        <v>1418</v>
      </c>
      <c r="H437" s="2" t="s">
        <v>1502</v>
      </c>
      <c r="I437" s="2" t="s">
        <v>1503</v>
      </c>
      <c r="J437" s="2" t="s">
        <v>469</v>
      </c>
      <c r="K437" s="2" t="s">
        <v>470</v>
      </c>
      <c r="L437" s="2" t="s">
        <v>1171</v>
      </c>
      <c r="M437" s="2" t="s">
        <v>1172</v>
      </c>
      <c r="N437" s="2" t="s">
        <v>1508</v>
      </c>
      <c r="O437" s="2" t="s">
        <v>1172</v>
      </c>
      <c r="P437" s="2" t="s">
        <v>913</v>
      </c>
      <c r="Q437" s="2" t="s">
        <v>41</v>
      </c>
      <c r="R437" s="2" t="s">
        <v>32</v>
      </c>
      <c r="S437" s="2" t="s">
        <v>33</v>
      </c>
      <c r="T437" s="2" t="s">
        <v>1509</v>
      </c>
      <c r="U437" s="2" t="s">
        <v>1506</v>
      </c>
    </row>
    <row r="438" spans="1:112" ht="102" x14ac:dyDescent="0.2">
      <c r="A438" s="7" t="s">
        <v>5425</v>
      </c>
      <c r="B438" s="7" t="s">
        <v>5426</v>
      </c>
      <c r="C438" s="2" t="s">
        <v>5426</v>
      </c>
      <c r="D438" s="1">
        <v>19</v>
      </c>
      <c r="E438" s="2" t="s">
        <v>23</v>
      </c>
      <c r="F438" s="2" t="s">
        <v>1512</v>
      </c>
      <c r="G438" s="2" t="s">
        <v>1418</v>
      </c>
      <c r="H438" s="2" t="s">
        <v>369</v>
      </c>
      <c r="I438" s="4" t="s">
        <v>717</v>
      </c>
      <c r="J438" s="12" t="s">
        <v>103</v>
      </c>
      <c r="K438" s="12" t="s">
        <v>190</v>
      </c>
      <c r="L438" s="12" t="s">
        <v>1074</v>
      </c>
      <c r="M438" s="12" t="s">
        <v>819</v>
      </c>
      <c r="N438" s="12" t="s">
        <v>5427</v>
      </c>
      <c r="O438" s="12" t="s">
        <v>819</v>
      </c>
      <c r="P438" s="12" t="s">
        <v>109</v>
      </c>
      <c r="Q438" s="12" t="s">
        <v>41</v>
      </c>
      <c r="R438" s="12" t="s">
        <v>32</v>
      </c>
      <c r="S438" s="12" t="s">
        <v>33</v>
      </c>
      <c r="T438" s="12" t="s">
        <v>5428</v>
      </c>
      <c r="U438" s="12" t="s">
        <v>5429</v>
      </c>
      <c r="V438" s="12" t="s">
        <v>5429</v>
      </c>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row>
    <row r="439" spans="1:112" ht="102" x14ac:dyDescent="0.2">
      <c r="A439" s="2" t="s">
        <v>1510</v>
      </c>
      <c r="B439" s="2" t="s">
        <v>1511</v>
      </c>
      <c r="C439" s="2" t="s">
        <v>1511</v>
      </c>
      <c r="D439" s="1">
        <v>19</v>
      </c>
      <c r="E439" s="2" t="s">
        <v>23</v>
      </c>
      <c r="F439" s="2" t="s">
        <v>1512</v>
      </c>
      <c r="G439" s="2" t="s">
        <v>1418</v>
      </c>
      <c r="H439" s="2" t="s">
        <v>369</v>
      </c>
      <c r="I439" s="2" t="s">
        <v>717</v>
      </c>
      <c r="J439" s="2" t="s">
        <v>469</v>
      </c>
      <c r="K439" s="2" t="s">
        <v>470</v>
      </c>
      <c r="L439" s="2" t="s">
        <v>718</v>
      </c>
      <c r="M439" s="2" t="s">
        <v>719</v>
      </c>
      <c r="N439" s="2" t="s">
        <v>1513</v>
      </c>
      <c r="O439" s="2" t="s">
        <v>719</v>
      </c>
      <c r="P439" s="2" t="s">
        <v>94</v>
      </c>
      <c r="Q439" s="2" t="s">
        <v>41</v>
      </c>
      <c r="R439" s="2" t="s">
        <v>32</v>
      </c>
      <c r="S439" s="2" t="s">
        <v>33</v>
      </c>
      <c r="T439" s="2" t="s">
        <v>1514</v>
      </c>
      <c r="U439" s="2" t="s">
        <v>4100</v>
      </c>
      <c r="V439" s="2" t="s">
        <v>4101</v>
      </c>
    </row>
    <row r="440" spans="1:112" ht="102" x14ac:dyDescent="0.2">
      <c r="A440" s="2" t="s">
        <v>1515</v>
      </c>
      <c r="B440" s="2" t="s">
        <v>1516</v>
      </c>
      <c r="C440" s="2" t="s">
        <v>1516</v>
      </c>
      <c r="D440" s="1">
        <v>19</v>
      </c>
      <c r="E440" s="2" t="s">
        <v>23</v>
      </c>
      <c r="F440" s="2" t="s">
        <v>1512</v>
      </c>
      <c r="G440" s="2" t="s">
        <v>1418</v>
      </c>
      <c r="H440" s="2" t="s">
        <v>369</v>
      </c>
      <c r="I440" s="2" t="s">
        <v>717</v>
      </c>
      <c r="J440" s="2" t="s">
        <v>469</v>
      </c>
      <c r="K440" s="2" t="s">
        <v>470</v>
      </c>
      <c r="L440" s="2" t="s">
        <v>718</v>
      </c>
      <c r="M440" s="2" t="s">
        <v>719</v>
      </c>
      <c r="N440" s="2" t="s">
        <v>1517</v>
      </c>
      <c r="O440" s="2" t="s">
        <v>719</v>
      </c>
      <c r="P440" s="2" t="s">
        <v>194</v>
      </c>
      <c r="Q440" s="2" t="s">
        <v>41</v>
      </c>
      <c r="R440" s="2" t="s">
        <v>32</v>
      </c>
      <c r="S440" s="2" t="s">
        <v>33</v>
      </c>
      <c r="T440" s="2" t="s">
        <v>1518</v>
      </c>
      <c r="U440" s="2" t="s">
        <v>1519</v>
      </c>
    </row>
    <row r="441" spans="1:112" ht="102" x14ac:dyDescent="0.2">
      <c r="A441" s="2" t="s">
        <v>1520</v>
      </c>
      <c r="B441" s="2" t="s">
        <v>1521</v>
      </c>
      <c r="C441" s="2" t="s">
        <v>1521</v>
      </c>
      <c r="D441" s="1">
        <v>19</v>
      </c>
      <c r="E441" s="2" t="s">
        <v>23</v>
      </c>
      <c r="F441" s="2" t="s">
        <v>1512</v>
      </c>
      <c r="G441" s="2" t="s">
        <v>1418</v>
      </c>
      <c r="H441" s="2" t="s">
        <v>369</v>
      </c>
      <c r="I441" s="2" t="s">
        <v>717</v>
      </c>
      <c r="J441" s="2" t="s">
        <v>469</v>
      </c>
      <c r="K441" s="2" t="s">
        <v>470</v>
      </c>
      <c r="L441" s="2" t="s">
        <v>718</v>
      </c>
      <c r="M441" s="2" t="s">
        <v>719</v>
      </c>
      <c r="N441" s="2" t="s">
        <v>1517</v>
      </c>
      <c r="O441" s="2" t="s">
        <v>719</v>
      </c>
      <c r="P441" s="2" t="s">
        <v>194</v>
      </c>
      <c r="Q441" s="2" t="s">
        <v>199</v>
      </c>
      <c r="R441" s="2" t="s">
        <v>32</v>
      </c>
      <c r="S441" s="2" t="s">
        <v>33</v>
      </c>
      <c r="T441" s="2" t="s">
        <v>1518</v>
      </c>
      <c r="U441" s="2" t="s">
        <v>1519</v>
      </c>
    </row>
    <row r="442" spans="1:112" ht="51" x14ac:dyDescent="0.2">
      <c r="A442" s="7" t="s">
        <v>5473</v>
      </c>
      <c r="B442" s="7" t="s">
        <v>5474</v>
      </c>
      <c r="C442" s="2" t="s">
        <v>5474</v>
      </c>
      <c r="D442" s="6">
        <v>19</v>
      </c>
      <c r="E442" s="6" t="s">
        <v>61</v>
      </c>
      <c r="F442" s="6" t="s">
        <v>6048</v>
      </c>
      <c r="G442" s="6"/>
      <c r="H442" s="6"/>
      <c r="I442" s="6"/>
      <c r="J442" s="12" t="s">
        <v>103</v>
      </c>
      <c r="K442" s="12" t="s">
        <v>190</v>
      </c>
      <c r="L442" s="12" t="s">
        <v>666</v>
      </c>
      <c r="M442" s="12" t="s">
        <v>667</v>
      </c>
      <c r="N442" s="12" t="s">
        <v>668</v>
      </c>
      <c r="O442" s="12" t="s">
        <v>220</v>
      </c>
      <c r="P442" s="12" t="s">
        <v>93</v>
      </c>
      <c r="Q442" s="12" t="s">
        <v>199</v>
      </c>
      <c r="R442" s="12" t="s">
        <v>32</v>
      </c>
      <c r="S442" s="12" t="s">
        <v>33</v>
      </c>
      <c r="T442" s="12" t="s">
        <v>669</v>
      </c>
      <c r="U442" s="12" t="s">
        <v>670</v>
      </c>
      <c r="V442" s="12" t="s">
        <v>670</v>
      </c>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row>
    <row r="443" spans="1:112" ht="85" x14ac:dyDescent="0.2">
      <c r="A443" s="2" t="s">
        <v>1522</v>
      </c>
      <c r="B443" s="2" t="s">
        <v>1523</v>
      </c>
      <c r="C443" s="2" t="s">
        <v>1523</v>
      </c>
      <c r="D443" s="1">
        <v>19</v>
      </c>
      <c r="E443" s="2" t="s">
        <v>23</v>
      </c>
      <c r="F443" s="2" t="s">
        <v>1524</v>
      </c>
      <c r="G443" s="2" t="s">
        <v>1418</v>
      </c>
      <c r="H443" s="2" t="s">
        <v>680</v>
      </c>
      <c r="I443" s="2" t="s">
        <v>1525</v>
      </c>
      <c r="J443" s="2" t="s">
        <v>103</v>
      </c>
      <c r="K443" s="2" t="s">
        <v>190</v>
      </c>
      <c r="L443" s="2" t="s">
        <v>1526</v>
      </c>
      <c r="M443" s="2" t="s">
        <v>1527</v>
      </c>
      <c r="N443" s="2" t="s">
        <v>1528</v>
      </c>
      <c r="O443" s="2" t="s">
        <v>1529</v>
      </c>
      <c r="P443" s="2" t="s">
        <v>353</v>
      </c>
      <c r="Q443" s="2" t="s">
        <v>41</v>
      </c>
      <c r="R443" s="2" t="s">
        <v>32</v>
      </c>
      <c r="S443" s="2" t="s">
        <v>33</v>
      </c>
      <c r="T443" s="2" t="s">
        <v>1530</v>
      </c>
      <c r="U443" s="2" t="s">
        <v>4102</v>
      </c>
      <c r="V443" s="2" t="s">
        <v>4103</v>
      </c>
    </row>
    <row r="444" spans="1:112" ht="85" x14ac:dyDescent="0.2">
      <c r="A444" s="2" t="s">
        <v>1531</v>
      </c>
      <c r="B444" s="2" t="s">
        <v>1532</v>
      </c>
      <c r="C444" s="2" t="s">
        <v>1532</v>
      </c>
      <c r="D444" s="1">
        <v>19</v>
      </c>
      <c r="E444" s="2" t="s">
        <v>23</v>
      </c>
      <c r="F444" s="2" t="s">
        <v>1524</v>
      </c>
      <c r="G444" s="2" t="s">
        <v>1418</v>
      </c>
      <c r="H444" s="2" t="s">
        <v>680</v>
      </c>
      <c r="I444" s="2" t="s">
        <v>1525</v>
      </c>
      <c r="J444" s="2" t="s">
        <v>103</v>
      </c>
      <c r="K444" s="2" t="s">
        <v>190</v>
      </c>
      <c r="L444" s="2" t="s">
        <v>1526</v>
      </c>
      <c r="M444" s="2" t="s">
        <v>1527</v>
      </c>
      <c r="N444" s="2" t="s">
        <v>1528</v>
      </c>
      <c r="O444" s="2" t="s">
        <v>1529</v>
      </c>
      <c r="P444" s="2" t="s">
        <v>353</v>
      </c>
      <c r="Q444" s="2" t="s">
        <v>41</v>
      </c>
      <c r="R444" s="2" t="s">
        <v>32</v>
      </c>
      <c r="S444" s="2" t="s">
        <v>33</v>
      </c>
      <c r="T444" s="2" t="s">
        <v>1533</v>
      </c>
      <c r="U444" s="2" t="s">
        <v>4102</v>
      </c>
      <c r="V444" s="2" t="s">
        <v>4103</v>
      </c>
    </row>
    <row r="445" spans="1:112" ht="119" x14ac:dyDescent="0.2">
      <c r="A445" s="2" t="s">
        <v>1540</v>
      </c>
      <c r="B445" s="2" t="s">
        <v>1541</v>
      </c>
      <c r="C445" s="2" t="s">
        <v>1541</v>
      </c>
      <c r="D445" s="1">
        <v>19</v>
      </c>
      <c r="E445" s="2" t="s">
        <v>61</v>
      </c>
      <c r="F445" s="2" t="s">
        <v>1542</v>
      </c>
      <c r="G445" s="2" t="s">
        <v>1418</v>
      </c>
      <c r="H445" s="2" t="s">
        <v>369</v>
      </c>
      <c r="I445" s="2" t="s">
        <v>1543</v>
      </c>
      <c r="J445" s="2" t="s">
        <v>27</v>
      </c>
      <c r="K445" s="2" t="s">
        <v>64</v>
      </c>
      <c r="L445" s="2" t="s">
        <v>494</v>
      </c>
      <c r="M445" s="2" t="s">
        <v>495</v>
      </c>
      <c r="N445" s="2" t="s">
        <v>1544</v>
      </c>
      <c r="O445" s="2" t="s">
        <v>183</v>
      </c>
      <c r="P445" s="2" t="s">
        <v>1172</v>
      </c>
      <c r="Q445" s="2" t="s">
        <v>41</v>
      </c>
      <c r="R445" s="2" t="s">
        <v>32</v>
      </c>
      <c r="S445" s="2" t="s">
        <v>33</v>
      </c>
      <c r="T445" s="2" t="s">
        <v>1545</v>
      </c>
      <c r="U445" s="2" t="s">
        <v>1546</v>
      </c>
    </row>
    <row r="446" spans="1:112" ht="119" x14ac:dyDescent="0.2">
      <c r="A446" s="7" t="s">
        <v>5498</v>
      </c>
      <c r="B446" s="7" t="s">
        <v>5499</v>
      </c>
      <c r="C446" s="2" t="s">
        <v>5499</v>
      </c>
      <c r="D446" s="1">
        <v>19</v>
      </c>
      <c r="E446" s="2" t="s">
        <v>61</v>
      </c>
      <c r="F446" s="2" t="s">
        <v>1542</v>
      </c>
      <c r="G446" s="2" t="s">
        <v>1418</v>
      </c>
      <c r="H446" s="2" t="s">
        <v>369</v>
      </c>
      <c r="I446" s="2" t="s">
        <v>1543</v>
      </c>
      <c r="J446" s="12" t="s">
        <v>27</v>
      </c>
      <c r="K446" s="12" t="s">
        <v>64</v>
      </c>
      <c r="L446" s="12" t="s">
        <v>494</v>
      </c>
      <c r="M446" s="12" t="s">
        <v>495</v>
      </c>
      <c r="N446" s="12" t="s">
        <v>1544</v>
      </c>
      <c r="O446" s="12" t="s">
        <v>183</v>
      </c>
      <c r="P446" s="12" t="s">
        <v>1172</v>
      </c>
      <c r="Q446" s="12" t="s">
        <v>199</v>
      </c>
      <c r="R446" s="12" t="s">
        <v>32</v>
      </c>
      <c r="S446" s="12" t="s">
        <v>33</v>
      </c>
      <c r="T446" s="12" t="s">
        <v>1545</v>
      </c>
      <c r="U446" s="12" t="s">
        <v>1546</v>
      </c>
      <c r="V446" s="12" t="s">
        <v>1546</v>
      </c>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row>
    <row r="447" spans="1:112" ht="119" x14ac:dyDescent="0.2">
      <c r="A447" s="7" t="s">
        <v>5500</v>
      </c>
      <c r="B447" s="7" t="s">
        <v>5501</v>
      </c>
      <c r="C447" s="2" t="s">
        <v>5501</v>
      </c>
      <c r="D447" s="1">
        <v>19</v>
      </c>
      <c r="E447" s="2" t="s">
        <v>61</v>
      </c>
      <c r="F447" s="2" t="s">
        <v>1542</v>
      </c>
      <c r="G447" s="2" t="s">
        <v>1418</v>
      </c>
      <c r="H447" s="2" t="s">
        <v>369</v>
      </c>
      <c r="I447" s="2" t="s">
        <v>1543</v>
      </c>
      <c r="J447" s="12" t="s">
        <v>27</v>
      </c>
      <c r="K447" s="12" t="s">
        <v>64</v>
      </c>
      <c r="L447" s="12" t="s">
        <v>494</v>
      </c>
      <c r="M447" s="12" t="s">
        <v>495</v>
      </c>
      <c r="N447" s="12" t="s">
        <v>5502</v>
      </c>
      <c r="O447" s="12" t="s">
        <v>183</v>
      </c>
      <c r="P447" s="12" t="s">
        <v>814</v>
      </c>
      <c r="Q447" s="12" t="s">
        <v>41</v>
      </c>
      <c r="R447" s="12" t="s">
        <v>32</v>
      </c>
      <c r="S447" s="12" t="s">
        <v>33</v>
      </c>
      <c r="T447" s="12" t="s">
        <v>5503</v>
      </c>
      <c r="U447" s="12" t="s">
        <v>5504</v>
      </c>
      <c r="V447" s="12" t="s">
        <v>5504</v>
      </c>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row>
    <row r="448" spans="1:112" ht="136" x14ac:dyDescent="0.2">
      <c r="A448" s="2" t="s">
        <v>1547</v>
      </c>
      <c r="B448" s="2" t="s">
        <v>1548</v>
      </c>
      <c r="C448" s="2" t="s">
        <v>1548</v>
      </c>
      <c r="D448" s="1">
        <v>19</v>
      </c>
      <c r="E448" s="2" t="s">
        <v>23</v>
      </c>
      <c r="F448" s="2" t="s">
        <v>1098</v>
      </c>
      <c r="G448" s="2" t="s">
        <v>1418</v>
      </c>
      <c r="H448" s="2" t="s">
        <v>538</v>
      </c>
      <c r="I448" s="2" t="s">
        <v>1549</v>
      </c>
      <c r="J448" s="2" t="s">
        <v>27</v>
      </c>
      <c r="K448" s="2" t="s">
        <v>64</v>
      </c>
      <c r="L448" s="2" t="s">
        <v>1099</v>
      </c>
      <c r="M448" s="2" t="s">
        <v>1100</v>
      </c>
      <c r="N448" s="2" t="s">
        <v>1550</v>
      </c>
      <c r="O448" s="2" t="s">
        <v>183</v>
      </c>
      <c r="P448" s="2" t="s">
        <v>1551</v>
      </c>
      <c r="Q448" s="2" t="s">
        <v>41</v>
      </c>
      <c r="R448" s="2" t="s">
        <v>32</v>
      </c>
      <c r="S448" s="2" t="s">
        <v>33</v>
      </c>
      <c r="T448" s="2" t="s">
        <v>1552</v>
      </c>
      <c r="U448" s="2" t="s">
        <v>1553</v>
      </c>
    </row>
    <row r="449" spans="1:112" ht="102" x14ac:dyDescent="0.2">
      <c r="A449" s="2" t="s">
        <v>1554</v>
      </c>
      <c r="B449" s="2" t="s">
        <v>1555</v>
      </c>
      <c r="C449" s="2" t="s">
        <v>1555</v>
      </c>
      <c r="D449" s="1">
        <v>19</v>
      </c>
      <c r="E449" s="2" t="s">
        <v>61</v>
      </c>
      <c r="F449" s="2" t="s">
        <v>1556</v>
      </c>
      <c r="G449" s="2" t="s">
        <v>1418</v>
      </c>
      <c r="H449" s="2" t="s">
        <v>370</v>
      </c>
      <c r="I449" s="2" t="s">
        <v>1557</v>
      </c>
      <c r="J449" s="2" t="s">
        <v>469</v>
      </c>
      <c r="K449" s="2" t="s">
        <v>470</v>
      </c>
      <c r="L449" s="2" t="s">
        <v>1262</v>
      </c>
      <c r="M449" s="2">
        <v>99</v>
      </c>
      <c r="N449" s="2" t="s">
        <v>1558</v>
      </c>
      <c r="O449" s="2">
        <v>78</v>
      </c>
      <c r="P449" s="2">
        <v>10</v>
      </c>
      <c r="Q449" s="2">
        <v>0</v>
      </c>
      <c r="R449" s="2" t="s">
        <v>32</v>
      </c>
      <c r="S449" s="2" t="s">
        <v>33</v>
      </c>
      <c r="T449" s="2" t="s">
        <v>1559</v>
      </c>
      <c r="U449" s="2" t="s">
        <v>4104</v>
      </c>
      <c r="V449" s="2" t="s">
        <v>4105</v>
      </c>
    </row>
    <row r="450" spans="1:112" ht="102" x14ac:dyDescent="0.2">
      <c r="A450" s="2" t="s">
        <v>1560</v>
      </c>
      <c r="B450" s="2" t="s">
        <v>1561</v>
      </c>
      <c r="C450" s="2" t="s">
        <v>1561</v>
      </c>
      <c r="D450" s="1">
        <v>19</v>
      </c>
      <c r="E450" s="2" t="s">
        <v>61</v>
      </c>
      <c r="F450" s="2" t="s">
        <v>1562</v>
      </c>
      <c r="G450" s="2" t="s">
        <v>1418</v>
      </c>
      <c r="H450" s="2" t="s">
        <v>1563</v>
      </c>
      <c r="I450" s="2" t="s">
        <v>1564</v>
      </c>
      <c r="J450" s="2" t="s">
        <v>469</v>
      </c>
      <c r="K450" s="2" t="s">
        <v>470</v>
      </c>
      <c r="L450" s="2" t="s">
        <v>1262</v>
      </c>
      <c r="M450" s="2">
        <v>99</v>
      </c>
      <c r="N450" s="2" t="s">
        <v>1565</v>
      </c>
      <c r="O450" s="2">
        <v>78</v>
      </c>
      <c r="P450" s="2">
        <v>9</v>
      </c>
      <c r="Q450" s="2">
        <v>0</v>
      </c>
      <c r="R450" s="2" t="s">
        <v>32</v>
      </c>
      <c r="S450" s="2" t="s">
        <v>33</v>
      </c>
      <c r="T450" s="2" t="s">
        <v>1566</v>
      </c>
      <c r="U450" s="2" t="s">
        <v>4106</v>
      </c>
      <c r="V450" s="2" t="s">
        <v>4107</v>
      </c>
      <c r="W450" s="2" t="s">
        <v>4108</v>
      </c>
      <c r="X450" s="2" t="s">
        <v>4109</v>
      </c>
      <c r="Y450" s="2" t="s">
        <v>4110</v>
      </c>
    </row>
    <row r="451" spans="1:112" ht="51" x14ac:dyDescent="0.2">
      <c r="A451" s="2" t="s">
        <v>1567</v>
      </c>
      <c r="B451" s="2" t="s">
        <v>1568</v>
      </c>
      <c r="C451" s="2" t="s">
        <v>1568</v>
      </c>
      <c r="D451" s="1">
        <v>19</v>
      </c>
      <c r="E451" s="2" t="s">
        <v>61</v>
      </c>
      <c r="F451" s="2" t="s">
        <v>1569</v>
      </c>
      <c r="G451" s="2" t="s">
        <v>1418</v>
      </c>
      <c r="H451" s="2" t="s">
        <v>1570</v>
      </c>
      <c r="I451" s="2" t="s">
        <v>1571</v>
      </c>
      <c r="J451" s="2" t="s">
        <v>469</v>
      </c>
      <c r="K451" s="2" t="s">
        <v>470</v>
      </c>
      <c r="L451" s="2" t="s">
        <v>1262</v>
      </c>
      <c r="M451" s="2">
        <v>99</v>
      </c>
      <c r="N451" s="2" t="s">
        <v>1572</v>
      </c>
      <c r="O451" s="2">
        <v>99</v>
      </c>
      <c r="P451" s="2">
        <v>81</v>
      </c>
      <c r="Q451" s="2">
        <v>0</v>
      </c>
      <c r="R451" s="2" t="s">
        <v>32</v>
      </c>
      <c r="S451" s="2" t="s">
        <v>33</v>
      </c>
      <c r="T451" s="2" t="s">
        <v>1573</v>
      </c>
      <c r="U451" s="2" t="s">
        <v>1574</v>
      </c>
    </row>
    <row r="452" spans="1:112" ht="68" x14ac:dyDescent="0.2">
      <c r="A452" s="7" t="s">
        <v>5752</v>
      </c>
      <c r="B452" s="7" t="s">
        <v>5753</v>
      </c>
      <c r="C452" s="2" t="s">
        <v>5753</v>
      </c>
      <c r="D452" s="5">
        <v>19</v>
      </c>
      <c r="E452" s="6" t="s">
        <v>61</v>
      </c>
      <c r="F452" s="6" t="s">
        <v>6067</v>
      </c>
      <c r="G452" s="6"/>
      <c r="H452" s="6" t="s">
        <v>664</v>
      </c>
      <c r="I452" s="6"/>
      <c r="J452" s="12" t="s">
        <v>469</v>
      </c>
      <c r="K452" s="12" t="s">
        <v>470</v>
      </c>
      <c r="L452" s="12" t="s">
        <v>1262</v>
      </c>
      <c r="M452" s="12" t="s">
        <v>1094</v>
      </c>
      <c r="N452" s="12" t="s">
        <v>1093</v>
      </c>
      <c r="O452" s="12" t="s">
        <v>1094</v>
      </c>
      <c r="P452" s="12" t="s">
        <v>1094</v>
      </c>
      <c r="Q452" s="12" t="s">
        <v>835</v>
      </c>
      <c r="R452" s="12" t="s">
        <v>32</v>
      </c>
      <c r="S452" s="12" t="s">
        <v>33</v>
      </c>
      <c r="T452" s="12" t="s">
        <v>5754</v>
      </c>
      <c r="U452" s="12" t="s">
        <v>5755</v>
      </c>
      <c r="V452" s="12" t="s">
        <v>5755</v>
      </c>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c r="CA452" s="12"/>
      <c r="CB452" s="12"/>
      <c r="CC452" s="12"/>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row>
    <row r="453" spans="1:112" ht="102" x14ac:dyDescent="0.2">
      <c r="A453" s="7" t="s">
        <v>5761</v>
      </c>
      <c r="B453" s="7" t="s">
        <v>5762</v>
      </c>
      <c r="C453" s="2" t="s">
        <v>5762</v>
      </c>
      <c r="D453" s="1">
        <v>19</v>
      </c>
      <c r="E453" s="2" t="s">
        <v>23</v>
      </c>
      <c r="F453" s="2" t="s">
        <v>1586</v>
      </c>
      <c r="G453" s="2" t="s">
        <v>1418</v>
      </c>
      <c r="H453" s="2" t="s">
        <v>369</v>
      </c>
      <c r="I453" s="2" t="s">
        <v>1392</v>
      </c>
      <c r="J453" s="12" t="s">
        <v>1284</v>
      </c>
      <c r="K453" s="12" t="s">
        <v>1284</v>
      </c>
      <c r="L453" s="12" t="s">
        <v>1284</v>
      </c>
      <c r="M453" s="12" t="s">
        <v>2099</v>
      </c>
      <c r="N453" s="12" t="s">
        <v>2111</v>
      </c>
      <c r="O453" s="12" t="s">
        <v>5763</v>
      </c>
      <c r="P453" s="12" t="s">
        <v>1364</v>
      </c>
      <c r="Q453" s="12" t="s">
        <v>30</v>
      </c>
      <c r="R453" s="12" t="s">
        <v>1287</v>
      </c>
      <c r="S453" s="12" t="s">
        <v>2101</v>
      </c>
      <c r="T453" s="12" t="s">
        <v>5764</v>
      </c>
      <c r="U453" s="12" t="s">
        <v>5765</v>
      </c>
      <c r="V453" s="12" t="s">
        <v>5765</v>
      </c>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row>
    <row r="454" spans="1:112" ht="34" x14ac:dyDescent="0.2">
      <c r="A454" s="2" t="s">
        <v>1575</v>
      </c>
      <c r="B454" s="2" t="s">
        <v>1576</v>
      </c>
      <c r="C454" s="2" t="s">
        <v>1576</v>
      </c>
      <c r="D454" s="1">
        <v>19</v>
      </c>
      <c r="E454" s="2" t="s">
        <v>61</v>
      </c>
      <c r="F454" s="2" t="s">
        <v>1577</v>
      </c>
      <c r="G454" s="2" t="s">
        <v>1418</v>
      </c>
      <c r="J454" s="2" t="s">
        <v>1284</v>
      </c>
      <c r="K454" s="2" t="s">
        <v>1284</v>
      </c>
      <c r="L454" s="2" t="s">
        <v>1284</v>
      </c>
      <c r="M454" s="2" t="s">
        <v>1285</v>
      </c>
      <c r="N454" s="2" t="s">
        <v>1578</v>
      </c>
      <c r="O454" s="2" t="s">
        <v>1579</v>
      </c>
      <c r="P454" s="2" t="s">
        <v>913</v>
      </c>
      <c r="Q454" s="2" t="s">
        <v>41</v>
      </c>
      <c r="R454" s="2" t="s">
        <v>1287</v>
      </c>
      <c r="S454" s="2" t="s">
        <v>33</v>
      </c>
      <c r="T454" s="2" t="s">
        <v>1580</v>
      </c>
      <c r="U454" s="2" t="s">
        <v>4111</v>
      </c>
      <c r="V454" s="2" t="s">
        <v>4112</v>
      </c>
      <c r="W454" s="2" t="s">
        <v>4113</v>
      </c>
      <c r="X454" s="2" t="s">
        <v>4114</v>
      </c>
      <c r="Y454" s="2" t="s">
        <v>4115</v>
      </c>
      <c r="Z454" s="2" t="s">
        <v>4116</v>
      </c>
      <c r="AA454" s="2" t="s">
        <v>4117</v>
      </c>
      <c r="AB454" s="2" t="s">
        <v>4118</v>
      </c>
      <c r="AC454" s="2" t="s">
        <v>4119</v>
      </c>
      <c r="AD454" s="2" t="s">
        <v>4120</v>
      </c>
      <c r="AE454" s="2" t="s">
        <v>4121</v>
      </c>
      <c r="AF454" s="2" t="s">
        <v>4122</v>
      </c>
      <c r="AG454" s="2" t="s">
        <v>4123</v>
      </c>
      <c r="AH454" s="2" t="s">
        <v>4124</v>
      </c>
      <c r="AI454" s="2" t="s">
        <v>4125</v>
      </c>
    </row>
    <row r="455" spans="1:112" ht="34" x14ac:dyDescent="0.2">
      <c r="A455" s="2" t="s">
        <v>1581</v>
      </c>
      <c r="B455" s="2" t="s">
        <v>1582</v>
      </c>
      <c r="C455" s="2" t="s">
        <v>1582</v>
      </c>
      <c r="D455" s="1">
        <v>19</v>
      </c>
      <c r="E455" s="2" t="s">
        <v>61</v>
      </c>
      <c r="F455" s="2" t="s">
        <v>1577</v>
      </c>
      <c r="G455" s="2" t="s">
        <v>1418</v>
      </c>
      <c r="J455" s="2" t="s">
        <v>1284</v>
      </c>
      <c r="K455" s="2" t="s">
        <v>1284</v>
      </c>
      <c r="L455" s="2" t="s">
        <v>1284</v>
      </c>
      <c r="M455" s="2" t="s">
        <v>1285</v>
      </c>
      <c r="N455" s="2" t="s">
        <v>1583</v>
      </c>
      <c r="O455" s="2" t="s">
        <v>1579</v>
      </c>
      <c r="P455" s="2" t="s">
        <v>165</v>
      </c>
      <c r="Q455" s="2" t="s">
        <v>41</v>
      </c>
      <c r="R455" s="2" t="s">
        <v>1287</v>
      </c>
      <c r="S455" s="2" t="s">
        <v>33</v>
      </c>
      <c r="T455" s="2" t="s">
        <v>1580</v>
      </c>
      <c r="U455" s="2" t="s">
        <v>4126</v>
      </c>
      <c r="V455" s="2" t="s">
        <v>4127</v>
      </c>
      <c r="W455" s="2" t="s">
        <v>4128</v>
      </c>
      <c r="X455" s="2" t="s">
        <v>4129</v>
      </c>
      <c r="Y455" s="2" t="s">
        <v>4130</v>
      </c>
      <c r="Z455" s="2" t="s">
        <v>4131</v>
      </c>
      <c r="AA455" s="2" t="s">
        <v>4132</v>
      </c>
      <c r="AB455" s="2" t="s">
        <v>4133</v>
      </c>
      <c r="AC455" s="2" t="s">
        <v>4134</v>
      </c>
      <c r="AD455" s="2" t="s">
        <v>4135</v>
      </c>
      <c r="AE455" s="2" t="s">
        <v>4136</v>
      </c>
      <c r="AF455" s="2" t="s">
        <v>4137</v>
      </c>
      <c r="AG455" s="2" t="s">
        <v>4138</v>
      </c>
      <c r="AH455" s="2" t="s">
        <v>4139</v>
      </c>
      <c r="AI455" s="2" t="s">
        <v>4140</v>
      </c>
      <c r="AJ455" s="2" t="s">
        <v>4141</v>
      </c>
      <c r="AK455" s="2" t="s">
        <v>4142</v>
      </c>
      <c r="AL455" s="2" t="s">
        <v>4143</v>
      </c>
      <c r="AM455" s="2" t="s">
        <v>4144</v>
      </c>
      <c r="AN455" s="2" t="s">
        <v>4145</v>
      </c>
      <c r="AO455" s="2" t="s">
        <v>4146</v>
      </c>
      <c r="AP455" s="2" t="s">
        <v>4147</v>
      </c>
      <c r="AQ455" s="2" t="s">
        <v>4148</v>
      </c>
      <c r="AR455" s="2" t="s">
        <v>4149</v>
      </c>
      <c r="AS455" s="2" t="s">
        <v>4150</v>
      </c>
      <c r="AT455" s="2" t="s">
        <v>4151</v>
      </c>
      <c r="AU455" s="2" t="s">
        <v>4152</v>
      </c>
      <c r="AV455" s="2" t="s">
        <v>4153</v>
      </c>
      <c r="AW455" s="2" t="s">
        <v>4154</v>
      </c>
      <c r="AX455" s="2" t="s">
        <v>4155</v>
      </c>
      <c r="AY455" s="2" t="s">
        <v>4156</v>
      </c>
    </row>
    <row r="456" spans="1:112" ht="102" x14ac:dyDescent="0.2">
      <c r="A456" s="7" t="s">
        <v>5960</v>
      </c>
      <c r="B456" s="7" t="s">
        <v>5961</v>
      </c>
      <c r="C456" s="2" t="s">
        <v>5961</v>
      </c>
      <c r="D456" s="1">
        <v>19</v>
      </c>
      <c r="E456" s="2" t="s">
        <v>23</v>
      </c>
      <c r="F456" s="2" t="s">
        <v>1586</v>
      </c>
      <c r="G456" s="2" t="s">
        <v>1418</v>
      </c>
      <c r="H456" s="2" t="s">
        <v>369</v>
      </c>
      <c r="I456" s="2" t="s">
        <v>1392</v>
      </c>
      <c r="J456" s="12" t="s">
        <v>1284</v>
      </c>
      <c r="K456" s="12" t="s">
        <v>1284</v>
      </c>
      <c r="L456" s="12" t="s">
        <v>1284</v>
      </c>
      <c r="M456" s="12" t="s">
        <v>1285</v>
      </c>
      <c r="N456" s="12" t="s">
        <v>3577</v>
      </c>
      <c r="O456" s="12" t="s">
        <v>1999</v>
      </c>
      <c r="P456" s="12" t="s">
        <v>1094</v>
      </c>
      <c r="Q456" s="12" t="s">
        <v>497</v>
      </c>
      <c r="R456" s="12" t="s">
        <v>1287</v>
      </c>
      <c r="S456" s="12" t="s">
        <v>33</v>
      </c>
      <c r="T456" s="12" t="s">
        <v>5962</v>
      </c>
      <c r="U456" s="12" t="s">
        <v>5963</v>
      </c>
      <c r="V456" s="12" t="s">
        <v>5964</v>
      </c>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row>
    <row r="457" spans="1:112" ht="102" x14ac:dyDescent="0.2">
      <c r="A457" s="2" t="s">
        <v>1584</v>
      </c>
      <c r="B457" s="2" t="s">
        <v>1585</v>
      </c>
      <c r="C457" s="2" t="s">
        <v>1585</v>
      </c>
      <c r="D457" s="1">
        <v>19</v>
      </c>
      <c r="E457" s="2" t="s">
        <v>23</v>
      </c>
      <c r="F457" s="2" t="s">
        <v>1586</v>
      </c>
      <c r="G457" s="2" t="s">
        <v>1418</v>
      </c>
      <c r="H457" s="2" t="s">
        <v>369</v>
      </c>
      <c r="I457" s="2" t="s">
        <v>1392</v>
      </c>
      <c r="J457" s="2" t="s">
        <v>1284</v>
      </c>
      <c r="K457" s="2" t="s">
        <v>1284</v>
      </c>
      <c r="L457" s="2" t="s">
        <v>1284</v>
      </c>
      <c r="M457" s="2" t="s">
        <v>1285</v>
      </c>
      <c r="N457" s="2" t="s">
        <v>1587</v>
      </c>
      <c r="O457" s="2" t="s">
        <v>1394</v>
      </c>
      <c r="P457" s="2" t="s">
        <v>109</v>
      </c>
      <c r="Q457" s="2" t="s">
        <v>41</v>
      </c>
      <c r="R457" s="2" t="s">
        <v>1287</v>
      </c>
      <c r="S457" s="2" t="s">
        <v>33</v>
      </c>
      <c r="T457" s="2" t="s">
        <v>1588</v>
      </c>
      <c r="U457" s="2" t="s">
        <v>1589</v>
      </c>
    </row>
    <row r="458" spans="1:112" ht="102" x14ac:dyDescent="0.2">
      <c r="A458" s="7" t="s">
        <v>5982</v>
      </c>
      <c r="B458" s="7" t="s">
        <v>5983</v>
      </c>
      <c r="C458" s="2" t="s">
        <v>5983</v>
      </c>
      <c r="D458" s="1">
        <v>19</v>
      </c>
      <c r="E458" s="2" t="s">
        <v>23</v>
      </c>
      <c r="F458" s="2" t="s">
        <v>1586</v>
      </c>
      <c r="G458" s="2" t="s">
        <v>1418</v>
      </c>
      <c r="H458" s="2" t="s">
        <v>369</v>
      </c>
      <c r="I458" s="2" t="s">
        <v>1392</v>
      </c>
      <c r="J458" s="12" t="s">
        <v>1284</v>
      </c>
      <c r="K458" s="12" t="s">
        <v>1284</v>
      </c>
      <c r="L458" s="12" t="s">
        <v>1284</v>
      </c>
      <c r="M458" s="12" t="s">
        <v>1285</v>
      </c>
      <c r="N458" s="12" t="s">
        <v>5984</v>
      </c>
      <c r="O458" s="12" t="s">
        <v>1394</v>
      </c>
      <c r="P458" s="12" t="s">
        <v>220</v>
      </c>
      <c r="Q458" s="12" t="s">
        <v>41</v>
      </c>
      <c r="R458" s="12" t="s">
        <v>1287</v>
      </c>
      <c r="S458" s="12" t="s">
        <v>33</v>
      </c>
      <c r="T458" s="12" t="s">
        <v>5985</v>
      </c>
      <c r="U458" s="12" t="s">
        <v>5986</v>
      </c>
      <c r="V458" s="12" t="s">
        <v>5986</v>
      </c>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row>
    <row r="459" spans="1:112" ht="102" x14ac:dyDescent="0.2">
      <c r="A459" s="7" t="s">
        <v>5987</v>
      </c>
      <c r="B459" s="7" t="s">
        <v>5988</v>
      </c>
      <c r="C459" s="2" t="s">
        <v>5988</v>
      </c>
      <c r="D459" s="1">
        <v>19</v>
      </c>
      <c r="E459" s="2" t="s">
        <v>23</v>
      </c>
      <c r="F459" s="2" t="s">
        <v>1586</v>
      </c>
      <c r="G459" s="2" t="s">
        <v>1418</v>
      </c>
      <c r="H459" s="2" t="s">
        <v>369</v>
      </c>
      <c r="I459" s="2" t="s">
        <v>1392</v>
      </c>
      <c r="J459" s="12" t="s">
        <v>1284</v>
      </c>
      <c r="K459" s="12" t="s">
        <v>1284</v>
      </c>
      <c r="L459" s="12" t="s">
        <v>1284</v>
      </c>
      <c r="M459" s="12" t="s">
        <v>1285</v>
      </c>
      <c r="N459" s="12" t="s">
        <v>5989</v>
      </c>
      <c r="O459" s="12" t="s">
        <v>1394</v>
      </c>
      <c r="P459" s="12" t="s">
        <v>2389</v>
      </c>
      <c r="Q459" s="12" t="s">
        <v>41</v>
      </c>
      <c r="R459" s="12" t="s">
        <v>1287</v>
      </c>
      <c r="S459" s="12" t="s">
        <v>33</v>
      </c>
      <c r="T459" s="12" t="s">
        <v>5990</v>
      </c>
      <c r="U459" s="12" t="s">
        <v>5991</v>
      </c>
      <c r="V459" s="12" t="s">
        <v>5991</v>
      </c>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row>
    <row r="460" spans="1:112" ht="17" x14ac:dyDescent="0.2">
      <c r="A460" s="7" t="s">
        <v>6202</v>
      </c>
      <c r="B460" s="2" t="s">
        <v>6407</v>
      </c>
      <c r="C460" s="2" t="s">
        <v>6407</v>
      </c>
      <c r="D460" s="1">
        <v>19</v>
      </c>
      <c r="E460" s="2" t="s">
        <v>61</v>
      </c>
      <c r="N460" s="12" t="s">
        <v>1493</v>
      </c>
    </row>
    <row r="461" spans="1:112" ht="51" x14ac:dyDescent="0.2">
      <c r="A461" s="7" t="s">
        <v>6220</v>
      </c>
      <c r="B461" s="2" t="s">
        <v>6425</v>
      </c>
      <c r="C461" s="2" t="s">
        <v>6425</v>
      </c>
      <c r="D461" s="1">
        <v>19</v>
      </c>
      <c r="E461" s="2" t="s">
        <v>61</v>
      </c>
      <c r="H461" s="2" t="s">
        <v>680</v>
      </c>
      <c r="I461" s="2" t="s">
        <v>6760</v>
      </c>
      <c r="N461" s="12" t="s">
        <v>6588</v>
      </c>
    </row>
    <row r="462" spans="1:112" ht="17" x14ac:dyDescent="0.2">
      <c r="A462" s="7" t="s">
        <v>6228</v>
      </c>
      <c r="B462" s="2" t="s">
        <v>6433</v>
      </c>
      <c r="C462" s="2" t="s">
        <v>6433</v>
      </c>
      <c r="D462" s="1">
        <v>19</v>
      </c>
      <c r="E462" s="2" t="s">
        <v>61</v>
      </c>
      <c r="N462" s="12" t="s">
        <v>6594</v>
      </c>
    </row>
    <row r="463" spans="1:112" ht="136" x14ac:dyDescent="0.2">
      <c r="A463" s="7" t="s">
        <v>6238</v>
      </c>
      <c r="B463" s="2" t="s">
        <v>6442</v>
      </c>
      <c r="C463" s="2" t="s">
        <v>6442</v>
      </c>
      <c r="D463" s="1">
        <v>19</v>
      </c>
      <c r="E463" s="2" t="s">
        <v>23</v>
      </c>
      <c r="F463" s="2" t="s">
        <v>1098</v>
      </c>
      <c r="G463" s="2" t="s">
        <v>1418</v>
      </c>
      <c r="H463" s="2" t="s">
        <v>538</v>
      </c>
      <c r="I463" s="2" t="s">
        <v>1549</v>
      </c>
      <c r="N463" s="12" t="s">
        <v>1550</v>
      </c>
    </row>
    <row r="464" spans="1:112" ht="34" x14ac:dyDescent="0.2">
      <c r="A464" s="7" t="s">
        <v>6291</v>
      </c>
      <c r="B464" s="2" t="s">
        <v>6497</v>
      </c>
      <c r="C464" s="2" t="s">
        <v>6497</v>
      </c>
      <c r="D464" s="1">
        <v>19</v>
      </c>
      <c r="E464" s="2" t="s">
        <v>61</v>
      </c>
      <c r="F464" s="2" t="s">
        <v>6786</v>
      </c>
      <c r="N464" s="12" t="s">
        <v>6625</v>
      </c>
    </row>
    <row r="465" spans="1:29" ht="34" x14ac:dyDescent="0.2">
      <c r="A465" s="7" t="s">
        <v>6292</v>
      </c>
      <c r="B465" s="2" t="s">
        <v>6498</v>
      </c>
      <c r="C465" s="2" t="s">
        <v>6498</v>
      </c>
      <c r="D465" s="1">
        <v>19</v>
      </c>
      <c r="E465" s="2" t="s">
        <v>61</v>
      </c>
      <c r="F465" s="2" t="s">
        <v>1577</v>
      </c>
      <c r="G465" s="2" t="s">
        <v>1418</v>
      </c>
      <c r="N465" s="12" t="s">
        <v>6626</v>
      </c>
    </row>
    <row r="466" spans="1:29" ht="51" x14ac:dyDescent="0.2">
      <c r="A466" s="7" t="s">
        <v>6293</v>
      </c>
      <c r="B466" s="2" t="s">
        <v>6499</v>
      </c>
      <c r="C466" s="2" t="s">
        <v>6499</v>
      </c>
      <c r="D466" s="1">
        <v>19</v>
      </c>
      <c r="E466" s="2" t="s">
        <v>61</v>
      </c>
      <c r="F466" s="2" t="s">
        <v>1577</v>
      </c>
      <c r="G466" s="2" t="s">
        <v>1418</v>
      </c>
      <c r="N466" s="12" t="s">
        <v>6627</v>
      </c>
    </row>
    <row r="467" spans="1:29" ht="34" x14ac:dyDescent="0.2">
      <c r="A467" s="7" t="s">
        <v>6294</v>
      </c>
      <c r="B467" s="2" t="s">
        <v>6500</v>
      </c>
      <c r="C467" s="2" t="s">
        <v>6500</v>
      </c>
      <c r="D467" s="1">
        <v>19</v>
      </c>
      <c r="E467" s="2" t="s">
        <v>61</v>
      </c>
      <c r="F467" s="2" t="s">
        <v>1577</v>
      </c>
      <c r="G467" s="2" t="s">
        <v>1418</v>
      </c>
      <c r="N467" s="12" t="s">
        <v>6628</v>
      </c>
    </row>
    <row r="468" spans="1:29" ht="34" x14ac:dyDescent="0.2">
      <c r="A468" s="7" t="s">
        <v>6303</v>
      </c>
      <c r="B468" s="2" t="s">
        <v>6509</v>
      </c>
      <c r="C468" s="2" t="s">
        <v>6509</v>
      </c>
      <c r="D468" s="1">
        <v>19</v>
      </c>
      <c r="E468" s="2" t="s">
        <v>61</v>
      </c>
      <c r="F468" s="2" t="s">
        <v>1577</v>
      </c>
      <c r="G468" s="2" t="s">
        <v>1418</v>
      </c>
      <c r="N468" s="12" t="s">
        <v>6637</v>
      </c>
    </row>
    <row r="469" spans="1:29" ht="34" x14ac:dyDescent="0.2">
      <c r="A469" s="7" t="s">
        <v>6304</v>
      </c>
      <c r="B469" s="2" t="s">
        <v>6510</v>
      </c>
      <c r="C469" s="2" t="s">
        <v>6510</v>
      </c>
      <c r="D469" s="1">
        <v>19</v>
      </c>
      <c r="E469" s="2" t="s">
        <v>61</v>
      </c>
      <c r="F469" s="2" t="s">
        <v>1577</v>
      </c>
      <c r="G469" s="2" t="s">
        <v>1418</v>
      </c>
      <c r="N469" s="12" t="s">
        <v>6638</v>
      </c>
    </row>
    <row r="470" spans="1:29" ht="102" x14ac:dyDescent="0.2">
      <c r="A470" s="7" t="s">
        <v>6313</v>
      </c>
      <c r="B470" s="2" t="s">
        <v>6519</v>
      </c>
      <c r="C470" s="2" t="s">
        <v>6519</v>
      </c>
      <c r="D470" s="1">
        <v>19</v>
      </c>
      <c r="E470" s="2" t="s">
        <v>61</v>
      </c>
      <c r="F470" s="2" t="s">
        <v>1586</v>
      </c>
      <c r="G470" s="2" t="s">
        <v>1418</v>
      </c>
      <c r="H470" s="2" t="s">
        <v>369</v>
      </c>
      <c r="I470" s="2" t="s">
        <v>1392</v>
      </c>
      <c r="N470" s="12" t="s">
        <v>6646</v>
      </c>
    </row>
    <row r="471" spans="1:29" ht="102" x14ac:dyDescent="0.2">
      <c r="A471" s="7" t="s">
        <v>6320</v>
      </c>
      <c r="B471" s="2" t="s">
        <v>6526</v>
      </c>
      <c r="C471" s="2" t="s">
        <v>6526</v>
      </c>
      <c r="D471" s="1">
        <v>19</v>
      </c>
      <c r="E471" s="2" t="s">
        <v>61</v>
      </c>
      <c r="F471" s="2" t="s">
        <v>1586</v>
      </c>
      <c r="G471" s="2" t="s">
        <v>1418</v>
      </c>
      <c r="H471" s="2" t="s">
        <v>369</v>
      </c>
      <c r="I471" s="2" t="s">
        <v>1392</v>
      </c>
      <c r="N471" s="12" t="s">
        <v>6653</v>
      </c>
    </row>
    <row r="472" spans="1:29" ht="34" x14ac:dyDescent="0.2">
      <c r="A472" s="7" t="s">
        <v>6323</v>
      </c>
      <c r="B472" s="2" t="s">
        <v>6529</v>
      </c>
      <c r="C472" s="2" t="s">
        <v>6529</v>
      </c>
      <c r="D472" s="1">
        <v>19</v>
      </c>
      <c r="E472" s="2" t="s">
        <v>61</v>
      </c>
      <c r="N472" s="12" t="s">
        <v>6589</v>
      </c>
    </row>
    <row r="473" spans="1:29" ht="34" x14ac:dyDescent="0.2">
      <c r="A473" s="7" t="s">
        <v>6324</v>
      </c>
      <c r="B473" s="2" t="s">
        <v>6530</v>
      </c>
      <c r="C473" s="2" t="s">
        <v>6530</v>
      </c>
      <c r="D473" s="1">
        <v>19</v>
      </c>
      <c r="E473" s="2" t="s">
        <v>61</v>
      </c>
      <c r="N473" s="12" t="s">
        <v>6589</v>
      </c>
    </row>
    <row r="474" spans="1:29" ht="85" x14ac:dyDescent="0.2">
      <c r="A474" s="7" t="s">
        <v>6329</v>
      </c>
      <c r="B474" s="2" t="s">
        <v>6535</v>
      </c>
      <c r="C474" s="2" t="s">
        <v>6535</v>
      </c>
      <c r="D474" s="1">
        <v>19</v>
      </c>
      <c r="E474" s="2" t="s">
        <v>61</v>
      </c>
      <c r="F474" s="2" t="s">
        <v>6796</v>
      </c>
      <c r="I474" s="2" t="s">
        <v>6797</v>
      </c>
      <c r="N474" s="12" t="s">
        <v>3577</v>
      </c>
    </row>
    <row r="475" spans="1:29" ht="119" x14ac:dyDescent="0.2">
      <c r="A475" s="2" t="s">
        <v>1598</v>
      </c>
      <c r="B475" s="2" t="s">
        <v>1599</v>
      </c>
      <c r="C475" s="2" t="s">
        <v>1599</v>
      </c>
      <c r="D475" s="1">
        <v>10</v>
      </c>
      <c r="E475" s="2" t="s">
        <v>23</v>
      </c>
      <c r="G475" s="2" t="s">
        <v>1194</v>
      </c>
      <c r="H475" s="2" t="s">
        <v>1418</v>
      </c>
      <c r="I475" s="2" t="s">
        <v>1600</v>
      </c>
      <c r="J475" s="2" t="s">
        <v>27</v>
      </c>
      <c r="K475" s="2" t="s">
        <v>48</v>
      </c>
      <c r="L475" s="2" t="s">
        <v>1601</v>
      </c>
      <c r="M475" s="2" t="s">
        <v>1602</v>
      </c>
      <c r="N475" s="2" t="s">
        <v>1603</v>
      </c>
      <c r="O475" s="2" t="s">
        <v>183</v>
      </c>
      <c r="P475" s="2" t="s">
        <v>1043</v>
      </c>
      <c r="Q475" s="2" t="s">
        <v>41</v>
      </c>
      <c r="R475" s="2" t="s">
        <v>32</v>
      </c>
      <c r="S475" s="2" t="s">
        <v>33</v>
      </c>
      <c r="T475" s="2" t="s">
        <v>1604</v>
      </c>
      <c r="U475" s="2" t="s">
        <v>1605</v>
      </c>
    </row>
    <row r="476" spans="1:29" ht="119" x14ac:dyDescent="0.2">
      <c r="A476" s="2" t="s">
        <v>1606</v>
      </c>
      <c r="B476" s="2" t="s">
        <v>1607</v>
      </c>
      <c r="C476" s="2" t="s">
        <v>1607</v>
      </c>
      <c r="D476" s="1">
        <v>10</v>
      </c>
      <c r="E476" s="2" t="s">
        <v>23</v>
      </c>
      <c r="G476" s="2" t="s">
        <v>1194</v>
      </c>
      <c r="H476" s="2" t="s">
        <v>1418</v>
      </c>
      <c r="I476" s="2" t="s">
        <v>1600</v>
      </c>
      <c r="J476" s="2" t="s">
        <v>27</v>
      </c>
      <c r="K476" s="2" t="s">
        <v>48</v>
      </c>
      <c r="L476" s="2" t="s">
        <v>1601</v>
      </c>
      <c r="M476" s="2" t="s">
        <v>1602</v>
      </c>
      <c r="N476" s="2" t="s">
        <v>1603</v>
      </c>
      <c r="O476" s="2" t="s">
        <v>183</v>
      </c>
      <c r="P476" s="2" t="s">
        <v>1043</v>
      </c>
      <c r="Q476" s="2" t="s">
        <v>199</v>
      </c>
      <c r="R476" s="2" t="s">
        <v>32</v>
      </c>
      <c r="S476" s="2" t="s">
        <v>33</v>
      </c>
      <c r="T476" s="2" t="s">
        <v>1604</v>
      </c>
      <c r="U476" s="2" t="s">
        <v>1605</v>
      </c>
    </row>
    <row r="477" spans="1:29" ht="102" x14ac:dyDescent="0.2">
      <c r="A477" s="2" t="s">
        <v>1608</v>
      </c>
      <c r="B477" s="2" t="s">
        <v>1609</v>
      </c>
      <c r="C477" s="2" t="s">
        <v>1609</v>
      </c>
      <c r="D477" s="1">
        <v>10</v>
      </c>
      <c r="E477" s="2" t="s">
        <v>23</v>
      </c>
      <c r="F477" s="2" t="s">
        <v>1610</v>
      </c>
      <c r="G477" s="2" t="s">
        <v>1194</v>
      </c>
      <c r="H477" s="2" t="s">
        <v>538</v>
      </c>
      <c r="I477" s="2" t="s">
        <v>204</v>
      </c>
      <c r="J477" s="2" t="s">
        <v>144</v>
      </c>
      <c r="K477" s="2" t="s">
        <v>144</v>
      </c>
      <c r="L477" s="2" t="s">
        <v>205</v>
      </c>
      <c r="M477" s="2" t="s">
        <v>206</v>
      </c>
      <c r="N477" s="2" t="s">
        <v>1611</v>
      </c>
      <c r="O477" s="2" t="s">
        <v>146</v>
      </c>
      <c r="P477" s="2" t="s">
        <v>52</v>
      </c>
      <c r="Q477" s="2" t="s">
        <v>41</v>
      </c>
      <c r="R477" s="2" t="s">
        <v>32</v>
      </c>
      <c r="S477" s="2" t="s">
        <v>33</v>
      </c>
      <c r="T477" s="2" t="s">
        <v>1612</v>
      </c>
      <c r="U477" s="2" t="s">
        <v>4157</v>
      </c>
      <c r="V477" s="2" t="s">
        <v>4158</v>
      </c>
      <c r="W477" s="2" t="s">
        <v>4159</v>
      </c>
      <c r="X477" s="2" t="s">
        <v>4160</v>
      </c>
      <c r="Y477" s="2" t="s">
        <v>4161</v>
      </c>
      <c r="Z477" s="2" t="s">
        <v>4162</v>
      </c>
      <c r="AA477" s="2" t="s">
        <v>4163</v>
      </c>
      <c r="AB477" s="2" t="s">
        <v>4164</v>
      </c>
      <c r="AC477" s="2" t="s">
        <v>4165</v>
      </c>
    </row>
    <row r="478" spans="1:29" ht="102" x14ac:dyDescent="0.2">
      <c r="A478" s="2" t="s">
        <v>1613</v>
      </c>
      <c r="B478" s="2" t="s">
        <v>1614</v>
      </c>
      <c r="C478" s="2" t="s">
        <v>1614</v>
      </c>
      <c r="D478" s="1">
        <v>10</v>
      </c>
      <c r="E478" s="2" t="s">
        <v>23</v>
      </c>
      <c r="F478" s="2" t="s">
        <v>1610</v>
      </c>
      <c r="G478" s="2" t="s">
        <v>1194</v>
      </c>
      <c r="H478" s="2" t="s">
        <v>538</v>
      </c>
      <c r="I478" s="2" t="s">
        <v>204</v>
      </c>
      <c r="J478" s="2" t="s">
        <v>144</v>
      </c>
      <c r="K478" s="2" t="s">
        <v>144</v>
      </c>
      <c r="L478" s="2" t="s">
        <v>205</v>
      </c>
      <c r="M478" s="2" t="s">
        <v>206</v>
      </c>
      <c r="N478" s="2" t="s">
        <v>1611</v>
      </c>
      <c r="O478" s="2" t="s">
        <v>146</v>
      </c>
      <c r="P478" s="2" t="s">
        <v>52</v>
      </c>
      <c r="Q478" s="2" t="s">
        <v>199</v>
      </c>
      <c r="R478" s="2" t="s">
        <v>32</v>
      </c>
      <c r="S478" s="2" t="s">
        <v>33</v>
      </c>
      <c r="T478" s="2" t="s">
        <v>1612</v>
      </c>
      <c r="U478" s="2" t="s">
        <v>4157</v>
      </c>
      <c r="V478" s="2" t="s">
        <v>4158</v>
      </c>
      <c r="W478" s="2" t="s">
        <v>4159</v>
      </c>
      <c r="X478" s="2" t="s">
        <v>4160</v>
      </c>
      <c r="Y478" s="2" t="s">
        <v>4161</v>
      </c>
      <c r="Z478" s="2" t="s">
        <v>4162</v>
      </c>
      <c r="AA478" s="2" t="s">
        <v>4163</v>
      </c>
      <c r="AB478" s="2" t="s">
        <v>4164</v>
      </c>
      <c r="AC478" s="2" t="s">
        <v>4165</v>
      </c>
    </row>
    <row r="479" spans="1:29" ht="85" x14ac:dyDescent="0.2">
      <c r="A479" s="2" t="s">
        <v>1615</v>
      </c>
      <c r="B479" s="2" t="s">
        <v>1616</v>
      </c>
      <c r="C479" s="2" t="s">
        <v>1616</v>
      </c>
      <c r="D479" s="1">
        <v>10</v>
      </c>
      <c r="E479" s="2" t="s">
        <v>23</v>
      </c>
      <c r="F479" s="2" t="s">
        <v>1617</v>
      </c>
      <c r="G479" s="2" t="s">
        <v>1194</v>
      </c>
      <c r="H479" s="2" t="s">
        <v>369</v>
      </c>
      <c r="I479" s="2" t="s">
        <v>204</v>
      </c>
      <c r="J479" s="2" t="s">
        <v>144</v>
      </c>
      <c r="K479" s="2" t="s">
        <v>144</v>
      </c>
      <c r="L479" s="2" t="s">
        <v>205</v>
      </c>
      <c r="M479" s="2" t="s">
        <v>206</v>
      </c>
      <c r="N479" s="2" t="s">
        <v>1618</v>
      </c>
      <c r="O479" s="2" t="s">
        <v>146</v>
      </c>
      <c r="P479" s="2" t="s">
        <v>250</v>
      </c>
      <c r="Q479" s="2" t="s">
        <v>41</v>
      </c>
      <c r="R479" s="2" t="s">
        <v>32</v>
      </c>
      <c r="S479" s="2" t="s">
        <v>33</v>
      </c>
      <c r="T479" s="2" t="s">
        <v>872</v>
      </c>
      <c r="U479" s="2" t="s">
        <v>4166</v>
      </c>
      <c r="V479" s="2" t="s">
        <v>4167</v>
      </c>
      <c r="W479" s="2" t="s">
        <v>4168</v>
      </c>
      <c r="X479" s="2" t="s">
        <v>4169</v>
      </c>
    </row>
    <row r="480" spans="1:29" ht="102" x14ac:dyDescent="0.2">
      <c r="A480" s="2" t="s">
        <v>1619</v>
      </c>
      <c r="B480" s="2" t="s">
        <v>1620</v>
      </c>
      <c r="C480" s="2" t="s">
        <v>1620</v>
      </c>
      <c r="D480" s="1">
        <v>10</v>
      </c>
      <c r="E480" s="2" t="s">
        <v>23</v>
      </c>
      <c r="G480" s="2" t="s">
        <v>1194</v>
      </c>
      <c r="I480" s="2" t="s">
        <v>6715</v>
      </c>
      <c r="J480" s="2" t="s">
        <v>144</v>
      </c>
      <c r="K480" s="2" t="s">
        <v>144</v>
      </c>
      <c r="L480" s="2" t="s">
        <v>205</v>
      </c>
      <c r="M480" s="2" t="s">
        <v>206</v>
      </c>
      <c r="N480" s="2" t="s">
        <v>1621</v>
      </c>
      <c r="O480" s="2" t="s">
        <v>146</v>
      </c>
      <c r="P480" s="2" t="s">
        <v>68</v>
      </c>
      <c r="Q480" s="2" t="s">
        <v>41</v>
      </c>
      <c r="R480" s="2" t="s">
        <v>32</v>
      </c>
      <c r="S480" s="2" t="s">
        <v>33</v>
      </c>
      <c r="T480" s="2" t="s">
        <v>1622</v>
      </c>
      <c r="U480" s="2" t="s">
        <v>4170</v>
      </c>
      <c r="V480" s="2" t="s">
        <v>4171</v>
      </c>
    </row>
    <row r="481" spans="1:112" ht="153" x14ac:dyDescent="0.2">
      <c r="A481" s="2" t="s">
        <v>1623</v>
      </c>
      <c r="B481" s="2" t="s">
        <v>1624</v>
      </c>
      <c r="C481" s="2" t="s">
        <v>1624</v>
      </c>
      <c r="D481" s="1">
        <v>10</v>
      </c>
      <c r="E481" s="2" t="s">
        <v>1625</v>
      </c>
      <c r="F481" s="2" t="s">
        <v>1626</v>
      </c>
      <c r="G481" s="2" t="s">
        <v>1194</v>
      </c>
      <c r="H481" s="2" t="s">
        <v>509</v>
      </c>
      <c r="I481" s="2" t="s">
        <v>1627</v>
      </c>
      <c r="J481" s="2" t="s">
        <v>27</v>
      </c>
      <c r="K481" s="2" t="s">
        <v>48</v>
      </c>
      <c r="L481" s="2" t="s">
        <v>1628</v>
      </c>
      <c r="M481" s="2" t="s">
        <v>1629</v>
      </c>
      <c r="N481" s="2" t="s">
        <v>1630</v>
      </c>
      <c r="O481" s="2" t="s">
        <v>1631</v>
      </c>
      <c r="P481" s="2" t="s">
        <v>93</v>
      </c>
      <c r="Q481" s="2" t="s">
        <v>41</v>
      </c>
      <c r="R481" s="2" t="s">
        <v>32</v>
      </c>
      <c r="S481" s="2" t="s">
        <v>33</v>
      </c>
      <c r="T481" s="2" t="s">
        <v>1632</v>
      </c>
      <c r="U481" s="2" t="s">
        <v>292</v>
      </c>
    </row>
    <row r="482" spans="1:112" ht="153" x14ac:dyDescent="0.2">
      <c r="A482" s="2" t="s">
        <v>1633</v>
      </c>
      <c r="B482" s="2" t="s">
        <v>1634</v>
      </c>
      <c r="C482" s="2" t="s">
        <v>1634</v>
      </c>
      <c r="D482" s="1">
        <v>10</v>
      </c>
      <c r="E482" s="2" t="s">
        <v>1625</v>
      </c>
      <c r="F482" s="2" t="s">
        <v>1626</v>
      </c>
      <c r="G482" s="2" t="s">
        <v>1194</v>
      </c>
      <c r="H482" s="2" t="s">
        <v>509</v>
      </c>
      <c r="I482" s="2" t="s">
        <v>1627</v>
      </c>
      <c r="J482" s="2" t="s">
        <v>27</v>
      </c>
      <c r="K482" s="2" t="s">
        <v>48</v>
      </c>
      <c r="L482" s="2" t="s">
        <v>1628</v>
      </c>
      <c r="M482" s="2" t="s">
        <v>1629</v>
      </c>
      <c r="N482" s="2" t="s">
        <v>1635</v>
      </c>
      <c r="O482" s="2" t="s">
        <v>1631</v>
      </c>
      <c r="P482" s="2" t="s">
        <v>165</v>
      </c>
      <c r="Q482" s="2" t="s">
        <v>41</v>
      </c>
      <c r="R482" s="2" t="s">
        <v>32</v>
      </c>
      <c r="S482" s="2" t="s">
        <v>33</v>
      </c>
      <c r="T482" s="2" t="s">
        <v>1636</v>
      </c>
      <c r="U482" s="2" t="s">
        <v>292</v>
      </c>
    </row>
    <row r="483" spans="1:112" ht="153" x14ac:dyDescent="0.2">
      <c r="A483" s="7" t="s">
        <v>5117</v>
      </c>
      <c r="B483" s="7" t="s">
        <v>5118</v>
      </c>
      <c r="C483" s="2" t="s">
        <v>5118</v>
      </c>
      <c r="D483" s="1">
        <v>10</v>
      </c>
      <c r="E483" s="2" t="s">
        <v>1625</v>
      </c>
      <c r="F483" s="2" t="s">
        <v>1626</v>
      </c>
      <c r="G483" s="2" t="s">
        <v>1194</v>
      </c>
      <c r="H483" s="2" t="s">
        <v>509</v>
      </c>
      <c r="I483" s="2" t="s">
        <v>1627</v>
      </c>
      <c r="J483" s="12" t="s">
        <v>27</v>
      </c>
      <c r="K483" s="12" t="s">
        <v>48</v>
      </c>
      <c r="L483" s="12" t="s">
        <v>1628</v>
      </c>
      <c r="M483" s="12" t="s">
        <v>1629</v>
      </c>
      <c r="N483" s="12" t="s">
        <v>1635</v>
      </c>
      <c r="O483" s="12" t="s">
        <v>1631</v>
      </c>
      <c r="P483" s="12" t="s">
        <v>165</v>
      </c>
      <c r="Q483" s="12" t="s">
        <v>199</v>
      </c>
      <c r="R483" s="12" t="s">
        <v>32</v>
      </c>
      <c r="S483" s="12" t="s">
        <v>33</v>
      </c>
      <c r="T483" s="12" t="s">
        <v>1636</v>
      </c>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row>
    <row r="484" spans="1:112" ht="153" x14ac:dyDescent="0.2">
      <c r="A484" s="2" t="s">
        <v>1637</v>
      </c>
      <c r="B484" s="2" t="s">
        <v>1638</v>
      </c>
      <c r="C484" s="2" t="s">
        <v>1638</v>
      </c>
      <c r="D484" s="1">
        <v>10</v>
      </c>
      <c r="E484" s="2" t="s">
        <v>23</v>
      </c>
      <c r="G484" s="2" t="s">
        <v>1194</v>
      </c>
      <c r="H484" s="2" t="s">
        <v>509</v>
      </c>
      <c r="I484" s="2" t="s">
        <v>1627</v>
      </c>
      <c r="J484" s="2" t="s">
        <v>27</v>
      </c>
      <c r="K484" s="2" t="s">
        <v>48</v>
      </c>
      <c r="L484" s="2" t="s">
        <v>1628</v>
      </c>
      <c r="M484" s="2" t="s">
        <v>1629</v>
      </c>
      <c r="N484" s="2" t="s">
        <v>1639</v>
      </c>
      <c r="O484" s="2" t="s">
        <v>159</v>
      </c>
      <c r="P484" s="2" t="s">
        <v>52</v>
      </c>
      <c r="Q484" s="2" t="s">
        <v>41</v>
      </c>
      <c r="R484" s="2" t="s">
        <v>32</v>
      </c>
      <c r="S484" s="2" t="s">
        <v>33</v>
      </c>
      <c r="T484" s="2" t="s">
        <v>1640</v>
      </c>
      <c r="U484" s="2" t="s">
        <v>4172</v>
      </c>
      <c r="V484" s="2" t="s">
        <v>4173</v>
      </c>
    </row>
    <row r="485" spans="1:112" ht="153" x14ac:dyDescent="0.2">
      <c r="A485" s="2" t="s">
        <v>1641</v>
      </c>
      <c r="B485" s="2" t="s">
        <v>1642</v>
      </c>
      <c r="C485" s="2" t="s">
        <v>1642</v>
      </c>
      <c r="D485" s="1">
        <v>10</v>
      </c>
      <c r="E485" s="2" t="s">
        <v>971</v>
      </c>
      <c r="G485" s="2" t="s">
        <v>1194</v>
      </c>
      <c r="H485" s="2" t="s">
        <v>509</v>
      </c>
      <c r="I485" s="2" t="s">
        <v>1627</v>
      </c>
      <c r="J485" s="2" t="s">
        <v>27</v>
      </c>
      <c r="K485" s="2" t="s">
        <v>48</v>
      </c>
      <c r="L485" s="2" t="s">
        <v>1628</v>
      </c>
      <c r="M485" s="2" t="s">
        <v>1629</v>
      </c>
      <c r="N485" s="2" t="s">
        <v>1639</v>
      </c>
      <c r="O485" s="2" t="s">
        <v>159</v>
      </c>
      <c r="P485" s="2" t="s">
        <v>52</v>
      </c>
      <c r="Q485" s="2" t="s">
        <v>199</v>
      </c>
      <c r="R485" s="2" t="s">
        <v>32</v>
      </c>
      <c r="S485" s="2" t="s">
        <v>33</v>
      </c>
      <c r="T485" s="2" t="s">
        <v>1640</v>
      </c>
      <c r="U485" s="2" t="s">
        <v>4172</v>
      </c>
      <c r="V485" s="2" t="s">
        <v>4173</v>
      </c>
    </row>
    <row r="486" spans="1:112" ht="85" x14ac:dyDescent="0.2">
      <c r="A486" s="2" t="s">
        <v>1643</v>
      </c>
      <c r="B486" s="2" t="s">
        <v>1644</v>
      </c>
      <c r="C486" s="2" t="s">
        <v>1644</v>
      </c>
      <c r="D486" s="1">
        <v>10</v>
      </c>
      <c r="E486" s="2" t="s">
        <v>23</v>
      </c>
      <c r="G486" s="2" t="s">
        <v>1645</v>
      </c>
      <c r="H486" s="2" t="s">
        <v>1646</v>
      </c>
      <c r="I486" s="2" t="s">
        <v>102</v>
      </c>
      <c r="J486" s="2" t="s">
        <v>103</v>
      </c>
      <c r="K486" s="2" t="s">
        <v>190</v>
      </c>
      <c r="L486" s="2" t="s">
        <v>226</v>
      </c>
      <c r="M486" s="2" t="s">
        <v>227</v>
      </c>
      <c r="N486" s="2" t="s">
        <v>1647</v>
      </c>
      <c r="O486" s="2" t="s">
        <v>227</v>
      </c>
      <c r="P486" s="2" t="s">
        <v>94</v>
      </c>
      <c r="Q486" s="2" t="s">
        <v>41</v>
      </c>
      <c r="R486" s="2" t="s">
        <v>32</v>
      </c>
      <c r="S486" s="2" t="s">
        <v>33</v>
      </c>
      <c r="T486" s="2" t="s">
        <v>1648</v>
      </c>
      <c r="U486" s="2" t="s">
        <v>4174</v>
      </c>
      <c r="V486" s="2" t="s">
        <v>4175</v>
      </c>
    </row>
    <row r="487" spans="1:112" ht="85" x14ac:dyDescent="0.2">
      <c r="A487" s="2" t="s">
        <v>1649</v>
      </c>
      <c r="B487" s="2" t="s">
        <v>1650</v>
      </c>
      <c r="C487" s="2" t="s">
        <v>1650</v>
      </c>
      <c r="D487" s="1">
        <v>10</v>
      </c>
      <c r="E487" s="2" t="s">
        <v>23</v>
      </c>
      <c r="G487" s="2" t="s">
        <v>1645</v>
      </c>
      <c r="H487" s="2" t="s">
        <v>1646</v>
      </c>
      <c r="I487" s="2" t="s">
        <v>102</v>
      </c>
      <c r="J487" s="2" t="s">
        <v>103</v>
      </c>
      <c r="K487" s="2" t="s">
        <v>190</v>
      </c>
      <c r="L487" s="2" t="s">
        <v>226</v>
      </c>
      <c r="M487" s="2" t="s">
        <v>227</v>
      </c>
      <c r="N487" s="2" t="s">
        <v>1651</v>
      </c>
      <c r="O487" s="2" t="s">
        <v>227</v>
      </c>
      <c r="P487" s="2" t="s">
        <v>159</v>
      </c>
      <c r="Q487" s="2" t="s">
        <v>41</v>
      </c>
      <c r="R487" s="2" t="s">
        <v>32</v>
      </c>
      <c r="S487" s="2" t="s">
        <v>33</v>
      </c>
      <c r="T487" s="2" t="s">
        <v>1652</v>
      </c>
      <c r="U487" s="2" t="s">
        <v>4176</v>
      </c>
      <c r="V487" s="2" t="s">
        <v>4177</v>
      </c>
    </row>
    <row r="488" spans="1:112" ht="85" x14ac:dyDescent="0.2">
      <c r="A488" s="2" t="s">
        <v>1653</v>
      </c>
      <c r="B488" s="2" t="s">
        <v>1654</v>
      </c>
      <c r="C488" s="2" t="s">
        <v>1654</v>
      </c>
      <c r="D488" s="1">
        <v>10</v>
      </c>
      <c r="E488" s="2" t="s">
        <v>23</v>
      </c>
      <c r="G488" s="2" t="s">
        <v>1645</v>
      </c>
      <c r="H488" s="2" t="s">
        <v>1646</v>
      </c>
      <c r="I488" s="2" t="s">
        <v>102</v>
      </c>
      <c r="J488" s="2" t="s">
        <v>103</v>
      </c>
      <c r="K488" s="2" t="s">
        <v>190</v>
      </c>
      <c r="L488" s="2" t="s">
        <v>226</v>
      </c>
      <c r="M488" s="2" t="s">
        <v>227</v>
      </c>
      <c r="N488" s="2" t="s">
        <v>1651</v>
      </c>
      <c r="O488" s="2" t="s">
        <v>227</v>
      </c>
      <c r="P488" s="2" t="s">
        <v>159</v>
      </c>
      <c r="Q488" s="2" t="s">
        <v>199</v>
      </c>
      <c r="R488" s="2" t="s">
        <v>32</v>
      </c>
      <c r="S488" s="2" t="s">
        <v>33</v>
      </c>
      <c r="T488" s="2" t="s">
        <v>1652</v>
      </c>
      <c r="U488" s="2" t="s">
        <v>4176</v>
      </c>
      <c r="V488" s="2" t="s">
        <v>4177</v>
      </c>
    </row>
    <row r="489" spans="1:112" ht="85" x14ac:dyDescent="0.2">
      <c r="A489" s="2" t="s">
        <v>1655</v>
      </c>
      <c r="B489" s="2" t="s">
        <v>1656</v>
      </c>
      <c r="C489" s="2" t="s">
        <v>1656</v>
      </c>
      <c r="D489" s="1">
        <v>10</v>
      </c>
      <c r="E489" s="2" t="s">
        <v>23</v>
      </c>
      <c r="G489" s="2" t="s">
        <v>1645</v>
      </c>
      <c r="H489" s="2" t="s">
        <v>1646</v>
      </c>
      <c r="I489" s="2" t="s">
        <v>102</v>
      </c>
      <c r="J489" s="2" t="s">
        <v>103</v>
      </c>
      <c r="K489" s="2" t="s">
        <v>190</v>
      </c>
      <c r="L489" s="2" t="s">
        <v>226</v>
      </c>
      <c r="M489" s="2" t="s">
        <v>227</v>
      </c>
      <c r="N489" s="2" t="s">
        <v>1657</v>
      </c>
      <c r="O489" s="2" t="s">
        <v>227</v>
      </c>
      <c r="P489" s="2" t="s">
        <v>109</v>
      </c>
      <c r="Q489" s="2" t="s">
        <v>41</v>
      </c>
      <c r="R489" s="2" t="s">
        <v>32</v>
      </c>
      <c r="S489" s="2" t="s">
        <v>33</v>
      </c>
      <c r="T489" s="2" t="s">
        <v>230</v>
      </c>
      <c r="U489" s="2" t="s">
        <v>1658</v>
      </c>
    </row>
    <row r="490" spans="1:112" ht="85" x14ac:dyDescent="0.2">
      <c r="A490" s="7" t="s">
        <v>5156</v>
      </c>
      <c r="B490" s="7" t="s">
        <v>5157</v>
      </c>
      <c r="C490" s="2" t="s">
        <v>5157</v>
      </c>
      <c r="D490" s="1">
        <v>10</v>
      </c>
      <c r="E490" s="2" t="s">
        <v>23</v>
      </c>
      <c r="G490" s="2" t="s">
        <v>1645</v>
      </c>
      <c r="H490" s="2" t="s">
        <v>1646</v>
      </c>
      <c r="I490" s="2" t="s">
        <v>102</v>
      </c>
      <c r="J490" s="12" t="s">
        <v>103</v>
      </c>
      <c r="K490" s="12" t="s">
        <v>190</v>
      </c>
      <c r="L490" s="12" t="s">
        <v>226</v>
      </c>
      <c r="M490" s="12" t="s">
        <v>227</v>
      </c>
      <c r="N490" s="12" t="s">
        <v>5158</v>
      </c>
      <c r="O490" s="12" t="s">
        <v>227</v>
      </c>
      <c r="P490" s="12" t="s">
        <v>123</v>
      </c>
      <c r="Q490" s="12" t="s">
        <v>41</v>
      </c>
      <c r="R490" s="12" t="s">
        <v>32</v>
      </c>
      <c r="S490" s="12" t="s">
        <v>33</v>
      </c>
      <c r="T490" s="12" t="s">
        <v>230</v>
      </c>
      <c r="U490" s="12" t="s">
        <v>5159</v>
      </c>
      <c r="V490" s="12" t="s">
        <v>5159</v>
      </c>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row>
    <row r="491" spans="1:112" ht="85" x14ac:dyDescent="0.2">
      <c r="A491" s="2" t="s">
        <v>1659</v>
      </c>
      <c r="B491" s="2" t="s">
        <v>1660</v>
      </c>
      <c r="C491" s="2" t="s">
        <v>1660</v>
      </c>
      <c r="D491" s="1">
        <v>10</v>
      </c>
      <c r="E491" s="2" t="s">
        <v>23</v>
      </c>
      <c r="G491" s="2" t="s">
        <v>1645</v>
      </c>
      <c r="H491" s="2" t="s">
        <v>1646</v>
      </c>
      <c r="I491" s="2" t="s">
        <v>102</v>
      </c>
      <c r="J491" s="2" t="s">
        <v>103</v>
      </c>
      <c r="K491" s="2" t="s">
        <v>190</v>
      </c>
      <c r="L491" s="2" t="s">
        <v>887</v>
      </c>
      <c r="M491" s="2" t="s">
        <v>888</v>
      </c>
      <c r="N491" s="2" t="s">
        <v>1661</v>
      </c>
      <c r="O491" s="2" t="s">
        <v>564</v>
      </c>
      <c r="P491" s="2" t="s">
        <v>94</v>
      </c>
      <c r="Q491" s="2" t="s">
        <v>41</v>
      </c>
      <c r="R491" s="2" t="s">
        <v>32</v>
      </c>
      <c r="S491" s="2" t="s">
        <v>33</v>
      </c>
      <c r="T491" s="2" t="s">
        <v>1662</v>
      </c>
      <c r="U491" s="2" t="s">
        <v>4178</v>
      </c>
      <c r="V491" s="2" t="s">
        <v>4179</v>
      </c>
    </row>
    <row r="492" spans="1:112" ht="85" x14ac:dyDescent="0.2">
      <c r="A492" s="2" t="s">
        <v>1663</v>
      </c>
      <c r="B492" s="2" t="s">
        <v>1664</v>
      </c>
      <c r="C492" s="2" t="s">
        <v>1664</v>
      </c>
      <c r="D492" s="1">
        <v>10</v>
      </c>
      <c r="E492" s="2" t="s">
        <v>23</v>
      </c>
      <c r="G492" s="2" t="s">
        <v>1645</v>
      </c>
      <c r="H492" s="2" t="s">
        <v>1646</v>
      </c>
      <c r="I492" s="2" t="s">
        <v>102</v>
      </c>
      <c r="J492" s="2" t="s">
        <v>103</v>
      </c>
      <c r="K492" s="2" t="s">
        <v>190</v>
      </c>
      <c r="L492" s="2" t="s">
        <v>887</v>
      </c>
      <c r="M492" s="2" t="s">
        <v>888</v>
      </c>
      <c r="N492" s="2" t="s">
        <v>1665</v>
      </c>
      <c r="O492" s="2" t="s">
        <v>564</v>
      </c>
      <c r="P492" s="2" t="s">
        <v>159</v>
      </c>
      <c r="Q492" s="2" t="s">
        <v>41</v>
      </c>
      <c r="R492" s="2" t="s">
        <v>32</v>
      </c>
      <c r="S492" s="2" t="s">
        <v>33</v>
      </c>
      <c r="T492" s="2" t="s">
        <v>1666</v>
      </c>
      <c r="U492" s="2" t="s">
        <v>4180</v>
      </c>
      <c r="V492" s="2" t="s">
        <v>4181</v>
      </c>
    </row>
    <row r="493" spans="1:112" ht="85" x14ac:dyDescent="0.2">
      <c r="A493" s="7" t="s">
        <v>5167</v>
      </c>
      <c r="B493" s="7" t="s">
        <v>5168</v>
      </c>
      <c r="C493" s="2" t="s">
        <v>5168</v>
      </c>
      <c r="D493" s="1">
        <v>10</v>
      </c>
      <c r="E493" s="2" t="s">
        <v>23</v>
      </c>
      <c r="G493" s="2" t="s">
        <v>1645</v>
      </c>
      <c r="H493" s="2" t="s">
        <v>1646</v>
      </c>
      <c r="I493" s="2" t="s">
        <v>102</v>
      </c>
      <c r="J493" s="12" t="s">
        <v>103</v>
      </c>
      <c r="K493" s="12" t="s">
        <v>190</v>
      </c>
      <c r="L493" s="12" t="s">
        <v>887</v>
      </c>
      <c r="M493" s="12" t="s">
        <v>888</v>
      </c>
      <c r="N493" s="12" t="s">
        <v>1665</v>
      </c>
      <c r="O493" s="12" t="s">
        <v>564</v>
      </c>
      <c r="P493" s="12" t="s">
        <v>159</v>
      </c>
      <c r="Q493" s="12" t="s">
        <v>199</v>
      </c>
      <c r="R493" s="12" t="s">
        <v>32</v>
      </c>
      <c r="S493" s="12" t="s">
        <v>33</v>
      </c>
      <c r="T493" s="12" t="s">
        <v>1666</v>
      </c>
      <c r="U493" s="12" t="s">
        <v>5169</v>
      </c>
      <c r="V493" s="12" t="s">
        <v>5169</v>
      </c>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row>
    <row r="494" spans="1:112" ht="85" x14ac:dyDescent="0.2">
      <c r="A494" s="7" t="s">
        <v>5172</v>
      </c>
      <c r="B494" s="7" t="s">
        <v>5173</v>
      </c>
      <c r="C494" s="2" t="s">
        <v>5173</v>
      </c>
      <c r="D494" s="1">
        <v>10</v>
      </c>
      <c r="E494" s="2" t="s">
        <v>23</v>
      </c>
      <c r="G494" s="2" t="s">
        <v>1645</v>
      </c>
      <c r="H494" s="2" t="s">
        <v>1646</v>
      </c>
      <c r="I494" s="2" t="s">
        <v>102</v>
      </c>
      <c r="J494" s="12" t="s">
        <v>103</v>
      </c>
      <c r="K494" s="12" t="s">
        <v>190</v>
      </c>
      <c r="L494" s="12" t="s">
        <v>887</v>
      </c>
      <c r="M494" s="12" t="s">
        <v>888</v>
      </c>
      <c r="N494" s="12" t="s">
        <v>5174</v>
      </c>
      <c r="O494" s="12" t="s">
        <v>564</v>
      </c>
      <c r="P494" s="12" t="s">
        <v>109</v>
      </c>
      <c r="Q494" s="12" t="s">
        <v>41</v>
      </c>
      <c r="R494" s="12" t="s">
        <v>32</v>
      </c>
      <c r="S494" s="12" t="s">
        <v>33</v>
      </c>
      <c r="T494" s="12" t="s">
        <v>890</v>
      </c>
      <c r="U494" s="12" t="s">
        <v>5175</v>
      </c>
      <c r="V494" s="12" t="s">
        <v>5175</v>
      </c>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row>
    <row r="495" spans="1:112" ht="85" x14ac:dyDescent="0.2">
      <c r="A495" s="2" t="s">
        <v>1667</v>
      </c>
      <c r="B495" s="2" t="s">
        <v>1668</v>
      </c>
      <c r="C495" s="2" t="s">
        <v>1668</v>
      </c>
      <c r="D495" s="1">
        <v>10</v>
      </c>
      <c r="E495" s="2" t="s">
        <v>23</v>
      </c>
      <c r="G495" s="2" t="s">
        <v>1645</v>
      </c>
      <c r="H495" s="2" t="s">
        <v>1646</v>
      </c>
      <c r="I495" s="2" t="s">
        <v>102</v>
      </c>
      <c r="J495" s="2" t="s">
        <v>103</v>
      </c>
      <c r="K495" s="2" t="s">
        <v>190</v>
      </c>
      <c r="L495" s="2" t="s">
        <v>887</v>
      </c>
      <c r="M495" s="2" t="s">
        <v>888</v>
      </c>
      <c r="N495" s="2" t="s">
        <v>1669</v>
      </c>
      <c r="O495" s="2" t="s">
        <v>564</v>
      </c>
      <c r="P495" s="2" t="s">
        <v>123</v>
      </c>
      <c r="Q495" s="2" t="s">
        <v>41</v>
      </c>
      <c r="R495" s="2" t="s">
        <v>32</v>
      </c>
      <c r="S495" s="2" t="s">
        <v>33</v>
      </c>
      <c r="T495" s="2" t="s">
        <v>890</v>
      </c>
      <c r="U495" s="2" t="s">
        <v>1670</v>
      </c>
    </row>
    <row r="496" spans="1:112" ht="85" x14ac:dyDescent="0.2">
      <c r="A496" s="7" t="s">
        <v>5176</v>
      </c>
      <c r="B496" s="7" t="s">
        <v>5177</v>
      </c>
      <c r="C496" s="2" t="s">
        <v>5177</v>
      </c>
      <c r="D496" s="1">
        <v>10</v>
      </c>
      <c r="E496" s="2" t="s">
        <v>23</v>
      </c>
      <c r="G496" s="2" t="s">
        <v>1645</v>
      </c>
      <c r="H496" s="2" t="s">
        <v>1646</v>
      </c>
      <c r="I496" s="2" t="s">
        <v>102</v>
      </c>
      <c r="J496" s="12" t="s">
        <v>103</v>
      </c>
      <c r="K496" s="12" t="s">
        <v>190</v>
      </c>
      <c r="L496" s="12" t="s">
        <v>887</v>
      </c>
      <c r="M496" s="12" t="s">
        <v>888</v>
      </c>
      <c r="N496" s="12" t="s">
        <v>1669</v>
      </c>
      <c r="O496" s="12" t="s">
        <v>564</v>
      </c>
      <c r="P496" s="12" t="s">
        <v>123</v>
      </c>
      <c r="Q496" s="12" t="s">
        <v>199</v>
      </c>
      <c r="R496" s="12" t="s">
        <v>32</v>
      </c>
      <c r="S496" s="12" t="s">
        <v>33</v>
      </c>
      <c r="T496" s="12" t="s">
        <v>890</v>
      </c>
      <c r="U496" s="12" t="s">
        <v>1670</v>
      </c>
      <c r="V496" s="12" t="s">
        <v>1670</v>
      </c>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row>
    <row r="497" spans="1:112" ht="85" x14ac:dyDescent="0.2">
      <c r="A497" s="2" t="s">
        <v>1671</v>
      </c>
      <c r="B497" s="2" t="s">
        <v>1672</v>
      </c>
      <c r="C497" s="2" t="s">
        <v>1672</v>
      </c>
      <c r="D497" s="1">
        <v>10</v>
      </c>
      <c r="E497" s="2" t="s">
        <v>23</v>
      </c>
      <c r="G497" s="2" t="s">
        <v>1645</v>
      </c>
      <c r="H497" s="2" t="s">
        <v>370</v>
      </c>
      <c r="I497" s="2" t="s">
        <v>102</v>
      </c>
      <c r="J497" s="2" t="s">
        <v>103</v>
      </c>
      <c r="K497" s="2" t="s">
        <v>190</v>
      </c>
      <c r="L497" s="2" t="s">
        <v>887</v>
      </c>
      <c r="M497" s="2" t="s">
        <v>888</v>
      </c>
      <c r="N497" s="2" t="s">
        <v>1673</v>
      </c>
      <c r="O497" s="2" t="s">
        <v>564</v>
      </c>
      <c r="P497" s="2" t="s">
        <v>115</v>
      </c>
      <c r="Q497" s="2" t="s">
        <v>41</v>
      </c>
      <c r="R497" s="2" t="s">
        <v>32</v>
      </c>
      <c r="S497" s="2" t="s">
        <v>33</v>
      </c>
      <c r="T497" s="2" t="s">
        <v>914</v>
      </c>
      <c r="U497" s="2" t="s">
        <v>4182</v>
      </c>
      <c r="V497" s="2" t="s">
        <v>4183</v>
      </c>
    </row>
    <row r="498" spans="1:112" ht="85" x14ac:dyDescent="0.2">
      <c r="A498" s="2" t="s">
        <v>1674</v>
      </c>
      <c r="B498" s="2" t="s">
        <v>1675</v>
      </c>
      <c r="C498" s="2" t="s">
        <v>1675</v>
      </c>
      <c r="D498" s="1">
        <v>10</v>
      </c>
      <c r="E498" s="2" t="s">
        <v>23</v>
      </c>
      <c r="G498" s="2" t="s">
        <v>1645</v>
      </c>
      <c r="H498" s="2" t="s">
        <v>370</v>
      </c>
      <c r="I498" s="2" t="s">
        <v>102</v>
      </c>
      <c r="J498" s="2" t="s">
        <v>103</v>
      </c>
      <c r="K498" s="2" t="s">
        <v>190</v>
      </c>
      <c r="L498" s="2" t="s">
        <v>887</v>
      </c>
      <c r="M498" s="2" t="s">
        <v>888</v>
      </c>
      <c r="N498" s="2" t="s">
        <v>1676</v>
      </c>
      <c r="O498" s="2" t="s">
        <v>564</v>
      </c>
      <c r="P498" s="2" t="s">
        <v>108</v>
      </c>
      <c r="Q498" s="2" t="s">
        <v>41</v>
      </c>
      <c r="R498" s="2" t="s">
        <v>32</v>
      </c>
      <c r="S498" s="2" t="s">
        <v>33</v>
      </c>
      <c r="T498" s="2" t="s">
        <v>914</v>
      </c>
      <c r="U498" s="2" t="s">
        <v>1677</v>
      </c>
    </row>
    <row r="499" spans="1:112" ht="85" x14ac:dyDescent="0.2">
      <c r="A499" s="7" t="s">
        <v>5178</v>
      </c>
      <c r="B499" s="7" t="s">
        <v>5179</v>
      </c>
      <c r="C499" s="2" t="s">
        <v>5179</v>
      </c>
      <c r="D499" s="1">
        <v>10</v>
      </c>
      <c r="E499" s="2" t="s">
        <v>23</v>
      </c>
      <c r="G499" s="2" t="s">
        <v>1645</v>
      </c>
      <c r="H499" s="2" t="s">
        <v>370</v>
      </c>
      <c r="I499" s="2" t="s">
        <v>102</v>
      </c>
      <c r="J499" s="12" t="s">
        <v>103</v>
      </c>
      <c r="K499" s="12" t="s">
        <v>190</v>
      </c>
      <c r="L499" s="12" t="s">
        <v>887</v>
      </c>
      <c r="M499" s="12" t="s">
        <v>888</v>
      </c>
      <c r="N499" s="12" t="s">
        <v>1676</v>
      </c>
      <c r="O499" s="12" t="s">
        <v>564</v>
      </c>
      <c r="P499" s="12" t="s">
        <v>108</v>
      </c>
      <c r="Q499" s="12" t="s">
        <v>199</v>
      </c>
      <c r="R499" s="12" t="s">
        <v>32</v>
      </c>
      <c r="S499" s="12" t="s">
        <v>33</v>
      </c>
      <c r="T499" s="12" t="s">
        <v>914</v>
      </c>
      <c r="U499" s="12" t="s">
        <v>1677</v>
      </c>
      <c r="V499" s="12" t="s">
        <v>1677</v>
      </c>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row>
    <row r="500" spans="1:112" ht="85" x14ac:dyDescent="0.2">
      <c r="A500" s="2" t="s">
        <v>1678</v>
      </c>
      <c r="B500" s="2" t="s">
        <v>1679</v>
      </c>
      <c r="C500" s="2" t="s">
        <v>1679</v>
      </c>
      <c r="D500" s="1">
        <v>10</v>
      </c>
      <c r="E500" s="2" t="s">
        <v>23</v>
      </c>
      <c r="G500" s="2" t="s">
        <v>1645</v>
      </c>
      <c r="H500" s="2" t="s">
        <v>370</v>
      </c>
      <c r="I500" s="2" t="s">
        <v>102</v>
      </c>
      <c r="J500" s="2" t="s">
        <v>103</v>
      </c>
      <c r="K500" s="2" t="s">
        <v>190</v>
      </c>
      <c r="L500" s="2" t="s">
        <v>887</v>
      </c>
      <c r="M500" s="2" t="s">
        <v>888</v>
      </c>
      <c r="N500" s="2" t="s">
        <v>1680</v>
      </c>
      <c r="O500" s="2" t="s">
        <v>564</v>
      </c>
      <c r="P500" s="2" t="s">
        <v>441</v>
      </c>
      <c r="Q500" s="2" t="s">
        <v>41</v>
      </c>
      <c r="R500" s="2" t="s">
        <v>32</v>
      </c>
      <c r="S500" s="2" t="s">
        <v>33</v>
      </c>
      <c r="T500" s="2" t="s">
        <v>927</v>
      </c>
      <c r="U500" s="2" t="s">
        <v>4184</v>
      </c>
      <c r="V500" s="2" t="s">
        <v>4185</v>
      </c>
    </row>
    <row r="501" spans="1:112" ht="85" x14ac:dyDescent="0.2">
      <c r="A501" s="2" t="s">
        <v>1681</v>
      </c>
      <c r="B501" s="2" t="s">
        <v>1682</v>
      </c>
      <c r="C501" s="2" t="s">
        <v>1682</v>
      </c>
      <c r="D501" s="1">
        <v>10</v>
      </c>
      <c r="E501" s="2" t="s">
        <v>23</v>
      </c>
      <c r="G501" s="2" t="s">
        <v>1645</v>
      </c>
      <c r="H501" s="2" t="s">
        <v>370</v>
      </c>
      <c r="I501" s="2" t="s">
        <v>102</v>
      </c>
      <c r="J501" s="2" t="s">
        <v>103</v>
      </c>
      <c r="K501" s="2" t="s">
        <v>190</v>
      </c>
      <c r="L501" s="2" t="s">
        <v>887</v>
      </c>
      <c r="M501" s="2" t="s">
        <v>888</v>
      </c>
      <c r="N501" s="2" t="s">
        <v>1680</v>
      </c>
      <c r="O501" s="2" t="s">
        <v>564</v>
      </c>
      <c r="P501" s="2" t="s">
        <v>441</v>
      </c>
      <c r="Q501" s="2" t="s">
        <v>199</v>
      </c>
      <c r="R501" s="2" t="s">
        <v>32</v>
      </c>
      <c r="S501" s="2" t="s">
        <v>33</v>
      </c>
      <c r="T501" s="2" t="s">
        <v>927</v>
      </c>
      <c r="U501" s="2" t="s">
        <v>4184</v>
      </c>
      <c r="V501" s="2" t="s">
        <v>4185</v>
      </c>
    </row>
    <row r="502" spans="1:112" ht="85" x14ac:dyDescent="0.2">
      <c r="A502" s="2" t="s">
        <v>1683</v>
      </c>
      <c r="B502" s="2" t="s">
        <v>1684</v>
      </c>
      <c r="C502" s="2" t="s">
        <v>1684</v>
      </c>
      <c r="D502" s="1">
        <v>10</v>
      </c>
      <c r="E502" s="2" t="s">
        <v>23</v>
      </c>
      <c r="G502" s="2" t="s">
        <v>1645</v>
      </c>
      <c r="H502" s="2" t="s">
        <v>370</v>
      </c>
      <c r="I502" s="2" t="s">
        <v>102</v>
      </c>
      <c r="J502" s="2" t="s">
        <v>103</v>
      </c>
      <c r="K502" s="2" t="s">
        <v>190</v>
      </c>
      <c r="L502" s="2" t="s">
        <v>887</v>
      </c>
      <c r="M502" s="2" t="s">
        <v>888</v>
      </c>
      <c r="N502" s="2" t="s">
        <v>1685</v>
      </c>
      <c r="O502" s="2" t="s">
        <v>564</v>
      </c>
      <c r="P502" s="2" t="s">
        <v>227</v>
      </c>
      <c r="Q502" s="2" t="s">
        <v>41</v>
      </c>
      <c r="R502" s="2" t="s">
        <v>32</v>
      </c>
      <c r="S502" s="2" t="s">
        <v>33</v>
      </c>
      <c r="T502" s="2" t="s">
        <v>927</v>
      </c>
      <c r="U502" s="2" t="s">
        <v>1686</v>
      </c>
    </row>
    <row r="503" spans="1:112" ht="85" x14ac:dyDescent="0.2">
      <c r="A503" s="2" t="s">
        <v>1687</v>
      </c>
      <c r="B503" s="2" t="s">
        <v>1688</v>
      </c>
      <c r="C503" s="2" t="s">
        <v>1688</v>
      </c>
      <c r="D503" s="1">
        <v>10</v>
      </c>
      <c r="E503" s="2" t="s">
        <v>23</v>
      </c>
      <c r="G503" s="2" t="s">
        <v>1645</v>
      </c>
      <c r="H503" s="2" t="s">
        <v>370</v>
      </c>
      <c r="I503" s="2" t="s">
        <v>102</v>
      </c>
      <c r="J503" s="2" t="s">
        <v>103</v>
      </c>
      <c r="K503" s="2" t="s">
        <v>190</v>
      </c>
      <c r="L503" s="2" t="s">
        <v>887</v>
      </c>
      <c r="M503" s="2" t="s">
        <v>888</v>
      </c>
      <c r="N503" s="2" t="s">
        <v>1685</v>
      </c>
      <c r="O503" s="2" t="s">
        <v>564</v>
      </c>
      <c r="P503" s="2" t="s">
        <v>227</v>
      </c>
      <c r="Q503" s="2" t="s">
        <v>199</v>
      </c>
      <c r="R503" s="2" t="s">
        <v>32</v>
      </c>
      <c r="S503" s="2" t="s">
        <v>33</v>
      </c>
      <c r="T503" s="2" t="s">
        <v>927</v>
      </c>
      <c r="U503" s="2" t="s">
        <v>1686</v>
      </c>
    </row>
    <row r="504" spans="1:112" ht="85" x14ac:dyDescent="0.2">
      <c r="A504" s="2" t="s">
        <v>1689</v>
      </c>
      <c r="B504" s="2" t="s">
        <v>1690</v>
      </c>
      <c r="C504" s="2" t="s">
        <v>1690</v>
      </c>
      <c r="D504" s="1">
        <v>10</v>
      </c>
      <c r="E504" s="2" t="s">
        <v>23</v>
      </c>
      <c r="G504" s="2" t="s">
        <v>1645</v>
      </c>
      <c r="H504" s="2" t="s">
        <v>370</v>
      </c>
      <c r="I504" s="2" t="s">
        <v>102</v>
      </c>
      <c r="J504" s="2" t="s">
        <v>103</v>
      </c>
      <c r="K504" s="2" t="s">
        <v>190</v>
      </c>
      <c r="L504" s="2" t="s">
        <v>887</v>
      </c>
      <c r="M504" s="2" t="s">
        <v>888</v>
      </c>
      <c r="N504" s="2" t="s">
        <v>1691</v>
      </c>
      <c r="O504" s="2" t="s">
        <v>564</v>
      </c>
      <c r="P504" s="2" t="s">
        <v>564</v>
      </c>
      <c r="Q504" s="2" t="s">
        <v>41</v>
      </c>
      <c r="R504" s="2" t="s">
        <v>32</v>
      </c>
      <c r="S504" s="2" t="s">
        <v>33</v>
      </c>
      <c r="T504" s="2" t="s">
        <v>890</v>
      </c>
      <c r="U504" s="2" t="s">
        <v>1692</v>
      </c>
    </row>
    <row r="505" spans="1:112" ht="85" x14ac:dyDescent="0.2">
      <c r="A505" s="2" t="s">
        <v>1693</v>
      </c>
      <c r="B505" s="2" t="s">
        <v>1694</v>
      </c>
      <c r="C505" s="2" t="s">
        <v>1694</v>
      </c>
      <c r="D505" s="1">
        <v>10</v>
      </c>
      <c r="E505" s="2" t="s">
        <v>23</v>
      </c>
      <c r="G505" s="2" t="s">
        <v>1645</v>
      </c>
      <c r="H505" s="2" t="s">
        <v>370</v>
      </c>
      <c r="I505" s="2" t="s">
        <v>102</v>
      </c>
      <c r="J505" s="2" t="s">
        <v>103</v>
      </c>
      <c r="K505" s="2" t="s">
        <v>190</v>
      </c>
      <c r="L505" s="2" t="s">
        <v>887</v>
      </c>
      <c r="M505" s="2" t="s">
        <v>888</v>
      </c>
      <c r="N505" s="2" t="s">
        <v>1695</v>
      </c>
      <c r="O505" s="2" t="s">
        <v>564</v>
      </c>
      <c r="P505" s="2" t="s">
        <v>192</v>
      </c>
      <c r="Q505" s="2" t="s">
        <v>41</v>
      </c>
      <c r="R505" s="2" t="s">
        <v>32</v>
      </c>
      <c r="S505" s="2" t="s">
        <v>33</v>
      </c>
      <c r="T505" s="2" t="s">
        <v>890</v>
      </c>
      <c r="U505" s="2" t="s">
        <v>1696</v>
      </c>
    </row>
    <row r="506" spans="1:112" ht="85" x14ac:dyDescent="0.2">
      <c r="A506" s="2" t="s">
        <v>1697</v>
      </c>
      <c r="B506" s="2" t="s">
        <v>1698</v>
      </c>
      <c r="C506" s="2" t="s">
        <v>1698</v>
      </c>
      <c r="D506" s="1">
        <v>10</v>
      </c>
      <c r="E506" s="2" t="s">
        <v>23</v>
      </c>
      <c r="G506" s="2" t="s">
        <v>1645</v>
      </c>
      <c r="H506" s="2" t="s">
        <v>370</v>
      </c>
      <c r="I506" s="2" t="s">
        <v>102</v>
      </c>
      <c r="J506" s="2" t="s">
        <v>103</v>
      </c>
      <c r="K506" s="2" t="s">
        <v>190</v>
      </c>
      <c r="L506" s="2" t="s">
        <v>887</v>
      </c>
      <c r="M506" s="2" t="s">
        <v>888</v>
      </c>
      <c r="N506" s="2" t="s">
        <v>1699</v>
      </c>
      <c r="O506" s="2" t="s">
        <v>564</v>
      </c>
      <c r="P506" s="2" t="s">
        <v>257</v>
      </c>
      <c r="Q506" s="2" t="s">
        <v>41</v>
      </c>
      <c r="R506" s="2" t="s">
        <v>32</v>
      </c>
      <c r="S506" s="2" t="s">
        <v>33</v>
      </c>
      <c r="T506" s="2" t="s">
        <v>890</v>
      </c>
      <c r="U506" s="2" t="s">
        <v>4186</v>
      </c>
      <c r="V506" s="2" t="s">
        <v>4187</v>
      </c>
    </row>
    <row r="507" spans="1:112" ht="85" x14ac:dyDescent="0.2">
      <c r="A507" s="2" t="s">
        <v>1700</v>
      </c>
      <c r="B507" s="2" t="s">
        <v>1701</v>
      </c>
      <c r="C507" s="2" t="s">
        <v>1701</v>
      </c>
      <c r="D507" s="1">
        <v>10</v>
      </c>
      <c r="E507" s="2" t="s">
        <v>23</v>
      </c>
      <c r="G507" s="2" t="s">
        <v>1645</v>
      </c>
      <c r="H507" s="2" t="s">
        <v>370</v>
      </c>
      <c r="I507" s="2" t="s">
        <v>102</v>
      </c>
      <c r="J507" s="2" t="s">
        <v>103</v>
      </c>
      <c r="K507" s="2" t="s">
        <v>190</v>
      </c>
      <c r="L507" s="2" t="s">
        <v>887</v>
      </c>
      <c r="M507" s="2" t="s">
        <v>888</v>
      </c>
      <c r="N507" s="2" t="s">
        <v>1699</v>
      </c>
      <c r="O507" s="2" t="s">
        <v>564</v>
      </c>
      <c r="P507" s="2" t="s">
        <v>257</v>
      </c>
      <c r="Q507" s="2" t="s">
        <v>199</v>
      </c>
      <c r="R507" s="2" t="s">
        <v>32</v>
      </c>
      <c r="S507" s="2" t="s">
        <v>33</v>
      </c>
      <c r="T507" s="2" t="s">
        <v>890</v>
      </c>
      <c r="U507" s="2" t="s">
        <v>4186</v>
      </c>
      <c r="V507" s="2" t="s">
        <v>4187</v>
      </c>
    </row>
    <row r="508" spans="1:112" ht="85" x14ac:dyDescent="0.2">
      <c r="A508" s="2" t="s">
        <v>1702</v>
      </c>
      <c r="B508" s="2" t="s">
        <v>1703</v>
      </c>
      <c r="C508" s="2" t="s">
        <v>1703</v>
      </c>
      <c r="D508" s="1">
        <v>10</v>
      </c>
      <c r="E508" s="2" t="s">
        <v>23</v>
      </c>
      <c r="G508" s="2" t="s">
        <v>1645</v>
      </c>
      <c r="H508" s="2" t="s">
        <v>370</v>
      </c>
      <c r="I508" s="2" t="s">
        <v>102</v>
      </c>
      <c r="J508" s="2" t="s">
        <v>103</v>
      </c>
      <c r="K508" s="2" t="s">
        <v>190</v>
      </c>
      <c r="L508" s="2" t="s">
        <v>887</v>
      </c>
      <c r="M508" s="2" t="s">
        <v>888</v>
      </c>
      <c r="N508" s="2" t="s">
        <v>1704</v>
      </c>
      <c r="O508" s="2" t="s">
        <v>564</v>
      </c>
      <c r="P508" s="2" t="s">
        <v>339</v>
      </c>
      <c r="Q508" s="2" t="s">
        <v>41</v>
      </c>
      <c r="R508" s="2" t="s">
        <v>32</v>
      </c>
      <c r="S508" s="2" t="s">
        <v>33</v>
      </c>
      <c r="T508" s="2" t="s">
        <v>890</v>
      </c>
      <c r="U508" s="2" t="s">
        <v>1705</v>
      </c>
    </row>
    <row r="509" spans="1:112" ht="85" x14ac:dyDescent="0.2">
      <c r="A509" s="2" t="s">
        <v>1706</v>
      </c>
      <c r="B509" s="2" t="s">
        <v>1707</v>
      </c>
      <c r="C509" s="2" t="s">
        <v>1707</v>
      </c>
      <c r="D509" s="1">
        <v>10</v>
      </c>
      <c r="E509" s="2" t="s">
        <v>23</v>
      </c>
      <c r="G509" s="2" t="s">
        <v>1645</v>
      </c>
      <c r="H509" s="2" t="s">
        <v>370</v>
      </c>
      <c r="I509" s="2" t="s">
        <v>102</v>
      </c>
      <c r="J509" s="2" t="s">
        <v>103</v>
      </c>
      <c r="K509" s="2" t="s">
        <v>190</v>
      </c>
      <c r="L509" s="2" t="s">
        <v>887</v>
      </c>
      <c r="M509" s="2" t="s">
        <v>888</v>
      </c>
      <c r="N509" s="2" t="s">
        <v>1704</v>
      </c>
      <c r="O509" s="2" t="s">
        <v>564</v>
      </c>
      <c r="P509" s="2" t="s">
        <v>339</v>
      </c>
      <c r="Q509" s="2" t="s">
        <v>199</v>
      </c>
      <c r="R509" s="2" t="s">
        <v>32</v>
      </c>
      <c r="S509" s="2" t="s">
        <v>33</v>
      </c>
      <c r="T509" s="2" t="s">
        <v>890</v>
      </c>
      <c r="U509" s="2" t="s">
        <v>1705</v>
      </c>
    </row>
    <row r="510" spans="1:112" ht="136" x14ac:dyDescent="0.2">
      <c r="A510" s="7" t="s">
        <v>5188</v>
      </c>
      <c r="B510" s="7" t="s">
        <v>5189</v>
      </c>
      <c r="C510" s="2" t="s">
        <v>5189</v>
      </c>
      <c r="D510" s="1">
        <v>10</v>
      </c>
      <c r="E510" s="2" t="s">
        <v>23</v>
      </c>
      <c r="G510" s="2" t="s">
        <v>1645</v>
      </c>
      <c r="H510" s="2" t="s">
        <v>370</v>
      </c>
      <c r="I510" s="2" t="s">
        <v>6730</v>
      </c>
      <c r="J510" s="12" t="s">
        <v>103</v>
      </c>
      <c r="K510" s="12" t="s">
        <v>190</v>
      </c>
      <c r="L510" s="12" t="s">
        <v>191</v>
      </c>
      <c r="M510" s="12" t="s">
        <v>192</v>
      </c>
      <c r="N510" s="12" t="s">
        <v>933</v>
      </c>
      <c r="O510" s="12" t="s">
        <v>192</v>
      </c>
      <c r="P510" s="12" t="s">
        <v>94</v>
      </c>
      <c r="Q510" s="12" t="s">
        <v>41</v>
      </c>
      <c r="R510" s="12" t="s">
        <v>32</v>
      </c>
      <c r="S510" s="12" t="s">
        <v>33</v>
      </c>
      <c r="T510" s="12" t="s">
        <v>934</v>
      </c>
      <c r="U510" s="12" t="s">
        <v>935</v>
      </c>
      <c r="V510" s="12" t="s">
        <v>935</v>
      </c>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row>
    <row r="511" spans="1:112" ht="85" x14ac:dyDescent="0.2">
      <c r="A511" s="2" t="s">
        <v>1708</v>
      </c>
      <c r="B511" s="2" t="s">
        <v>1709</v>
      </c>
      <c r="C511" s="2" t="s">
        <v>1709</v>
      </c>
      <c r="D511" s="1">
        <v>10</v>
      </c>
      <c r="E511" s="2" t="s">
        <v>1459</v>
      </c>
      <c r="F511" s="2" t="s">
        <v>1710</v>
      </c>
      <c r="G511" s="2" t="s">
        <v>1194</v>
      </c>
      <c r="H511" s="2" t="s">
        <v>1147</v>
      </c>
      <c r="I511" s="2" t="s">
        <v>102</v>
      </c>
      <c r="J511" s="2" t="s">
        <v>103</v>
      </c>
      <c r="K511" s="2" t="s">
        <v>190</v>
      </c>
      <c r="L511" s="2" t="s">
        <v>191</v>
      </c>
      <c r="M511" s="2" t="s">
        <v>192</v>
      </c>
      <c r="N511" s="2" t="s">
        <v>1711</v>
      </c>
      <c r="O511" s="2" t="s">
        <v>192</v>
      </c>
      <c r="P511" s="2" t="s">
        <v>137</v>
      </c>
      <c r="Q511" s="2" t="s">
        <v>41</v>
      </c>
      <c r="R511" s="2" t="s">
        <v>32</v>
      </c>
      <c r="S511" s="2" t="s">
        <v>33</v>
      </c>
      <c r="T511" s="2" t="s">
        <v>1712</v>
      </c>
      <c r="U511" s="2" t="s">
        <v>1713</v>
      </c>
    </row>
    <row r="512" spans="1:112" ht="85" x14ac:dyDescent="0.2">
      <c r="A512" s="7" t="s">
        <v>5190</v>
      </c>
      <c r="B512" s="7" t="s">
        <v>5191</v>
      </c>
      <c r="C512" s="2" t="s">
        <v>5192</v>
      </c>
      <c r="D512" s="1">
        <v>10</v>
      </c>
      <c r="E512" s="2" t="s">
        <v>23</v>
      </c>
      <c r="G512" s="2" t="s">
        <v>1645</v>
      </c>
      <c r="H512" s="2" t="s">
        <v>370</v>
      </c>
      <c r="I512" s="2" t="s">
        <v>102</v>
      </c>
      <c r="J512" s="12" t="s">
        <v>103</v>
      </c>
      <c r="K512" s="12" t="s">
        <v>190</v>
      </c>
      <c r="L512" s="12" t="s">
        <v>191</v>
      </c>
      <c r="M512" s="12" t="s">
        <v>192</v>
      </c>
      <c r="N512" s="12" t="s">
        <v>5193</v>
      </c>
      <c r="O512" s="12" t="s">
        <v>192</v>
      </c>
      <c r="P512" s="12" t="s">
        <v>123</v>
      </c>
      <c r="Q512" s="12" t="s">
        <v>41</v>
      </c>
      <c r="R512" s="12" t="s">
        <v>32</v>
      </c>
      <c r="S512" s="12" t="s">
        <v>33</v>
      </c>
      <c r="T512" s="12" t="s">
        <v>195</v>
      </c>
      <c r="U512" s="12" t="s">
        <v>5194</v>
      </c>
      <c r="V512" s="12" t="s">
        <v>5194</v>
      </c>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row>
    <row r="513" spans="1:112" ht="136" x14ac:dyDescent="0.2">
      <c r="A513" s="7" t="s">
        <v>5195</v>
      </c>
      <c r="B513" s="7" t="s">
        <v>5196</v>
      </c>
      <c r="C513" s="2" t="s">
        <v>5196</v>
      </c>
      <c r="D513" s="1">
        <v>10</v>
      </c>
      <c r="E513" s="2" t="s">
        <v>23</v>
      </c>
      <c r="G513" s="2" t="s">
        <v>1645</v>
      </c>
      <c r="H513" s="2" t="s">
        <v>370</v>
      </c>
      <c r="I513" s="2" t="s">
        <v>6730</v>
      </c>
      <c r="J513" s="12" t="s">
        <v>103</v>
      </c>
      <c r="K513" s="12" t="s">
        <v>190</v>
      </c>
      <c r="L513" s="12" t="s">
        <v>191</v>
      </c>
      <c r="M513" s="12" t="s">
        <v>192</v>
      </c>
      <c r="N513" s="12" t="s">
        <v>5197</v>
      </c>
      <c r="O513" s="12" t="s">
        <v>192</v>
      </c>
      <c r="P513" s="12" t="s">
        <v>441</v>
      </c>
      <c r="Q513" s="12" t="s">
        <v>41</v>
      </c>
      <c r="R513" s="12" t="s">
        <v>32</v>
      </c>
      <c r="S513" s="12" t="s">
        <v>33</v>
      </c>
      <c r="T513" s="12" t="s">
        <v>934</v>
      </c>
      <c r="U513" s="12" t="s">
        <v>5198</v>
      </c>
      <c r="V513" s="12" t="s">
        <v>5198</v>
      </c>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row>
    <row r="514" spans="1:112" ht="85" x14ac:dyDescent="0.2">
      <c r="A514" s="7" t="s">
        <v>5199</v>
      </c>
      <c r="B514" s="7" t="s">
        <v>5200</v>
      </c>
      <c r="C514" s="2" t="s">
        <v>5200</v>
      </c>
      <c r="D514" s="1">
        <v>10</v>
      </c>
      <c r="E514" s="2" t="s">
        <v>23</v>
      </c>
      <c r="G514" s="2" t="s">
        <v>1645</v>
      </c>
      <c r="H514" s="2" t="s">
        <v>370</v>
      </c>
      <c r="I514" s="2" t="s">
        <v>102</v>
      </c>
      <c r="J514" s="12" t="s">
        <v>103</v>
      </c>
      <c r="K514" s="12" t="s">
        <v>190</v>
      </c>
      <c r="L514" s="12" t="s">
        <v>191</v>
      </c>
      <c r="M514" s="12" t="s">
        <v>192</v>
      </c>
      <c r="N514" s="12" t="s">
        <v>5201</v>
      </c>
      <c r="O514" s="12" t="s">
        <v>192</v>
      </c>
      <c r="P514" s="12" t="s">
        <v>564</v>
      </c>
      <c r="Q514" s="12" t="s">
        <v>41</v>
      </c>
      <c r="R514" s="12" t="s">
        <v>32</v>
      </c>
      <c r="S514" s="12" t="s">
        <v>33</v>
      </c>
      <c r="T514" s="12" t="s">
        <v>195</v>
      </c>
      <c r="U514" s="12" t="s">
        <v>5202</v>
      </c>
      <c r="V514" s="12" t="s">
        <v>5202</v>
      </c>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row>
    <row r="515" spans="1:112" ht="85" x14ac:dyDescent="0.2">
      <c r="A515" s="7" t="s">
        <v>5203</v>
      </c>
      <c r="B515" s="7" t="s">
        <v>5204</v>
      </c>
      <c r="C515" s="2" t="s">
        <v>5204</v>
      </c>
      <c r="D515" s="1">
        <v>10</v>
      </c>
      <c r="E515" s="2" t="s">
        <v>23</v>
      </c>
      <c r="G515" s="2" t="s">
        <v>1645</v>
      </c>
      <c r="H515" s="2" t="s">
        <v>370</v>
      </c>
      <c r="I515" s="2" t="s">
        <v>102</v>
      </c>
      <c r="J515" s="12" t="s">
        <v>103</v>
      </c>
      <c r="K515" s="12" t="s">
        <v>190</v>
      </c>
      <c r="L515" s="12" t="s">
        <v>191</v>
      </c>
      <c r="M515" s="12" t="s">
        <v>192</v>
      </c>
      <c r="N515" s="12" t="s">
        <v>5205</v>
      </c>
      <c r="O515" s="12" t="s">
        <v>192</v>
      </c>
      <c r="P515" s="12" t="s">
        <v>257</v>
      </c>
      <c r="Q515" s="12" t="s">
        <v>41</v>
      </c>
      <c r="R515" s="12" t="s">
        <v>32</v>
      </c>
      <c r="S515" s="12" t="s">
        <v>33</v>
      </c>
      <c r="T515" s="12" t="s">
        <v>195</v>
      </c>
      <c r="U515" s="12" t="s">
        <v>5206</v>
      </c>
      <c r="V515" s="12" t="s">
        <v>5206</v>
      </c>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row>
    <row r="516" spans="1:112" ht="85" x14ac:dyDescent="0.2">
      <c r="A516" s="7" t="s">
        <v>5207</v>
      </c>
      <c r="B516" s="7" t="s">
        <v>5208</v>
      </c>
      <c r="C516" s="2" t="s">
        <v>5208</v>
      </c>
      <c r="D516" s="1">
        <v>10</v>
      </c>
      <c r="E516" s="2" t="s">
        <v>23</v>
      </c>
      <c r="G516" s="2" t="s">
        <v>1645</v>
      </c>
      <c r="H516" s="2" t="s">
        <v>370</v>
      </c>
      <c r="I516" s="2" t="s">
        <v>102</v>
      </c>
      <c r="J516" s="12" t="s">
        <v>103</v>
      </c>
      <c r="K516" s="12" t="s">
        <v>190</v>
      </c>
      <c r="L516" s="12" t="s">
        <v>191</v>
      </c>
      <c r="M516" s="12" t="s">
        <v>192</v>
      </c>
      <c r="N516" s="12" t="s">
        <v>5209</v>
      </c>
      <c r="O516" s="12" t="s">
        <v>192</v>
      </c>
      <c r="P516" s="12" t="s">
        <v>339</v>
      </c>
      <c r="Q516" s="12" t="s">
        <v>41</v>
      </c>
      <c r="R516" s="12" t="s">
        <v>32</v>
      </c>
      <c r="S516" s="12" t="s">
        <v>33</v>
      </c>
      <c r="T516" s="12" t="s">
        <v>195</v>
      </c>
      <c r="U516" s="12" t="s">
        <v>5210</v>
      </c>
      <c r="V516" s="12" t="s">
        <v>5210</v>
      </c>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2"/>
      <c r="CF516" s="12"/>
      <c r="CG516" s="12"/>
      <c r="CH516" s="12"/>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row>
    <row r="517" spans="1:112" ht="136" x14ac:dyDescent="0.2">
      <c r="A517" s="2" t="s">
        <v>1714</v>
      </c>
      <c r="B517" s="2" t="s">
        <v>1715</v>
      </c>
      <c r="C517" s="2" t="s">
        <v>1715</v>
      </c>
      <c r="D517" s="1">
        <v>10</v>
      </c>
      <c r="E517" s="2" t="s">
        <v>23</v>
      </c>
      <c r="G517" s="2" t="s">
        <v>1194</v>
      </c>
      <c r="H517" s="2" t="s">
        <v>370</v>
      </c>
      <c r="I517" s="2" t="s">
        <v>6730</v>
      </c>
      <c r="J517" s="2" t="s">
        <v>103</v>
      </c>
      <c r="K517" s="2" t="s">
        <v>190</v>
      </c>
      <c r="L517" s="2" t="s">
        <v>191</v>
      </c>
      <c r="M517" s="2" t="s">
        <v>192</v>
      </c>
      <c r="N517" s="2" t="s">
        <v>1716</v>
      </c>
      <c r="O517" s="2" t="s">
        <v>192</v>
      </c>
      <c r="P517" s="2" t="s">
        <v>617</v>
      </c>
      <c r="Q517" s="2" t="s">
        <v>41</v>
      </c>
      <c r="R517" s="2" t="s">
        <v>32</v>
      </c>
      <c r="S517" s="2" t="s">
        <v>33</v>
      </c>
      <c r="T517" s="2" t="s">
        <v>934</v>
      </c>
      <c r="U517" s="2" t="s">
        <v>1717</v>
      </c>
    </row>
    <row r="518" spans="1:112" ht="85" x14ac:dyDescent="0.2">
      <c r="A518" s="7" t="s">
        <v>5211</v>
      </c>
      <c r="B518" s="7" t="s">
        <v>5212</v>
      </c>
      <c r="C518" s="2" t="s">
        <v>5212</v>
      </c>
      <c r="D518" s="1">
        <v>10</v>
      </c>
      <c r="E518" s="2" t="s">
        <v>23</v>
      </c>
      <c r="G518" s="2" t="s">
        <v>1645</v>
      </c>
      <c r="H518" s="2" t="s">
        <v>370</v>
      </c>
      <c r="I518" s="2" t="s">
        <v>102</v>
      </c>
      <c r="J518" s="12" t="s">
        <v>103</v>
      </c>
      <c r="K518" s="12" t="s">
        <v>190</v>
      </c>
      <c r="L518" s="12" t="s">
        <v>191</v>
      </c>
      <c r="M518" s="12" t="s">
        <v>192</v>
      </c>
      <c r="N518" s="12" t="s">
        <v>5213</v>
      </c>
      <c r="O518" s="12" t="s">
        <v>192</v>
      </c>
      <c r="P518" s="12" t="s">
        <v>792</v>
      </c>
      <c r="Q518" s="12" t="s">
        <v>41</v>
      </c>
      <c r="R518" s="12" t="s">
        <v>32</v>
      </c>
      <c r="S518" s="12" t="s">
        <v>33</v>
      </c>
      <c r="T518" s="12" t="s">
        <v>195</v>
      </c>
      <c r="U518" s="12" t="s">
        <v>5214</v>
      </c>
      <c r="V518" s="12" t="s">
        <v>5214</v>
      </c>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row>
    <row r="519" spans="1:112" ht="85" x14ac:dyDescent="0.2">
      <c r="A519" s="2" t="s">
        <v>1718</v>
      </c>
      <c r="B519" s="2" t="s">
        <v>1719</v>
      </c>
      <c r="C519" s="2" t="s">
        <v>1719</v>
      </c>
      <c r="D519" s="1">
        <v>10</v>
      </c>
      <c r="E519" s="2" t="s">
        <v>23</v>
      </c>
      <c r="G519" s="2" t="s">
        <v>1194</v>
      </c>
      <c r="H519" s="2" t="s">
        <v>370</v>
      </c>
      <c r="I519" s="2" t="s">
        <v>102</v>
      </c>
      <c r="J519" s="2" t="s">
        <v>103</v>
      </c>
      <c r="K519" s="2" t="s">
        <v>190</v>
      </c>
      <c r="L519" s="2" t="s">
        <v>191</v>
      </c>
      <c r="M519" s="2" t="s">
        <v>192</v>
      </c>
      <c r="N519" s="2" t="s">
        <v>1720</v>
      </c>
      <c r="O519" s="2" t="s">
        <v>192</v>
      </c>
      <c r="P519" s="2" t="s">
        <v>913</v>
      </c>
      <c r="Q519" s="2" t="s">
        <v>41</v>
      </c>
      <c r="R519" s="2" t="s">
        <v>32</v>
      </c>
      <c r="S519" s="2" t="s">
        <v>33</v>
      </c>
      <c r="T519" s="2" t="s">
        <v>195</v>
      </c>
      <c r="U519" s="2" t="s">
        <v>4188</v>
      </c>
      <c r="V519" s="2" t="s">
        <v>4189</v>
      </c>
    </row>
    <row r="520" spans="1:112" ht="85" x14ac:dyDescent="0.2">
      <c r="A520" s="7" t="s">
        <v>5215</v>
      </c>
      <c r="B520" s="7" t="s">
        <v>5216</v>
      </c>
      <c r="C520" s="2" t="s">
        <v>5216</v>
      </c>
      <c r="D520" s="1">
        <v>10</v>
      </c>
      <c r="E520" s="2" t="s">
        <v>23</v>
      </c>
      <c r="G520" s="2" t="s">
        <v>1645</v>
      </c>
      <c r="H520" s="2" t="s">
        <v>370</v>
      </c>
      <c r="I520" s="2" t="s">
        <v>102</v>
      </c>
      <c r="J520" s="12" t="s">
        <v>103</v>
      </c>
      <c r="K520" s="12" t="s">
        <v>190</v>
      </c>
      <c r="L520" s="12" t="s">
        <v>191</v>
      </c>
      <c r="M520" s="12" t="s">
        <v>192</v>
      </c>
      <c r="N520" s="12" t="s">
        <v>5217</v>
      </c>
      <c r="O520" s="12" t="s">
        <v>192</v>
      </c>
      <c r="P520" s="12" t="s">
        <v>165</v>
      </c>
      <c r="Q520" s="12" t="s">
        <v>41</v>
      </c>
      <c r="R520" s="12" t="s">
        <v>32</v>
      </c>
      <c r="S520" s="12" t="s">
        <v>33</v>
      </c>
      <c r="T520" s="12" t="s">
        <v>195</v>
      </c>
      <c r="U520" s="12" t="s">
        <v>5218</v>
      </c>
      <c r="V520" s="12" t="s">
        <v>5218</v>
      </c>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row>
    <row r="521" spans="1:112" ht="85" x14ac:dyDescent="0.2">
      <c r="A521" s="2" t="s">
        <v>1721</v>
      </c>
      <c r="B521" s="2" t="s">
        <v>1722</v>
      </c>
      <c r="C521" s="2" t="s">
        <v>1722</v>
      </c>
      <c r="D521" s="1">
        <v>10</v>
      </c>
      <c r="E521" s="2" t="s">
        <v>23</v>
      </c>
      <c r="G521" s="2" t="s">
        <v>1194</v>
      </c>
      <c r="H521" s="2" t="s">
        <v>953</v>
      </c>
      <c r="I521" s="2" t="s">
        <v>102</v>
      </c>
      <c r="J521" s="2" t="s">
        <v>469</v>
      </c>
      <c r="K521" s="2" t="s">
        <v>470</v>
      </c>
      <c r="L521" s="2" t="s">
        <v>954</v>
      </c>
      <c r="M521" s="2" t="s">
        <v>257</v>
      </c>
      <c r="N521" s="2" t="s">
        <v>1723</v>
      </c>
      <c r="O521" s="2" t="s">
        <v>257</v>
      </c>
      <c r="P521" s="2" t="s">
        <v>123</v>
      </c>
      <c r="Q521" s="2" t="s">
        <v>41</v>
      </c>
      <c r="R521" s="2" t="s">
        <v>32</v>
      </c>
      <c r="S521" s="2" t="s">
        <v>33</v>
      </c>
      <c r="T521" s="2" t="s">
        <v>1724</v>
      </c>
      <c r="U521" s="2" t="s">
        <v>1725</v>
      </c>
    </row>
    <row r="522" spans="1:112" ht="85" x14ac:dyDescent="0.2">
      <c r="A522" s="2" t="s">
        <v>1726</v>
      </c>
      <c r="B522" s="2" t="s">
        <v>1727</v>
      </c>
      <c r="C522" s="2" t="s">
        <v>1727</v>
      </c>
      <c r="D522" s="1">
        <v>10</v>
      </c>
      <c r="E522" s="2" t="s">
        <v>23</v>
      </c>
      <c r="G522" s="2" t="s">
        <v>1194</v>
      </c>
      <c r="H522" s="2" t="s">
        <v>953</v>
      </c>
      <c r="I522" s="2" t="s">
        <v>102</v>
      </c>
      <c r="J522" s="2" t="s">
        <v>469</v>
      </c>
      <c r="K522" s="2" t="s">
        <v>470</v>
      </c>
      <c r="L522" s="2" t="s">
        <v>954</v>
      </c>
      <c r="M522" s="2" t="s">
        <v>257</v>
      </c>
      <c r="N522" s="2" t="s">
        <v>1723</v>
      </c>
      <c r="O522" s="2" t="s">
        <v>257</v>
      </c>
      <c r="P522" s="2" t="s">
        <v>123</v>
      </c>
      <c r="Q522" s="2" t="s">
        <v>199</v>
      </c>
      <c r="R522" s="2" t="s">
        <v>32</v>
      </c>
      <c r="S522" s="2" t="s">
        <v>33</v>
      </c>
      <c r="T522" s="2" t="s">
        <v>1724</v>
      </c>
      <c r="U522" s="2" t="s">
        <v>1725</v>
      </c>
    </row>
    <row r="523" spans="1:112" ht="85" x14ac:dyDescent="0.2">
      <c r="A523" s="2" t="s">
        <v>1728</v>
      </c>
      <c r="B523" s="2" t="s">
        <v>1729</v>
      </c>
      <c r="C523" s="2" t="s">
        <v>1729</v>
      </c>
      <c r="D523" s="1">
        <v>10</v>
      </c>
      <c r="E523" s="2" t="s">
        <v>23</v>
      </c>
      <c r="G523" s="2" t="s">
        <v>1194</v>
      </c>
      <c r="H523" s="2" t="s">
        <v>953</v>
      </c>
      <c r="I523" s="2" t="s">
        <v>102</v>
      </c>
      <c r="J523" s="2" t="s">
        <v>469</v>
      </c>
      <c r="K523" s="2" t="s">
        <v>470</v>
      </c>
      <c r="L523" s="2" t="s">
        <v>954</v>
      </c>
      <c r="M523" s="2" t="s">
        <v>257</v>
      </c>
      <c r="N523" s="2" t="s">
        <v>1730</v>
      </c>
      <c r="O523" s="2" t="s">
        <v>257</v>
      </c>
      <c r="P523" s="2" t="s">
        <v>108</v>
      </c>
      <c r="Q523" s="2" t="s">
        <v>41</v>
      </c>
      <c r="R523" s="2" t="s">
        <v>32</v>
      </c>
      <c r="S523" s="2" t="s">
        <v>33</v>
      </c>
      <c r="T523" s="2" t="s">
        <v>1731</v>
      </c>
      <c r="U523" s="2" t="s">
        <v>1732</v>
      </c>
    </row>
    <row r="524" spans="1:112" ht="85" x14ac:dyDescent="0.2">
      <c r="A524" s="7" t="s">
        <v>5219</v>
      </c>
      <c r="B524" s="7" t="s">
        <v>5220</v>
      </c>
      <c r="C524" s="2" t="s">
        <v>5221</v>
      </c>
      <c r="D524" s="1">
        <v>10</v>
      </c>
      <c r="E524" s="2" t="s">
        <v>61</v>
      </c>
      <c r="F524" s="2" t="s">
        <v>6033</v>
      </c>
      <c r="G524" s="2" t="s">
        <v>1194</v>
      </c>
      <c r="H524" s="2" t="s">
        <v>953</v>
      </c>
      <c r="I524" s="2" t="s">
        <v>102</v>
      </c>
      <c r="J524" s="12" t="s">
        <v>469</v>
      </c>
      <c r="K524" s="12" t="s">
        <v>470</v>
      </c>
      <c r="L524" s="12" t="s">
        <v>2745</v>
      </c>
      <c r="M524" s="12" t="s">
        <v>544</v>
      </c>
      <c r="N524" s="12" t="s">
        <v>5222</v>
      </c>
      <c r="O524" s="12" t="s">
        <v>2747</v>
      </c>
      <c r="P524" s="12" t="s">
        <v>40</v>
      </c>
      <c r="Q524" s="12" t="s">
        <v>41</v>
      </c>
      <c r="R524" s="12" t="s">
        <v>32</v>
      </c>
      <c r="S524" s="12" t="s">
        <v>33</v>
      </c>
      <c r="T524" s="12" t="s">
        <v>5223</v>
      </c>
      <c r="U524" s="12" t="s">
        <v>5224</v>
      </c>
      <c r="V524" s="12" t="s">
        <v>5224</v>
      </c>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row>
    <row r="525" spans="1:112" ht="119" x14ac:dyDescent="0.2">
      <c r="A525" s="2" t="s">
        <v>1745</v>
      </c>
      <c r="B525" s="2" t="s">
        <v>1746</v>
      </c>
      <c r="C525" s="2" t="s">
        <v>1746</v>
      </c>
      <c r="D525" s="1">
        <v>10</v>
      </c>
      <c r="E525" s="2" t="s">
        <v>23</v>
      </c>
      <c r="G525" s="2" t="s">
        <v>1194</v>
      </c>
      <c r="H525" s="2" t="s">
        <v>664</v>
      </c>
      <c r="I525" s="2" t="s">
        <v>1747</v>
      </c>
      <c r="J525" s="2" t="s">
        <v>469</v>
      </c>
      <c r="K525" s="2" t="s">
        <v>470</v>
      </c>
      <c r="L525" s="2" t="s">
        <v>1748</v>
      </c>
      <c r="M525" s="2" t="s">
        <v>1749</v>
      </c>
      <c r="N525" s="2" t="s">
        <v>1750</v>
      </c>
      <c r="O525" s="2" t="s">
        <v>650</v>
      </c>
      <c r="P525" s="2" t="s">
        <v>863</v>
      </c>
      <c r="Q525" s="2" t="s">
        <v>41</v>
      </c>
      <c r="R525" s="2" t="s">
        <v>32</v>
      </c>
      <c r="S525" s="2" t="s">
        <v>33</v>
      </c>
      <c r="T525" s="2" t="s">
        <v>1751</v>
      </c>
      <c r="U525" s="2" t="s">
        <v>4192</v>
      </c>
      <c r="V525" s="2" t="s">
        <v>4193</v>
      </c>
      <c r="W525" s="2" t="s">
        <v>4194</v>
      </c>
    </row>
    <row r="526" spans="1:112" ht="119" x14ac:dyDescent="0.2">
      <c r="A526" s="2" t="s">
        <v>1752</v>
      </c>
      <c r="B526" s="2" t="s">
        <v>1753</v>
      </c>
      <c r="C526" s="2" t="s">
        <v>1753</v>
      </c>
      <c r="D526" s="1">
        <v>10</v>
      </c>
      <c r="E526" s="2" t="s">
        <v>23</v>
      </c>
      <c r="G526" s="2" t="s">
        <v>1194</v>
      </c>
      <c r="H526" s="2" t="s">
        <v>664</v>
      </c>
      <c r="I526" s="2" t="s">
        <v>1747</v>
      </c>
      <c r="J526" s="2" t="s">
        <v>469</v>
      </c>
      <c r="K526" s="2" t="s">
        <v>470</v>
      </c>
      <c r="L526" s="2" t="s">
        <v>1748</v>
      </c>
      <c r="M526" s="2" t="s">
        <v>1749</v>
      </c>
      <c r="N526" s="2" t="s">
        <v>1754</v>
      </c>
      <c r="O526" s="2" t="s">
        <v>650</v>
      </c>
      <c r="P526" s="2" t="s">
        <v>849</v>
      </c>
      <c r="Q526" s="2" t="s">
        <v>41</v>
      </c>
      <c r="R526" s="2" t="s">
        <v>32</v>
      </c>
      <c r="S526" s="2" t="s">
        <v>33</v>
      </c>
      <c r="T526" s="2" t="s">
        <v>1755</v>
      </c>
      <c r="U526" s="2" t="s">
        <v>4195</v>
      </c>
      <c r="V526" s="2" t="s">
        <v>4196</v>
      </c>
      <c r="W526" s="2" t="s">
        <v>4197</v>
      </c>
    </row>
    <row r="527" spans="1:112" ht="119" x14ac:dyDescent="0.2">
      <c r="A527" s="2" t="s">
        <v>1756</v>
      </c>
      <c r="B527" s="2" t="s">
        <v>1757</v>
      </c>
      <c r="C527" s="2" t="s">
        <v>1757</v>
      </c>
      <c r="D527" s="1">
        <v>10</v>
      </c>
      <c r="E527" s="2" t="s">
        <v>23</v>
      </c>
      <c r="G527" s="2" t="s">
        <v>1194</v>
      </c>
      <c r="H527" s="2" t="s">
        <v>664</v>
      </c>
      <c r="I527" s="2" t="s">
        <v>1747</v>
      </c>
      <c r="J527" s="2" t="s">
        <v>469</v>
      </c>
      <c r="K527" s="2" t="s">
        <v>470</v>
      </c>
      <c r="L527" s="2" t="s">
        <v>1748</v>
      </c>
      <c r="M527" s="2" t="s">
        <v>1749</v>
      </c>
      <c r="N527" s="2" t="s">
        <v>1754</v>
      </c>
      <c r="O527" s="2" t="s">
        <v>650</v>
      </c>
      <c r="P527" s="2" t="s">
        <v>849</v>
      </c>
      <c r="Q527" s="2" t="s">
        <v>199</v>
      </c>
      <c r="R527" s="2" t="s">
        <v>32</v>
      </c>
      <c r="S527" s="2" t="s">
        <v>33</v>
      </c>
      <c r="T527" s="2" t="s">
        <v>1755</v>
      </c>
      <c r="U527" s="2" t="s">
        <v>4195</v>
      </c>
      <c r="V527" s="2" t="s">
        <v>4196</v>
      </c>
      <c r="W527" s="2" t="s">
        <v>4197</v>
      </c>
    </row>
    <row r="528" spans="1:112" ht="170" x14ac:dyDescent="0.2">
      <c r="A528" s="2" t="s">
        <v>1758</v>
      </c>
      <c r="B528" s="2" t="s">
        <v>1759</v>
      </c>
      <c r="C528" s="2" t="s">
        <v>1759</v>
      </c>
      <c r="D528" s="1">
        <v>10</v>
      </c>
      <c r="E528" s="2" t="s">
        <v>23</v>
      </c>
      <c r="G528" s="2" t="s">
        <v>1194</v>
      </c>
      <c r="H528" s="2" t="s">
        <v>1147</v>
      </c>
      <c r="I528" s="2" t="s">
        <v>1760</v>
      </c>
      <c r="J528" s="2" t="s">
        <v>1761</v>
      </c>
      <c r="K528" s="2" t="s">
        <v>1762</v>
      </c>
      <c r="L528" s="2" t="s">
        <v>1762</v>
      </c>
      <c r="M528" s="2" t="s">
        <v>1763</v>
      </c>
      <c r="N528" s="2" t="s">
        <v>1764</v>
      </c>
      <c r="O528" s="2" t="s">
        <v>1765</v>
      </c>
      <c r="P528" s="2" t="s">
        <v>30</v>
      </c>
      <c r="Q528" s="2" t="s">
        <v>41</v>
      </c>
      <c r="R528" s="2" t="s">
        <v>32</v>
      </c>
      <c r="S528" s="2" t="s">
        <v>33</v>
      </c>
      <c r="T528" s="2" t="s">
        <v>1766</v>
      </c>
      <c r="U528" s="2" t="s">
        <v>1767</v>
      </c>
    </row>
    <row r="529" spans="1:112" ht="170" x14ac:dyDescent="0.2">
      <c r="A529" s="2" t="s">
        <v>1768</v>
      </c>
      <c r="B529" s="2" t="s">
        <v>1769</v>
      </c>
      <c r="C529" s="2" t="s">
        <v>1769</v>
      </c>
      <c r="D529" s="1">
        <v>10</v>
      </c>
      <c r="E529" s="2" t="s">
        <v>23</v>
      </c>
      <c r="G529" s="2" t="s">
        <v>1194</v>
      </c>
      <c r="H529" s="2" t="s">
        <v>1147</v>
      </c>
      <c r="I529" s="2" t="s">
        <v>1760</v>
      </c>
      <c r="J529" s="2" t="s">
        <v>1761</v>
      </c>
      <c r="K529" s="2" t="s">
        <v>1762</v>
      </c>
      <c r="L529" s="2" t="s">
        <v>1762</v>
      </c>
      <c r="M529" s="2" t="s">
        <v>1763</v>
      </c>
      <c r="N529" s="2" t="s">
        <v>1764</v>
      </c>
      <c r="O529" s="2" t="s">
        <v>1765</v>
      </c>
      <c r="P529" s="2" t="s">
        <v>30</v>
      </c>
      <c r="Q529" s="2" t="s">
        <v>199</v>
      </c>
      <c r="R529" s="2" t="s">
        <v>32</v>
      </c>
      <c r="S529" s="2" t="s">
        <v>33</v>
      </c>
      <c r="T529" s="2" t="s">
        <v>1766</v>
      </c>
      <c r="U529" s="2" t="s">
        <v>1767</v>
      </c>
    </row>
    <row r="530" spans="1:112" ht="170" x14ac:dyDescent="0.2">
      <c r="A530" s="2" t="s">
        <v>1770</v>
      </c>
      <c r="B530" s="2" t="s">
        <v>1771</v>
      </c>
      <c r="C530" s="2" t="s">
        <v>1771</v>
      </c>
      <c r="D530" s="1">
        <v>10</v>
      </c>
      <c r="E530" s="2" t="s">
        <v>23</v>
      </c>
      <c r="G530" s="2" t="s">
        <v>1194</v>
      </c>
      <c r="H530" s="2" t="s">
        <v>1147</v>
      </c>
      <c r="I530" s="2" t="s">
        <v>1760</v>
      </c>
      <c r="J530" s="2" t="s">
        <v>1761</v>
      </c>
      <c r="K530" s="2" t="s">
        <v>1762</v>
      </c>
      <c r="L530" s="2" t="s">
        <v>1762</v>
      </c>
      <c r="M530" s="2" t="s">
        <v>1763</v>
      </c>
      <c r="N530" s="2" t="s">
        <v>1772</v>
      </c>
      <c r="O530" s="2" t="s">
        <v>1765</v>
      </c>
      <c r="P530" s="2" t="s">
        <v>52</v>
      </c>
      <c r="Q530" s="2" t="s">
        <v>41</v>
      </c>
      <c r="R530" s="2" t="s">
        <v>32</v>
      </c>
      <c r="S530" s="2" t="s">
        <v>33</v>
      </c>
      <c r="T530" s="2" t="s">
        <v>1773</v>
      </c>
      <c r="U530" s="2" t="s">
        <v>1767</v>
      </c>
      <c r="V530" s="2" t="s">
        <v>4198</v>
      </c>
      <c r="W530" s="2" t="s">
        <v>4199</v>
      </c>
      <c r="X530" s="2" t="s">
        <v>4200</v>
      </c>
      <c r="Y530" s="2" t="s">
        <v>4201</v>
      </c>
      <c r="Z530" s="2" t="s">
        <v>4202</v>
      </c>
      <c r="AA530" s="2" t="s">
        <v>4203</v>
      </c>
      <c r="AB530" s="2" t="s">
        <v>4204</v>
      </c>
      <c r="AC530" s="2" t="s">
        <v>4205</v>
      </c>
    </row>
    <row r="531" spans="1:112" ht="170" x14ac:dyDescent="0.2">
      <c r="A531" s="7" t="s">
        <v>5235</v>
      </c>
      <c r="B531" s="7" t="s">
        <v>5236</v>
      </c>
      <c r="C531" s="2" t="s">
        <v>5236</v>
      </c>
      <c r="D531" s="1">
        <v>10</v>
      </c>
      <c r="E531" s="2" t="s">
        <v>23</v>
      </c>
      <c r="G531" s="2" t="s">
        <v>1194</v>
      </c>
      <c r="H531" s="2" t="s">
        <v>1147</v>
      </c>
      <c r="I531" s="2" t="s">
        <v>1760</v>
      </c>
      <c r="J531" s="12" t="s">
        <v>1761</v>
      </c>
      <c r="K531" s="12" t="s">
        <v>1762</v>
      </c>
      <c r="L531" s="12" t="s">
        <v>1762</v>
      </c>
      <c r="M531" s="12" t="s">
        <v>1763</v>
      </c>
      <c r="N531" s="12" t="s">
        <v>1772</v>
      </c>
      <c r="O531" s="12" t="s">
        <v>1765</v>
      </c>
      <c r="P531" s="12" t="s">
        <v>52</v>
      </c>
      <c r="Q531" s="12" t="s">
        <v>41</v>
      </c>
      <c r="R531" s="12" t="s">
        <v>32</v>
      </c>
      <c r="S531" s="12" t="s">
        <v>33</v>
      </c>
      <c r="T531" s="12" t="s">
        <v>1773</v>
      </c>
      <c r="U531" s="12" t="s">
        <v>5237</v>
      </c>
      <c r="V531" s="12" t="s">
        <v>5237</v>
      </c>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row>
    <row r="532" spans="1:112" ht="170" x14ac:dyDescent="0.2">
      <c r="A532" s="2" t="s">
        <v>1774</v>
      </c>
      <c r="B532" s="2" t="s">
        <v>1775</v>
      </c>
      <c r="C532" s="2" t="s">
        <v>1775</v>
      </c>
      <c r="D532" s="1">
        <v>10</v>
      </c>
      <c r="E532" s="2" t="s">
        <v>23</v>
      </c>
      <c r="G532" s="2" t="s">
        <v>1194</v>
      </c>
      <c r="H532" s="2" t="s">
        <v>1147</v>
      </c>
      <c r="I532" s="2" t="s">
        <v>1760</v>
      </c>
      <c r="J532" s="2" t="s">
        <v>1761</v>
      </c>
      <c r="K532" s="2" t="s">
        <v>1762</v>
      </c>
      <c r="L532" s="2" t="s">
        <v>1762</v>
      </c>
      <c r="M532" s="2" t="s">
        <v>1763</v>
      </c>
      <c r="N532" s="2" t="s">
        <v>1776</v>
      </c>
      <c r="O532" s="2" t="s">
        <v>375</v>
      </c>
      <c r="P532" s="2" t="s">
        <v>40</v>
      </c>
      <c r="Q532" s="2" t="s">
        <v>41</v>
      </c>
      <c r="R532" s="2" t="s">
        <v>32</v>
      </c>
      <c r="S532" s="2" t="s">
        <v>33</v>
      </c>
      <c r="T532" s="2" t="s">
        <v>1766</v>
      </c>
      <c r="U532" s="2" t="s">
        <v>4206</v>
      </c>
      <c r="V532" s="2" t="s">
        <v>4207</v>
      </c>
      <c r="W532" s="2" t="s">
        <v>4208</v>
      </c>
      <c r="X532" s="2" t="s">
        <v>1767</v>
      </c>
      <c r="Y532" s="2" t="s">
        <v>4209</v>
      </c>
      <c r="Z532" s="2" t="s">
        <v>4210</v>
      </c>
      <c r="AA532" s="2" t="s">
        <v>4211</v>
      </c>
      <c r="AB532" s="2" t="s">
        <v>4212</v>
      </c>
      <c r="AC532" s="2" t="s">
        <v>4213</v>
      </c>
      <c r="AD532" s="2" t="s">
        <v>4214</v>
      </c>
      <c r="AE532" s="2" t="s">
        <v>4215</v>
      </c>
      <c r="AF532" s="2" t="s">
        <v>4216</v>
      </c>
      <c r="AG532" s="2" t="s">
        <v>4217</v>
      </c>
      <c r="AH532" s="2" t="s">
        <v>4218</v>
      </c>
      <c r="AI532" s="2" t="s">
        <v>4219</v>
      </c>
      <c r="AJ532" s="2" t="s">
        <v>4220</v>
      </c>
      <c r="AK532" s="2" t="s">
        <v>4221</v>
      </c>
      <c r="AL532" s="2" t="s">
        <v>4222</v>
      </c>
      <c r="AM532" s="2" t="s">
        <v>4223</v>
      </c>
      <c r="AN532" s="2" t="s">
        <v>4224</v>
      </c>
      <c r="AO532" s="2" t="s">
        <v>4225</v>
      </c>
    </row>
    <row r="533" spans="1:112" ht="68" x14ac:dyDescent="0.2">
      <c r="A533" s="2" t="s">
        <v>1777</v>
      </c>
      <c r="B533" s="2" t="s">
        <v>1778</v>
      </c>
      <c r="C533" s="2" t="s">
        <v>1778</v>
      </c>
      <c r="D533" s="1">
        <v>10</v>
      </c>
      <c r="E533" s="2" t="s">
        <v>61</v>
      </c>
      <c r="F533" s="2" t="s">
        <v>1779</v>
      </c>
      <c r="G533" s="2" t="s">
        <v>1194</v>
      </c>
      <c r="H533" s="2" t="s">
        <v>509</v>
      </c>
      <c r="I533" s="2" t="s">
        <v>1780</v>
      </c>
      <c r="J533" s="2" t="s">
        <v>469</v>
      </c>
      <c r="K533" s="2" t="s">
        <v>470</v>
      </c>
      <c r="L533" s="2" t="s">
        <v>1781</v>
      </c>
      <c r="M533" s="2" t="s">
        <v>1782</v>
      </c>
      <c r="N533" s="2" t="s">
        <v>1783</v>
      </c>
      <c r="O533" s="2" t="s">
        <v>1782</v>
      </c>
      <c r="P533" s="2" t="s">
        <v>30</v>
      </c>
      <c r="Q533" s="2" t="s">
        <v>41</v>
      </c>
      <c r="R533" s="2" t="s">
        <v>32</v>
      </c>
      <c r="S533" s="2" t="s">
        <v>33</v>
      </c>
      <c r="T533" s="2" t="s">
        <v>1784</v>
      </c>
      <c r="U533" s="2" t="s">
        <v>4226</v>
      </c>
      <c r="V533" s="2" t="s">
        <v>4227</v>
      </c>
      <c r="W533" s="2" t="s">
        <v>4228</v>
      </c>
      <c r="X533" s="2" t="s">
        <v>4229</v>
      </c>
      <c r="Y533" s="2" t="s">
        <v>4230</v>
      </c>
      <c r="Z533" s="2" t="s">
        <v>4231</v>
      </c>
      <c r="AA533" s="2" t="s">
        <v>4232</v>
      </c>
      <c r="AB533" s="2" t="s">
        <v>4233</v>
      </c>
      <c r="AC533" s="2" t="s">
        <v>4234</v>
      </c>
      <c r="AD533" s="2" t="s">
        <v>4235</v>
      </c>
      <c r="AE533" s="2" t="s">
        <v>4236</v>
      </c>
      <c r="AF533" s="2" t="s">
        <v>4237</v>
      </c>
      <c r="AG533" s="2" t="s">
        <v>4238</v>
      </c>
      <c r="AH533" s="2" t="s">
        <v>4239</v>
      </c>
      <c r="AI533" s="2" t="s">
        <v>4240</v>
      </c>
      <c r="AJ533" s="2" t="s">
        <v>4241</v>
      </c>
      <c r="AK533" s="2" t="s">
        <v>4242</v>
      </c>
    </row>
    <row r="534" spans="1:112" ht="68" x14ac:dyDescent="0.2">
      <c r="A534" s="2" t="s">
        <v>1785</v>
      </c>
      <c r="B534" s="2" t="s">
        <v>1786</v>
      </c>
      <c r="C534" s="2" t="s">
        <v>1786</v>
      </c>
      <c r="D534" s="1">
        <v>10</v>
      </c>
      <c r="E534" s="2" t="s">
        <v>61</v>
      </c>
      <c r="F534" s="2" t="s">
        <v>1779</v>
      </c>
      <c r="G534" s="2" t="s">
        <v>1194</v>
      </c>
      <c r="H534" s="2" t="s">
        <v>509</v>
      </c>
      <c r="I534" s="2" t="s">
        <v>1780</v>
      </c>
      <c r="J534" s="2" t="s">
        <v>469</v>
      </c>
      <c r="K534" s="2" t="s">
        <v>470</v>
      </c>
      <c r="L534" s="2" t="s">
        <v>1781</v>
      </c>
      <c r="M534" s="2" t="s">
        <v>1782</v>
      </c>
      <c r="N534" s="2" t="s">
        <v>1783</v>
      </c>
      <c r="O534" s="2" t="s">
        <v>1782</v>
      </c>
      <c r="P534" s="2" t="s">
        <v>30</v>
      </c>
      <c r="Q534" s="2" t="s">
        <v>199</v>
      </c>
      <c r="R534" s="2" t="s">
        <v>32</v>
      </c>
      <c r="S534" s="2" t="s">
        <v>33</v>
      </c>
      <c r="T534" s="2" t="s">
        <v>1784</v>
      </c>
      <c r="U534" s="2" t="s">
        <v>4226</v>
      </c>
      <c r="V534" s="2" t="s">
        <v>4227</v>
      </c>
      <c r="W534" s="2" t="s">
        <v>4228</v>
      </c>
      <c r="X534" s="2" t="s">
        <v>4229</v>
      </c>
      <c r="Y534" s="2" t="s">
        <v>4230</v>
      </c>
      <c r="Z534" s="2" t="s">
        <v>4231</v>
      </c>
      <c r="AA534" s="2" t="s">
        <v>4232</v>
      </c>
      <c r="AB534" s="2" t="s">
        <v>4233</v>
      </c>
      <c r="AC534" s="2" t="s">
        <v>4234</v>
      </c>
      <c r="AD534" s="2" t="s">
        <v>4235</v>
      </c>
      <c r="AE534" s="2" t="s">
        <v>4236</v>
      </c>
      <c r="AF534" s="2" t="s">
        <v>4237</v>
      </c>
      <c r="AG534" s="2" t="s">
        <v>4238</v>
      </c>
      <c r="AH534" s="2" t="s">
        <v>4239</v>
      </c>
      <c r="AI534" s="2" t="s">
        <v>4240</v>
      </c>
      <c r="AJ534" s="2" t="s">
        <v>4241</v>
      </c>
      <c r="AK534" s="2" t="s">
        <v>4242</v>
      </c>
    </row>
    <row r="535" spans="1:112" ht="68" x14ac:dyDescent="0.2">
      <c r="A535" s="7" t="s">
        <v>5238</v>
      </c>
      <c r="B535" s="7" t="s">
        <v>5239</v>
      </c>
      <c r="C535" s="2" t="s">
        <v>5240</v>
      </c>
      <c r="D535" s="1">
        <v>10</v>
      </c>
      <c r="E535" s="2" t="s">
        <v>61</v>
      </c>
      <c r="F535" s="2" t="s">
        <v>1779</v>
      </c>
      <c r="G535" s="2" t="s">
        <v>1194</v>
      </c>
      <c r="H535" s="2" t="s">
        <v>509</v>
      </c>
      <c r="I535" s="2" t="s">
        <v>1780</v>
      </c>
      <c r="J535" s="12" t="s">
        <v>469</v>
      </c>
      <c r="K535" s="12" t="s">
        <v>470</v>
      </c>
      <c r="L535" s="12" t="s">
        <v>1781</v>
      </c>
      <c r="M535" s="12" t="s">
        <v>1782</v>
      </c>
      <c r="N535" s="12" t="s">
        <v>5241</v>
      </c>
      <c r="O535" s="12" t="s">
        <v>1782</v>
      </c>
      <c r="P535" s="12" t="s">
        <v>40</v>
      </c>
      <c r="Q535" s="12" t="s">
        <v>41</v>
      </c>
      <c r="R535" s="12" t="s">
        <v>32</v>
      </c>
      <c r="S535" s="12" t="s">
        <v>33</v>
      </c>
      <c r="T535" s="12" t="s">
        <v>5242</v>
      </c>
      <c r="U535" s="12" t="s">
        <v>5243</v>
      </c>
      <c r="V535" s="12" t="s">
        <v>5243</v>
      </c>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row>
    <row r="536" spans="1:112" ht="68" x14ac:dyDescent="0.2">
      <c r="A536" s="2" t="s">
        <v>1787</v>
      </c>
      <c r="B536" s="2" t="s">
        <v>1788</v>
      </c>
      <c r="C536" s="2" t="s">
        <v>1788</v>
      </c>
      <c r="D536" s="1">
        <v>10</v>
      </c>
      <c r="E536" s="2" t="s">
        <v>61</v>
      </c>
      <c r="F536" s="2" t="s">
        <v>1779</v>
      </c>
      <c r="G536" s="2" t="s">
        <v>1194</v>
      </c>
      <c r="H536" s="2" t="s">
        <v>509</v>
      </c>
      <c r="I536" s="2" t="s">
        <v>1780</v>
      </c>
      <c r="J536" s="2" t="s">
        <v>469</v>
      </c>
      <c r="K536" s="2" t="s">
        <v>470</v>
      </c>
      <c r="L536" s="2" t="s">
        <v>1781</v>
      </c>
      <c r="M536" s="2" t="s">
        <v>1782</v>
      </c>
      <c r="N536" s="2" t="s">
        <v>1789</v>
      </c>
      <c r="O536" s="2" t="s">
        <v>1782</v>
      </c>
      <c r="P536" s="2" t="s">
        <v>52</v>
      </c>
      <c r="Q536" s="2" t="s">
        <v>41</v>
      </c>
      <c r="R536" s="2" t="s">
        <v>32</v>
      </c>
      <c r="S536" s="2" t="s">
        <v>33</v>
      </c>
      <c r="T536" s="2" t="s">
        <v>1790</v>
      </c>
      <c r="U536" s="2" t="s">
        <v>4243</v>
      </c>
      <c r="V536" s="2" t="s">
        <v>4244</v>
      </c>
      <c r="W536" s="2" t="s">
        <v>4245</v>
      </c>
      <c r="X536" s="2" t="s">
        <v>4246</v>
      </c>
      <c r="Y536" s="2" t="s">
        <v>4247</v>
      </c>
      <c r="Z536" s="2" t="s">
        <v>4248</v>
      </c>
      <c r="AA536" s="2" t="s">
        <v>4249</v>
      </c>
      <c r="AB536" s="2" t="s">
        <v>4250</v>
      </c>
      <c r="AC536" s="2" t="s">
        <v>4251</v>
      </c>
    </row>
    <row r="537" spans="1:112" ht="68" x14ac:dyDescent="0.2">
      <c r="A537" s="2" t="s">
        <v>1791</v>
      </c>
      <c r="B537" s="2" t="s">
        <v>1792</v>
      </c>
      <c r="C537" s="2" t="s">
        <v>1792</v>
      </c>
      <c r="D537" s="1">
        <v>10</v>
      </c>
      <c r="E537" s="2" t="s">
        <v>61</v>
      </c>
      <c r="F537" s="2" t="s">
        <v>1779</v>
      </c>
      <c r="G537" s="2" t="s">
        <v>1194</v>
      </c>
      <c r="H537" s="2" t="s">
        <v>509</v>
      </c>
      <c r="I537" s="2" t="s">
        <v>1780</v>
      </c>
      <c r="J537" s="2" t="s">
        <v>469</v>
      </c>
      <c r="K537" s="2" t="s">
        <v>470</v>
      </c>
      <c r="L537" s="2" t="s">
        <v>1781</v>
      </c>
      <c r="M537" s="2" t="s">
        <v>1782</v>
      </c>
      <c r="N537" s="2" t="s">
        <v>1789</v>
      </c>
      <c r="O537" s="2" t="s">
        <v>1782</v>
      </c>
      <c r="P537" s="2" t="s">
        <v>52</v>
      </c>
      <c r="Q537" s="2" t="s">
        <v>199</v>
      </c>
      <c r="R537" s="2" t="s">
        <v>32</v>
      </c>
      <c r="S537" s="2" t="s">
        <v>33</v>
      </c>
      <c r="T537" s="2" t="s">
        <v>1790</v>
      </c>
      <c r="U537" s="2" t="s">
        <v>4243</v>
      </c>
      <c r="V537" s="2" t="s">
        <v>4244</v>
      </c>
      <c r="W537" s="2" t="s">
        <v>4245</v>
      </c>
      <c r="X537" s="2" t="s">
        <v>4246</v>
      </c>
      <c r="Y537" s="2" t="s">
        <v>4247</v>
      </c>
      <c r="Z537" s="2" t="s">
        <v>4248</v>
      </c>
      <c r="AA537" s="2" t="s">
        <v>4249</v>
      </c>
      <c r="AB537" s="2" t="s">
        <v>4250</v>
      </c>
      <c r="AC537" s="2" t="s">
        <v>4251</v>
      </c>
    </row>
    <row r="538" spans="1:112" ht="85" x14ac:dyDescent="0.2">
      <c r="A538" s="2" t="s">
        <v>1793</v>
      </c>
      <c r="B538" s="2" t="s">
        <v>1794</v>
      </c>
      <c r="C538" s="2" t="s">
        <v>1794</v>
      </c>
      <c r="D538" s="1">
        <v>10</v>
      </c>
      <c r="E538" s="2" t="s">
        <v>23</v>
      </c>
      <c r="G538" s="2" t="s">
        <v>1194</v>
      </c>
      <c r="H538" s="2" t="s">
        <v>1169</v>
      </c>
      <c r="I538" s="2" t="s">
        <v>1795</v>
      </c>
      <c r="J538" s="2" t="s">
        <v>27</v>
      </c>
      <c r="K538" s="2" t="s">
        <v>48</v>
      </c>
      <c r="L538" s="2" t="s">
        <v>1796</v>
      </c>
      <c r="M538" s="2" t="s">
        <v>1797</v>
      </c>
      <c r="N538" s="2" t="s">
        <v>1798</v>
      </c>
      <c r="O538" s="2" t="s">
        <v>52</v>
      </c>
      <c r="P538" s="2" t="s">
        <v>30</v>
      </c>
      <c r="Q538" s="2" t="s">
        <v>41</v>
      </c>
      <c r="R538" s="2" t="s">
        <v>32</v>
      </c>
      <c r="S538" s="2" t="s">
        <v>33</v>
      </c>
      <c r="T538" s="2" t="s">
        <v>1799</v>
      </c>
      <c r="U538" s="2" t="s">
        <v>1800</v>
      </c>
    </row>
    <row r="539" spans="1:112" ht="85" x14ac:dyDescent="0.2">
      <c r="A539" s="2" t="s">
        <v>1801</v>
      </c>
      <c r="B539" s="2" t="s">
        <v>1802</v>
      </c>
      <c r="C539" s="2" t="s">
        <v>1802</v>
      </c>
      <c r="D539" s="1">
        <v>10</v>
      </c>
      <c r="E539" s="2" t="s">
        <v>23</v>
      </c>
      <c r="G539" s="2" t="s">
        <v>1194</v>
      </c>
      <c r="H539" s="2" t="s">
        <v>1169</v>
      </c>
      <c r="I539" s="2" t="s">
        <v>1795</v>
      </c>
      <c r="J539" s="2" t="s">
        <v>27</v>
      </c>
      <c r="K539" s="2" t="s">
        <v>48</v>
      </c>
      <c r="L539" s="2" t="s">
        <v>1796</v>
      </c>
      <c r="M539" s="2" t="s">
        <v>1797</v>
      </c>
      <c r="N539" s="2" t="s">
        <v>1798</v>
      </c>
      <c r="O539" s="2" t="s">
        <v>52</v>
      </c>
      <c r="P539" s="2" t="s">
        <v>30</v>
      </c>
      <c r="Q539" s="2" t="s">
        <v>199</v>
      </c>
      <c r="R539" s="2" t="s">
        <v>32</v>
      </c>
      <c r="S539" s="2" t="s">
        <v>33</v>
      </c>
      <c r="T539" s="2" t="s">
        <v>1799</v>
      </c>
      <c r="U539" s="2" t="s">
        <v>1800</v>
      </c>
    </row>
    <row r="540" spans="1:112" ht="102" x14ac:dyDescent="0.2">
      <c r="A540" s="2" t="s">
        <v>1803</v>
      </c>
      <c r="B540" s="2" t="s">
        <v>1804</v>
      </c>
      <c r="C540" s="2" t="s">
        <v>1804</v>
      </c>
      <c r="D540" s="1">
        <v>10</v>
      </c>
      <c r="E540" s="2" t="s">
        <v>23</v>
      </c>
      <c r="G540" s="2" t="s">
        <v>1194</v>
      </c>
      <c r="H540" s="2" t="s">
        <v>369</v>
      </c>
      <c r="I540" s="2" t="s">
        <v>1805</v>
      </c>
      <c r="J540" s="2" t="s">
        <v>27</v>
      </c>
      <c r="K540" s="2" t="s">
        <v>64</v>
      </c>
      <c r="L540" s="2" t="s">
        <v>1806</v>
      </c>
      <c r="M540" s="2" t="s">
        <v>1807</v>
      </c>
      <c r="N540" s="2" t="s">
        <v>1808</v>
      </c>
      <c r="O540" s="2" t="s">
        <v>68</v>
      </c>
      <c r="P540" s="2" t="s">
        <v>183</v>
      </c>
      <c r="Q540" s="2" t="s">
        <v>41</v>
      </c>
      <c r="R540" s="2" t="s">
        <v>32</v>
      </c>
      <c r="S540" s="2" t="s">
        <v>33</v>
      </c>
      <c r="T540" s="2" t="s">
        <v>1809</v>
      </c>
      <c r="U540" s="2" t="s">
        <v>1810</v>
      </c>
    </row>
    <row r="541" spans="1:112" ht="85" x14ac:dyDescent="0.2">
      <c r="A541" s="2" t="s">
        <v>1815</v>
      </c>
      <c r="B541" s="2" t="s">
        <v>1816</v>
      </c>
      <c r="C541" s="2" t="s">
        <v>1816</v>
      </c>
      <c r="D541" s="1">
        <v>10</v>
      </c>
      <c r="E541" s="2" t="s">
        <v>1474</v>
      </c>
      <c r="F541" s="2" t="s">
        <v>1817</v>
      </c>
      <c r="G541" s="2" t="s">
        <v>1194</v>
      </c>
      <c r="H541" s="2" t="s">
        <v>538</v>
      </c>
      <c r="I541" s="2" t="s">
        <v>1818</v>
      </c>
      <c r="J541" s="2" t="s">
        <v>1761</v>
      </c>
      <c r="K541" s="2" t="s">
        <v>1819</v>
      </c>
      <c r="L541" s="2" t="s">
        <v>1819</v>
      </c>
      <c r="M541" s="2" t="s">
        <v>1820</v>
      </c>
      <c r="N541" s="2" t="s">
        <v>1821</v>
      </c>
      <c r="O541" s="2" t="s">
        <v>1820</v>
      </c>
      <c r="P541" s="2" t="s">
        <v>30</v>
      </c>
      <c r="Q541" s="2" t="s">
        <v>41</v>
      </c>
      <c r="R541" s="2" t="s">
        <v>32</v>
      </c>
      <c r="S541" s="2" t="s">
        <v>33</v>
      </c>
      <c r="T541" s="2" t="s">
        <v>1480</v>
      </c>
      <c r="U541" s="2" t="s">
        <v>4254</v>
      </c>
      <c r="V541" s="2" t="s">
        <v>4255</v>
      </c>
      <c r="W541" s="2" t="s">
        <v>4256</v>
      </c>
      <c r="X541" s="2" t="s">
        <v>4257</v>
      </c>
    </row>
    <row r="542" spans="1:112" ht="85" x14ac:dyDescent="0.2">
      <c r="A542" s="2" t="s">
        <v>1822</v>
      </c>
      <c r="B542" s="2" t="s">
        <v>1823</v>
      </c>
      <c r="C542" s="2" t="s">
        <v>1823</v>
      </c>
      <c r="D542" s="1">
        <v>10</v>
      </c>
      <c r="E542" s="2" t="s">
        <v>1474</v>
      </c>
      <c r="F542" s="2" t="s">
        <v>1817</v>
      </c>
      <c r="G542" s="2" t="s">
        <v>1194</v>
      </c>
      <c r="H542" s="2" t="s">
        <v>538</v>
      </c>
      <c r="I542" s="2" t="s">
        <v>1818</v>
      </c>
      <c r="J542" s="2" t="s">
        <v>1761</v>
      </c>
      <c r="K542" s="2" t="s">
        <v>1819</v>
      </c>
      <c r="L542" s="2" t="s">
        <v>1819</v>
      </c>
      <c r="M542" s="2" t="s">
        <v>1820</v>
      </c>
      <c r="N542" s="2" t="s">
        <v>1821</v>
      </c>
      <c r="O542" s="2" t="s">
        <v>1820</v>
      </c>
      <c r="P542" s="2" t="s">
        <v>30</v>
      </c>
      <c r="Q542" s="2" t="s">
        <v>199</v>
      </c>
      <c r="R542" s="2" t="s">
        <v>32</v>
      </c>
      <c r="S542" s="2" t="s">
        <v>33</v>
      </c>
      <c r="T542" s="2" t="s">
        <v>1480</v>
      </c>
      <c r="U542" s="2" t="s">
        <v>4254</v>
      </c>
      <c r="V542" s="2" t="s">
        <v>4255</v>
      </c>
      <c r="W542" s="2" t="s">
        <v>4256</v>
      </c>
      <c r="X542" s="2" t="s">
        <v>4257</v>
      </c>
    </row>
    <row r="543" spans="1:112" ht="85" x14ac:dyDescent="0.2">
      <c r="A543" s="2" t="s">
        <v>1824</v>
      </c>
      <c r="B543" s="2" t="s">
        <v>1825</v>
      </c>
      <c r="C543" s="2" t="s">
        <v>1825</v>
      </c>
      <c r="D543" s="1">
        <v>10</v>
      </c>
      <c r="E543" s="2" t="s">
        <v>1474</v>
      </c>
      <c r="F543" s="2" t="s">
        <v>1826</v>
      </c>
      <c r="G543" s="2" t="s">
        <v>1194</v>
      </c>
      <c r="H543" s="2" t="s">
        <v>538</v>
      </c>
      <c r="I543" s="2" t="s">
        <v>1818</v>
      </c>
      <c r="J543" s="2" t="s">
        <v>1007</v>
      </c>
      <c r="K543" s="2" t="s">
        <v>1008</v>
      </c>
      <c r="L543" s="2" t="s">
        <v>1008</v>
      </c>
      <c r="M543" s="2" t="s">
        <v>1827</v>
      </c>
      <c r="N543" s="2" t="s">
        <v>1828</v>
      </c>
      <c r="O543" s="2" t="s">
        <v>1827</v>
      </c>
      <c r="P543" s="2" t="s">
        <v>353</v>
      </c>
      <c r="Q543" s="2" t="s">
        <v>41</v>
      </c>
      <c r="R543" s="2" t="s">
        <v>32</v>
      </c>
      <c r="S543" s="2" t="s">
        <v>33</v>
      </c>
      <c r="T543" s="2" t="s">
        <v>1480</v>
      </c>
      <c r="U543" s="2" t="s">
        <v>4258</v>
      </c>
      <c r="V543" s="2" t="s">
        <v>4259</v>
      </c>
    </row>
    <row r="544" spans="1:112" ht="85" x14ac:dyDescent="0.2">
      <c r="A544" s="2" t="s">
        <v>1829</v>
      </c>
      <c r="B544" s="2" t="s">
        <v>1830</v>
      </c>
      <c r="C544" s="2" t="s">
        <v>1830</v>
      </c>
      <c r="D544" s="1">
        <v>10</v>
      </c>
      <c r="E544" s="2" t="s">
        <v>1474</v>
      </c>
      <c r="F544" s="2" t="s">
        <v>1826</v>
      </c>
      <c r="G544" s="2" t="s">
        <v>1194</v>
      </c>
      <c r="H544" s="2" t="s">
        <v>538</v>
      </c>
      <c r="I544" s="2" t="s">
        <v>1818</v>
      </c>
      <c r="J544" s="2" t="s">
        <v>1007</v>
      </c>
      <c r="K544" s="2" t="s">
        <v>1008</v>
      </c>
      <c r="L544" s="2" t="s">
        <v>1008</v>
      </c>
      <c r="M544" s="2" t="s">
        <v>1827</v>
      </c>
      <c r="N544" s="2" t="s">
        <v>1828</v>
      </c>
      <c r="O544" s="2" t="s">
        <v>1827</v>
      </c>
      <c r="P544" s="2" t="s">
        <v>353</v>
      </c>
      <c r="Q544" s="2" t="s">
        <v>199</v>
      </c>
      <c r="R544" s="2" t="s">
        <v>32</v>
      </c>
      <c r="S544" s="2" t="s">
        <v>33</v>
      </c>
      <c r="T544" s="2" t="s">
        <v>1480</v>
      </c>
      <c r="U544" s="2" t="s">
        <v>4258</v>
      </c>
      <c r="V544" s="2" t="s">
        <v>4259</v>
      </c>
    </row>
    <row r="545" spans="1:112" ht="85" x14ac:dyDescent="0.2">
      <c r="A545" s="2" t="s">
        <v>1831</v>
      </c>
      <c r="B545" s="2" t="s">
        <v>1832</v>
      </c>
      <c r="C545" s="2" t="s">
        <v>1833</v>
      </c>
      <c r="D545" s="1">
        <v>10</v>
      </c>
      <c r="E545" s="2" t="s">
        <v>61</v>
      </c>
      <c r="F545" s="2" t="s">
        <v>1834</v>
      </c>
      <c r="G545" s="2" t="s">
        <v>1194</v>
      </c>
      <c r="H545" s="2" t="s">
        <v>680</v>
      </c>
      <c r="I545" s="2" t="s">
        <v>1378</v>
      </c>
      <c r="J545" s="2" t="s">
        <v>27</v>
      </c>
      <c r="K545" s="2" t="s">
        <v>64</v>
      </c>
      <c r="L545" s="2" t="s">
        <v>90</v>
      </c>
      <c r="M545" s="2" t="s">
        <v>91</v>
      </c>
      <c r="N545" s="2" t="s">
        <v>1835</v>
      </c>
      <c r="O545" s="2" t="s">
        <v>93</v>
      </c>
      <c r="P545" s="2" t="s">
        <v>159</v>
      </c>
      <c r="Q545" s="2" t="s">
        <v>41</v>
      </c>
      <c r="R545" s="2" t="s">
        <v>32</v>
      </c>
      <c r="S545" s="2" t="s">
        <v>33</v>
      </c>
      <c r="T545" s="2" t="s">
        <v>1836</v>
      </c>
      <c r="U545" s="2" t="s">
        <v>4260</v>
      </c>
      <c r="V545" s="2" t="s">
        <v>4261</v>
      </c>
      <c r="W545" s="2" t="s">
        <v>4262</v>
      </c>
    </row>
    <row r="546" spans="1:112" ht="119" x14ac:dyDescent="0.2">
      <c r="A546" s="2" t="s">
        <v>1837</v>
      </c>
      <c r="B546" s="2" t="s">
        <v>1838</v>
      </c>
      <c r="D546" s="1">
        <v>10</v>
      </c>
      <c r="E546" s="2" t="s">
        <v>61</v>
      </c>
      <c r="F546" s="2" t="s">
        <v>1839</v>
      </c>
      <c r="G546" s="2" t="s">
        <v>1645</v>
      </c>
      <c r="H546" s="2" t="s">
        <v>538</v>
      </c>
      <c r="I546" s="2" t="s">
        <v>1306</v>
      </c>
      <c r="J546" s="2" t="s">
        <v>469</v>
      </c>
      <c r="K546" s="2" t="s">
        <v>470</v>
      </c>
      <c r="L546" s="2" t="s">
        <v>1840</v>
      </c>
      <c r="M546" s="2" t="s">
        <v>854</v>
      </c>
      <c r="N546" s="2" t="s">
        <v>1841</v>
      </c>
      <c r="O546" s="2" t="s">
        <v>854</v>
      </c>
      <c r="P546" s="2" t="s">
        <v>227</v>
      </c>
      <c r="Q546" s="2" t="s">
        <v>40</v>
      </c>
      <c r="R546" s="2" t="s">
        <v>32</v>
      </c>
      <c r="S546" s="2" t="s">
        <v>33</v>
      </c>
      <c r="T546" s="2" t="s">
        <v>1842</v>
      </c>
      <c r="U546" s="2" t="s">
        <v>4263</v>
      </c>
      <c r="V546" s="2" t="s">
        <v>4264</v>
      </c>
      <c r="W546" s="2" t="s">
        <v>4265</v>
      </c>
    </row>
    <row r="547" spans="1:112" ht="119" x14ac:dyDescent="0.2">
      <c r="A547" s="2" t="s">
        <v>1843</v>
      </c>
      <c r="B547" s="2" t="s">
        <v>1844</v>
      </c>
      <c r="C547" s="2" t="s">
        <v>1844</v>
      </c>
      <c r="D547" s="1">
        <v>10</v>
      </c>
      <c r="E547" s="2" t="s">
        <v>61</v>
      </c>
      <c r="F547" s="2" t="s">
        <v>1839</v>
      </c>
      <c r="G547" s="2" t="s">
        <v>1645</v>
      </c>
      <c r="H547" s="2" t="s">
        <v>538</v>
      </c>
      <c r="I547" s="2" t="s">
        <v>1306</v>
      </c>
      <c r="J547" s="2" t="s">
        <v>469</v>
      </c>
      <c r="K547" s="2" t="s">
        <v>470</v>
      </c>
      <c r="L547" s="2" t="s">
        <v>1840</v>
      </c>
      <c r="M547" s="2" t="s">
        <v>854</v>
      </c>
      <c r="N547" s="2" t="s">
        <v>1845</v>
      </c>
      <c r="O547" s="2" t="s">
        <v>854</v>
      </c>
      <c r="P547" s="2" t="s">
        <v>564</v>
      </c>
      <c r="Q547" s="2" t="s">
        <v>41</v>
      </c>
      <c r="R547" s="2" t="s">
        <v>32</v>
      </c>
      <c r="S547" s="2" t="s">
        <v>33</v>
      </c>
      <c r="T547" s="2" t="s">
        <v>1846</v>
      </c>
      <c r="U547" s="2" t="s">
        <v>4266</v>
      </c>
      <c r="V547" s="2" t="s">
        <v>4267</v>
      </c>
      <c r="W547" s="2" t="s">
        <v>4268</v>
      </c>
      <c r="X547" s="2" t="s">
        <v>4269</v>
      </c>
    </row>
    <row r="548" spans="1:112" ht="119" x14ac:dyDescent="0.2">
      <c r="A548" s="7" t="s">
        <v>5323</v>
      </c>
      <c r="B548" s="7" t="s">
        <v>5324</v>
      </c>
      <c r="C548" s="2" t="s">
        <v>5324</v>
      </c>
      <c r="D548" s="1">
        <v>10</v>
      </c>
      <c r="E548" s="2" t="s">
        <v>153</v>
      </c>
      <c r="F548" s="2" t="s">
        <v>2054</v>
      </c>
      <c r="G548" s="2" t="s">
        <v>1194</v>
      </c>
      <c r="I548" s="2" t="s">
        <v>2126</v>
      </c>
      <c r="J548" s="12" t="s">
        <v>469</v>
      </c>
      <c r="K548" s="12" t="s">
        <v>470</v>
      </c>
      <c r="L548" s="12" t="s">
        <v>1840</v>
      </c>
      <c r="M548" s="12" t="s">
        <v>854</v>
      </c>
      <c r="N548" s="12" t="s">
        <v>5325</v>
      </c>
      <c r="O548" s="12" t="s">
        <v>854</v>
      </c>
      <c r="P548" s="12" t="s">
        <v>192</v>
      </c>
      <c r="Q548" s="12" t="s">
        <v>30</v>
      </c>
      <c r="R548" s="12" t="s">
        <v>32</v>
      </c>
      <c r="S548" s="12" t="s">
        <v>33</v>
      </c>
      <c r="T548" s="12" t="s">
        <v>5326</v>
      </c>
      <c r="U548" s="12" t="s">
        <v>5327</v>
      </c>
      <c r="V548" s="12" t="s">
        <v>5327</v>
      </c>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c r="DB548" s="12"/>
      <c r="DC548" s="12"/>
      <c r="DD548" s="12"/>
      <c r="DE548" s="12"/>
      <c r="DF548" s="12"/>
      <c r="DG548" s="12"/>
      <c r="DH548" s="12"/>
    </row>
    <row r="549" spans="1:112" ht="119" x14ac:dyDescent="0.2">
      <c r="A549" s="2" t="s">
        <v>1847</v>
      </c>
      <c r="B549" s="2" t="s">
        <v>1848</v>
      </c>
      <c r="C549" s="2" t="s">
        <v>1848</v>
      </c>
      <c r="D549" s="1">
        <v>10</v>
      </c>
      <c r="E549" s="2" t="s">
        <v>61</v>
      </c>
      <c r="F549" s="2" t="s">
        <v>1839</v>
      </c>
      <c r="G549" s="2" t="s">
        <v>1645</v>
      </c>
      <c r="H549" s="2" t="s">
        <v>538</v>
      </c>
      <c r="I549" s="2" t="s">
        <v>1306</v>
      </c>
      <c r="J549" s="2" t="s">
        <v>469</v>
      </c>
      <c r="K549" s="2" t="s">
        <v>470</v>
      </c>
      <c r="L549" s="2" t="s">
        <v>1840</v>
      </c>
      <c r="M549" s="2" t="s">
        <v>854</v>
      </c>
      <c r="N549" s="2" t="s">
        <v>1849</v>
      </c>
      <c r="O549" s="2" t="s">
        <v>854</v>
      </c>
      <c r="P549" s="2" t="s">
        <v>257</v>
      </c>
      <c r="Q549" s="2" t="s">
        <v>41</v>
      </c>
      <c r="R549" s="2" t="s">
        <v>32</v>
      </c>
      <c r="S549" s="2" t="s">
        <v>33</v>
      </c>
      <c r="T549" s="2" t="s">
        <v>1850</v>
      </c>
      <c r="U549" s="2" t="s">
        <v>4270</v>
      </c>
      <c r="V549" s="2" t="s">
        <v>4271</v>
      </c>
      <c r="W549" s="2" t="s">
        <v>4272</v>
      </c>
      <c r="X549" s="2" t="s">
        <v>4273</v>
      </c>
      <c r="Y549" s="2" t="s">
        <v>4274</v>
      </c>
    </row>
    <row r="550" spans="1:112" ht="119" x14ac:dyDescent="0.2">
      <c r="A550" s="2" t="s">
        <v>1851</v>
      </c>
      <c r="B550" s="2" t="s">
        <v>1852</v>
      </c>
      <c r="C550" s="2" t="s">
        <v>1852</v>
      </c>
      <c r="D550" s="1">
        <v>10</v>
      </c>
      <c r="E550" s="2" t="s">
        <v>61</v>
      </c>
      <c r="F550" s="2" t="s">
        <v>1839</v>
      </c>
      <c r="G550" s="2" t="s">
        <v>1645</v>
      </c>
      <c r="H550" s="2" t="s">
        <v>538</v>
      </c>
      <c r="I550" s="2" t="s">
        <v>1306</v>
      </c>
      <c r="J550" s="2" t="s">
        <v>469</v>
      </c>
      <c r="K550" s="2" t="s">
        <v>470</v>
      </c>
      <c r="L550" s="2" t="s">
        <v>1840</v>
      </c>
      <c r="M550" s="2" t="s">
        <v>854</v>
      </c>
      <c r="N550" s="2" t="s">
        <v>1853</v>
      </c>
      <c r="O550" s="2" t="s">
        <v>854</v>
      </c>
      <c r="P550" s="2" t="s">
        <v>339</v>
      </c>
      <c r="Q550" s="2" t="s">
        <v>41</v>
      </c>
      <c r="R550" s="2" t="s">
        <v>32</v>
      </c>
      <c r="S550" s="2" t="s">
        <v>33</v>
      </c>
      <c r="T550" s="2" t="s">
        <v>1854</v>
      </c>
      <c r="U550" s="2" t="s">
        <v>4275</v>
      </c>
      <c r="V550" s="2" t="s">
        <v>4276</v>
      </c>
      <c r="W550" s="2" t="s">
        <v>4277</v>
      </c>
      <c r="X550" s="2" t="s">
        <v>4278</v>
      </c>
      <c r="Y550" s="2" t="s">
        <v>4279</v>
      </c>
      <c r="Z550" s="2" t="s">
        <v>4280</v>
      </c>
      <c r="AA550" s="2" t="s">
        <v>4281</v>
      </c>
      <c r="AB550" s="2" t="s">
        <v>4282</v>
      </c>
    </row>
    <row r="551" spans="1:112" ht="119" x14ac:dyDescent="0.2">
      <c r="A551" s="2" t="s">
        <v>1855</v>
      </c>
      <c r="B551" s="2" t="s">
        <v>1856</v>
      </c>
      <c r="C551" s="2" t="s">
        <v>1856</v>
      </c>
      <c r="D551" s="1">
        <v>10</v>
      </c>
      <c r="E551" s="2" t="s">
        <v>61</v>
      </c>
      <c r="F551" s="2" t="s">
        <v>1839</v>
      </c>
      <c r="G551" s="2" t="s">
        <v>1645</v>
      </c>
      <c r="H551" s="2" t="s">
        <v>538</v>
      </c>
      <c r="I551" s="2" t="s">
        <v>1306</v>
      </c>
      <c r="J551" s="2" t="s">
        <v>469</v>
      </c>
      <c r="K551" s="2" t="s">
        <v>470</v>
      </c>
      <c r="L551" s="2" t="s">
        <v>1840</v>
      </c>
      <c r="M551" s="2" t="s">
        <v>854</v>
      </c>
      <c r="N551" s="2" t="s">
        <v>1853</v>
      </c>
      <c r="O551" s="2" t="s">
        <v>854</v>
      </c>
      <c r="P551" s="2" t="s">
        <v>339</v>
      </c>
      <c r="Q551" s="2" t="s">
        <v>199</v>
      </c>
      <c r="R551" s="2" t="s">
        <v>32</v>
      </c>
      <c r="S551" s="2" t="s">
        <v>33</v>
      </c>
      <c r="T551" s="2" t="s">
        <v>1854</v>
      </c>
      <c r="U551" s="2" t="s">
        <v>4275</v>
      </c>
      <c r="V551" s="2" t="s">
        <v>4276</v>
      </c>
      <c r="W551" s="2" t="s">
        <v>4277</v>
      </c>
      <c r="X551" s="2" t="s">
        <v>4278</v>
      </c>
      <c r="Y551" s="2" t="s">
        <v>4279</v>
      </c>
      <c r="Z551" s="2" t="s">
        <v>4280</v>
      </c>
      <c r="AA551" s="2" t="s">
        <v>4281</v>
      </c>
      <c r="AB551" s="2" t="s">
        <v>4282</v>
      </c>
    </row>
    <row r="552" spans="1:112" ht="119" x14ac:dyDescent="0.2">
      <c r="A552" s="2" t="s">
        <v>1857</v>
      </c>
      <c r="B552" s="2" t="s">
        <v>1858</v>
      </c>
      <c r="C552" s="2" t="s">
        <v>1858</v>
      </c>
      <c r="D552" s="1">
        <v>10</v>
      </c>
      <c r="E552" s="2" t="s">
        <v>61</v>
      </c>
      <c r="F552" s="2" t="s">
        <v>1839</v>
      </c>
      <c r="G552" s="2" t="s">
        <v>1645</v>
      </c>
      <c r="H552" s="2" t="s">
        <v>538</v>
      </c>
      <c r="I552" s="2" t="s">
        <v>1306</v>
      </c>
      <c r="J552" s="2" t="s">
        <v>469</v>
      </c>
      <c r="K552" s="2" t="s">
        <v>470</v>
      </c>
      <c r="L552" s="2" t="s">
        <v>1840</v>
      </c>
      <c r="M552" s="2" t="s">
        <v>854</v>
      </c>
      <c r="N552" s="2" t="s">
        <v>1859</v>
      </c>
      <c r="O552" s="2" t="s">
        <v>854</v>
      </c>
      <c r="P552" s="2" t="s">
        <v>540</v>
      </c>
      <c r="Q552" s="2" t="s">
        <v>41</v>
      </c>
      <c r="R552" s="2" t="s">
        <v>32</v>
      </c>
      <c r="S552" s="2" t="s">
        <v>33</v>
      </c>
      <c r="T552" s="2" t="s">
        <v>1860</v>
      </c>
      <c r="U552" s="2" t="s">
        <v>4283</v>
      </c>
      <c r="V552" s="2" t="s">
        <v>4284</v>
      </c>
      <c r="W552" s="2" t="s">
        <v>4285</v>
      </c>
      <c r="X552" s="2" t="s">
        <v>4286</v>
      </c>
      <c r="Y552" s="2" t="s">
        <v>4287</v>
      </c>
    </row>
    <row r="553" spans="1:112" ht="68" x14ac:dyDescent="0.2">
      <c r="A553" s="2" t="s">
        <v>1861</v>
      </c>
      <c r="B553" s="2" t="s">
        <v>1862</v>
      </c>
      <c r="C553" s="2" t="s">
        <v>1862</v>
      </c>
      <c r="D553" s="1">
        <v>10</v>
      </c>
      <c r="E553" s="2" t="s">
        <v>23</v>
      </c>
      <c r="G553" s="2" t="s">
        <v>1645</v>
      </c>
      <c r="H553" s="2" t="s">
        <v>1863</v>
      </c>
      <c r="I553" s="2" t="s">
        <v>1864</v>
      </c>
      <c r="J553" s="2" t="s">
        <v>645</v>
      </c>
      <c r="K553" s="2" t="s">
        <v>646</v>
      </c>
      <c r="L553" s="2" t="s">
        <v>647</v>
      </c>
      <c r="M553" s="2" t="s">
        <v>648</v>
      </c>
      <c r="N553" s="2" t="s">
        <v>1865</v>
      </c>
      <c r="O553" s="2" t="s">
        <v>648</v>
      </c>
      <c r="P553" s="2" t="s">
        <v>30</v>
      </c>
      <c r="Q553" s="2" t="s">
        <v>41</v>
      </c>
      <c r="R553" s="2" t="s">
        <v>32</v>
      </c>
      <c r="S553" s="2" t="s">
        <v>33</v>
      </c>
      <c r="T553" s="2" t="s">
        <v>1866</v>
      </c>
      <c r="U553" s="2" t="s">
        <v>4288</v>
      </c>
      <c r="V553" s="2" t="s">
        <v>4289</v>
      </c>
    </row>
    <row r="554" spans="1:112" ht="68" x14ac:dyDescent="0.2">
      <c r="A554" s="2" t="s">
        <v>1867</v>
      </c>
      <c r="B554" s="2" t="s">
        <v>1868</v>
      </c>
      <c r="C554" s="2" t="s">
        <v>1868</v>
      </c>
      <c r="D554" s="1">
        <v>10</v>
      </c>
      <c r="E554" s="2" t="s">
        <v>23</v>
      </c>
      <c r="G554" s="2" t="s">
        <v>1645</v>
      </c>
      <c r="H554" s="2" t="s">
        <v>1863</v>
      </c>
      <c r="I554" s="2" t="s">
        <v>1864</v>
      </c>
      <c r="J554" s="2" t="s">
        <v>645</v>
      </c>
      <c r="K554" s="2" t="s">
        <v>646</v>
      </c>
      <c r="L554" s="2" t="s">
        <v>647</v>
      </c>
      <c r="M554" s="2" t="s">
        <v>648</v>
      </c>
      <c r="N554" s="2" t="s">
        <v>1865</v>
      </c>
      <c r="O554" s="2" t="s">
        <v>648</v>
      </c>
      <c r="P554" s="2" t="s">
        <v>30</v>
      </c>
      <c r="Q554" s="2" t="s">
        <v>199</v>
      </c>
      <c r="R554" s="2" t="s">
        <v>32</v>
      </c>
      <c r="S554" s="2" t="s">
        <v>33</v>
      </c>
      <c r="T554" s="2" t="s">
        <v>1866</v>
      </c>
      <c r="U554" s="2" t="s">
        <v>4288</v>
      </c>
      <c r="V554" s="2" t="s">
        <v>4289</v>
      </c>
    </row>
    <row r="555" spans="1:112" ht="119" x14ac:dyDescent="0.2">
      <c r="A555" s="7" t="s">
        <v>5375</v>
      </c>
      <c r="B555" s="7" t="s">
        <v>5376</v>
      </c>
      <c r="C555" s="2" t="s">
        <v>5376</v>
      </c>
      <c r="D555" s="1">
        <v>10</v>
      </c>
      <c r="E555" s="2" t="s">
        <v>23</v>
      </c>
      <c r="F555" s="2" t="s">
        <v>1384</v>
      </c>
      <c r="G555" s="2" t="s">
        <v>1194</v>
      </c>
      <c r="H555" s="2" t="s">
        <v>664</v>
      </c>
      <c r="I555" s="2" t="s">
        <v>1995</v>
      </c>
      <c r="J555" s="12" t="s">
        <v>645</v>
      </c>
      <c r="K555" s="12" t="s">
        <v>646</v>
      </c>
      <c r="L555" s="12" t="s">
        <v>647</v>
      </c>
      <c r="M555" s="12" t="s">
        <v>648</v>
      </c>
      <c r="N555" s="12" t="s">
        <v>5377</v>
      </c>
      <c r="O555" s="12" t="s">
        <v>1068</v>
      </c>
      <c r="P555" s="12" t="s">
        <v>109</v>
      </c>
      <c r="Q555" s="12" t="s">
        <v>41</v>
      </c>
      <c r="R555" s="12" t="s">
        <v>32</v>
      </c>
      <c r="S555" s="12" t="s">
        <v>33</v>
      </c>
      <c r="T555" s="12" t="s">
        <v>5378</v>
      </c>
      <c r="U555" s="12" t="s">
        <v>5379</v>
      </c>
      <c r="V555" s="12" t="s">
        <v>5379</v>
      </c>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c r="CA555" s="12"/>
      <c r="CB555" s="12"/>
      <c r="CC555" s="12"/>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row>
    <row r="556" spans="1:112" ht="102" x14ac:dyDescent="0.2">
      <c r="A556" s="2" t="s">
        <v>1869</v>
      </c>
      <c r="B556" s="2" t="s">
        <v>1870</v>
      </c>
      <c r="C556" s="2" t="s">
        <v>1870</v>
      </c>
      <c r="D556" s="1">
        <v>10</v>
      </c>
      <c r="E556" s="2" t="s">
        <v>23</v>
      </c>
      <c r="G556" s="2" t="s">
        <v>1194</v>
      </c>
      <c r="H556" s="2" t="s">
        <v>1871</v>
      </c>
      <c r="I556" s="2" t="s">
        <v>1872</v>
      </c>
      <c r="J556" s="2" t="s">
        <v>645</v>
      </c>
      <c r="K556" s="2" t="s">
        <v>646</v>
      </c>
      <c r="L556" s="2" t="s">
        <v>647</v>
      </c>
      <c r="M556" s="2" t="s">
        <v>648</v>
      </c>
      <c r="N556" s="2" t="s">
        <v>1873</v>
      </c>
      <c r="O556" s="2" t="s">
        <v>1068</v>
      </c>
      <c r="P556" s="2" t="s">
        <v>165</v>
      </c>
      <c r="Q556" s="2" t="s">
        <v>41</v>
      </c>
      <c r="R556" s="2" t="s">
        <v>32</v>
      </c>
      <c r="S556" s="2" t="s">
        <v>33</v>
      </c>
      <c r="T556" s="2" t="s">
        <v>1874</v>
      </c>
      <c r="U556" s="2" t="s">
        <v>4290</v>
      </c>
      <c r="V556" s="2" t="s">
        <v>4291</v>
      </c>
    </row>
    <row r="557" spans="1:112" ht="102" x14ac:dyDescent="0.2">
      <c r="A557" s="2" t="s">
        <v>1875</v>
      </c>
      <c r="B557" s="2" t="s">
        <v>1870</v>
      </c>
      <c r="C557" s="2" t="s">
        <v>1870</v>
      </c>
      <c r="D557" s="1">
        <v>10</v>
      </c>
      <c r="E557" s="2" t="s">
        <v>23</v>
      </c>
      <c r="G557" s="2" t="s">
        <v>1194</v>
      </c>
      <c r="H557" s="2" t="s">
        <v>1871</v>
      </c>
      <c r="I557" s="2" t="s">
        <v>1872</v>
      </c>
      <c r="J557" s="2" t="s">
        <v>645</v>
      </c>
      <c r="K557" s="2" t="s">
        <v>646</v>
      </c>
      <c r="L557" s="2" t="s">
        <v>647</v>
      </c>
      <c r="M557" s="2" t="s">
        <v>648</v>
      </c>
      <c r="N557" s="2" t="s">
        <v>1873</v>
      </c>
      <c r="O557" s="2" t="s">
        <v>1068</v>
      </c>
      <c r="P557" s="2" t="s">
        <v>165</v>
      </c>
      <c r="Q557" s="2" t="s">
        <v>199</v>
      </c>
      <c r="R557" s="2" t="s">
        <v>32</v>
      </c>
      <c r="S557" s="2" t="s">
        <v>33</v>
      </c>
      <c r="T557" s="2" t="s">
        <v>1874</v>
      </c>
      <c r="U557" s="2" t="s">
        <v>4290</v>
      </c>
      <c r="V557" s="2" t="s">
        <v>4291</v>
      </c>
    </row>
    <row r="558" spans="1:112" ht="102" x14ac:dyDescent="0.2">
      <c r="A558" s="2" t="s">
        <v>1876</v>
      </c>
      <c r="B558" s="2" t="s">
        <v>1877</v>
      </c>
      <c r="C558" s="2" t="s">
        <v>1877</v>
      </c>
      <c r="D558" s="1">
        <v>10</v>
      </c>
      <c r="E558" s="2" t="s">
        <v>23</v>
      </c>
      <c r="G558" s="2" t="s">
        <v>1194</v>
      </c>
      <c r="H558" s="2" t="s">
        <v>1871</v>
      </c>
      <c r="I558" s="2" t="s">
        <v>1872</v>
      </c>
      <c r="J558" s="2" t="s">
        <v>645</v>
      </c>
      <c r="K558" s="2" t="s">
        <v>646</v>
      </c>
      <c r="L558" s="2" t="s">
        <v>647</v>
      </c>
      <c r="M558" s="2" t="s">
        <v>648</v>
      </c>
      <c r="N558" s="2" t="s">
        <v>1878</v>
      </c>
      <c r="O558" s="2" t="s">
        <v>1068</v>
      </c>
      <c r="P558" s="2" t="s">
        <v>183</v>
      </c>
      <c r="Q558" s="2" t="s">
        <v>41</v>
      </c>
      <c r="R558" s="2" t="s">
        <v>32</v>
      </c>
      <c r="S558" s="2" t="s">
        <v>33</v>
      </c>
      <c r="T558" s="2" t="s">
        <v>1879</v>
      </c>
      <c r="U558" s="2" t="s">
        <v>4292</v>
      </c>
      <c r="V558" s="2" t="s">
        <v>4293</v>
      </c>
    </row>
    <row r="559" spans="1:112" ht="102" x14ac:dyDescent="0.2">
      <c r="A559" s="7" t="s">
        <v>5386</v>
      </c>
      <c r="B559" s="7" t="s">
        <v>5387</v>
      </c>
      <c r="C559" s="2" t="s">
        <v>5387</v>
      </c>
      <c r="D559" s="1">
        <v>10</v>
      </c>
      <c r="E559" s="2" t="s">
        <v>23</v>
      </c>
      <c r="G559" s="2" t="s">
        <v>1194</v>
      </c>
      <c r="H559" s="2" t="s">
        <v>1871</v>
      </c>
      <c r="I559" s="2" t="s">
        <v>1872</v>
      </c>
      <c r="J559" s="12" t="s">
        <v>645</v>
      </c>
      <c r="K559" s="12" t="s">
        <v>646</v>
      </c>
      <c r="L559" s="12" t="s">
        <v>647</v>
      </c>
      <c r="M559" s="12" t="s">
        <v>648</v>
      </c>
      <c r="N559" s="12" t="s">
        <v>1878</v>
      </c>
      <c r="O559" s="12" t="s">
        <v>1068</v>
      </c>
      <c r="P559" s="12" t="s">
        <v>183</v>
      </c>
      <c r="Q559" s="12" t="s">
        <v>199</v>
      </c>
      <c r="R559" s="12" t="s">
        <v>32</v>
      </c>
      <c r="S559" s="12" t="s">
        <v>33</v>
      </c>
      <c r="T559" s="12" t="s">
        <v>1879</v>
      </c>
      <c r="U559" s="12" t="s">
        <v>5388</v>
      </c>
      <c r="V559" s="12" t="s">
        <v>5388</v>
      </c>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row>
    <row r="560" spans="1:112" ht="102" x14ac:dyDescent="0.2">
      <c r="A560" s="2" t="s">
        <v>1880</v>
      </c>
      <c r="B560" s="2" t="s">
        <v>1881</v>
      </c>
      <c r="C560" s="2" t="s">
        <v>1881</v>
      </c>
      <c r="D560" s="1">
        <v>10</v>
      </c>
      <c r="E560" s="2" t="s">
        <v>23</v>
      </c>
      <c r="G560" s="2" t="s">
        <v>1194</v>
      </c>
      <c r="H560" s="2" t="s">
        <v>1871</v>
      </c>
      <c r="I560" s="2" t="s">
        <v>1882</v>
      </c>
      <c r="J560" s="2" t="s">
        <v>645</v>
      </c>
      <c r="K560" s="2" t="s">
        <v>646</v>
      </c>
      <c r="L560" s="2" t="s">
        <v>647</v>
      </c>
      <c r="M560" s="2" t="s">
        <v>648</v>
      </c>
      <c r="N560" s="2" t="s">
        <v>1883</v>
      </c>
      <c r="O560" s="2" t="s">
        <v>183</v>
      </c>
      <c r="P560" s="2" t="s">
        <v>1884</v>
      </c>
      <c r="Q560" s="2" t="s">
        <v>41</v>
      </c>
      <c r="R560" s="2" t="s">
        <v>32</v>
      </c>
      <c r="S560" s="2" t="s">
        <v>33</v>
      </c>
      <c r="T560" s="2" t="s">
        <v>1885</v>
      </c>
      <c r="U560" s="2" t="s">
        <v>4294</v>
      </c>
      <c r="V560" s="2" t="s">
        <v>4295</v>
      </c>
    </row>
    <row r="561" spans="1:112" ht="119" x14ac:dyDescent="0.2">
      <c r="A561" s="7" t="s">
        <v>5389</v>
      </c>
      <c r="B561" s="7" t="s">
        <v>5390</v>
      </c>
      <c r="C561" s="2" t="s">
        <v>5390</v>
      </c>
      <c r="D561" s="1">
        <v>10</v>
      </c>
      <c r="E561" s="2" t="s">
        <v>23</v>
      </c>
      <c r="G561" s="2" t="s">
        <v>1194</v>
      </c>
      <c r="H561" s="2" t="s">
        <v>680</v>
      </c>
      <c r="I561" s="2" t="s">
        <v>1888</v>
      </c>
      <c r="J561" s="12" t="s">
        <v>469</v>
      </c>
      <c r="K561" s="12" t="s">
        <v>470</v>
      </c>
      <c r="L561" s="12" t="s">
        <v>1160</v>
      </c>
      <c r="M561" s="12" t="s">
        <v>1161</v>
      </c>
      <c r="N561" s="12" t="s">
        <v>1889</v>
      </c>
      <c r="O561" s="12" t="s">
        <v>1161</v>
      </c>
      <c r="P561" s="12" t="s">
        <v>40</v>
      </c>
      <c r="Q561" s="12" t="s">
        <v>165</v>
      </c>
      <c r="R561" s="12" t="s">
        <v>32</v>
      </c>
      <c r="S561" s="12" t="s">
        <v>33</v>
      </c>
      <c r="T561" s="12" t="s">
        <v>5391</v>
      </c>
      <c r="U561" s="12" t="s">
        <v>5392</v>
      </c>
      <c r="V561" s="12" t="s">
        <v>5392</v>
      </c>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c r="DD561" s="12"/>
      <c r="DE561" s="12"/>
      <c r="DF561" s="12"/>
      <c r="DG561" s="12"/>
      <c r="DH561" s="12"/>
    </row>
    <row r="562" spans="1:112" ht="119" x14ac:dyDescent="0.2">
      <c r="A562" s="2" t="s">
        <v>1886</v>
      </c>
      <c r="B562" s="2" t="s">
        <v>1887</v>
      </c>
      <c r="C562" s="2" t="s">
        <v>1887</v>
      </c>
      <c r="D562" s="1">
        <v>10</v>
      </c>
      <c r="E562" s="2" t="s">
        <v>23</v>
      </c>
      <c r="G562" s="2" t="s">
        <v>1194</v>
      </c>
      <c r="H562" s="2" t="s">
        <v>680</v>
      </c>
      <c r="I562" s="2" t="s">
        <v>1888</v>
      </c>
      <c r="J562" s="2" t="s">
        <v>469</v>
      </c>
      <c r="K562" s="2" t="s">
        <v>470</v>
      </c>
      <c r="L562" s="2" t="s">
        <v>1160</v>
      </c>
      <c r="M562" s="2" t="s">
        <v>1161</v>
      </c>
      <c r="N562" s="2" t="s">
        <v>1889</v>
      </c>
      <c r="O562" s="2" t="s">
        <v>1161</v>
      </c>
      <c r="P562" s="2" t="s">
        <v>40</v>
      </c>
      <c r="Q562" s="2" t="s">
        <v>183</v>
      </c>
      <c r="R562" s="2" t="s">
        <v>32</v>
      </c>
      <c r="S562" s="2" t="s">
        <v>33</v>
      </c>
      <c r="T562" s="2" t="s">
        <v>1890</v>
      </c>
      <c r="U562" s="2" t="s">
        <v>4296</v>
      </c>
      <c r="V562" s="2" t="s">
        <v>4297</v>
      </c>
      <c r="W562" s="2" t="s">
        <v>4298</v>
      </c>
      <c r="X562" s="2" t="s">
        <v>4299</v>
      </c>
      <c r="Y562" s="2" t="s">
        <v>4300</v>
      </c>
      <c r="Z562" s="2" t="s">
        <v>4301</v>
      </c>
      <c r="AA562" s="2" t="s">
        <v>4302</v>
      </c>
      <c r="AB562" s="2" t="s">
        <v>4303</v>
      </c>
      <c r="AC562" s="2" t="s">
        <v>4304</v>
      </c>
      <c r="AD562" s="2" t="s">
        <v>4305</v>
      </c>
      <c r="AE562" s="2" t="s">
        <v>4306</v>
      </c>
      <c r="AF562" s="2" t="s">
        <v>4307</v>
      </c>
      <c r="AG562" s="2" t="s">
        <v>4308</v>
      </c>
      <c r="AH562" s="2" t="s">
        <v>4309</v>
      </c>
      <c r="AI562" s="2" t="s">
        <v>4310</v>
      </c>
      <c r="AJ562" s="2" t="s">
        <v>4311</v>
      </c>
      <c r="AK562" s="2" t="s">
        <v>4312</v>
      </c>
      <c r="AL562" s="2" t="s">
        <v>4313</v>
      </c>
      <c r="AM562" s="2" t="s">
        <v>4314</v>
      </c>
      <c r="AN562" s="2" t="s">
        <v>4315</v>
      </c>
      <c r="AO562" s="2" t="s">
        <v>4316</v>
      </c>
      <c r="AP562" s="2" t="s">
        <v>4317</v>
      </c>
      <c r="AQ562" s="2" t="s">
        <v>4318</v>
      </c>
      <c r="AR562" s="2" t="s">
        <v>4319</v>
      </c>
    </row>
    <row r="563" spans="1:112" ht="153" x14ac:dyDescent="0.2">
      <c r="A563" s="2" t="s">
        <v>1891</v>
      </c>
      <c r="B563" s="2" t="s">
        <v>1892</v>
      </c>
      <c r="C563" s="2" t="s">
        <v>1892</v>
      </c>
      <c r="D563" s="1">
        <v>10</v>
      </c>
      <c r="E563" s="2" t="s">
        <v>61</v>
      </c>
      <c r="F563" s="2" t="s">
        <v>1893</v>
      </c>
      <c r="G563" s="2" t="s">
        <v>1168</v>
      </c>
      <c r="H563" s="2" t="s">
        <v>1894</v>
      </c>
      <c r="I563" s="2" t="s">
        <v>1170</v>
      </c>
      <c r="J563" s="2" t="s">
        <v>469</v>
      </c>
      <c r="K563" s="2" t="s">
        <v>470</v>
      </c>
      <c r="L563" s="2" t="s">
        <v>1171</v>
      </c>
      <c r="M563" s="2" t="s">
        <v>1172</v>
      </c>
      <c r="N563" s="2" t="s">
        <v>1895</v>
      </c>
      <c r="O563" s="2" t="s">
        <v>1172</v>
      </c>
      <c r="P563" s="2" t="s">
        <v>52</v>
      </c>
      <c r="Q563" s="2" t="s">
        <v>41</v>
      </c>
      <c r="R563" s="2" t="s">
        <v>32</v>
      </c>
      <c r="S563" s="2" t="s">
        <v>33</v>
      </c>
      <c r="T563" s="2" t="s">
        <v>1174</v>
      </c>
      <c r="U563" s="2" t="s">
        <v>4320</v>
      </c>
      <c r="V563" s="2" t="s">
        <v>4321</v>
      </c>
      <c r="W563" s="2" t="s">
        <v>4322</v>
      </c>
      <c r="X563" s="2" t="s">
        <v>4323</v>
      </c>
      <c r="Y563" s="2" t="s">
        <v>4324</v>
      </c>
    </row>
    <row r="564" spans="1:112" ht="153" x14ac:dyDescent="0.2">
      <c r="A564" s="2" t="s">
        <v>1896</v>
      </c>
      <c r="B564" s="2" t="s">
        <v>1897</v>
      </c>
      <c r="C564" s="2" t="s">
        <v>1897</v>
      </c>
      <c r="D564" s="1">
        <v>10</v>
      </c>
      <c r="E564" s="2" t="s">
        <v>61</v>
      </c>
      <c r="F564" s="2" t="s">
        <v>1893</v>
      </c>
      <c r="G564" s="2" t="s">
        <v>1168</v>
      </c>
      <c r="H564" s="2" t="s">
        <v>1894</v>
      </c>
      <c r="I564" s="2" t="s">
        <v>1170</v>
      </c>
      <c r="J564" s="2" t="s">
        <v>469</v>
      </c>
      <c r="K564" s="2" t="s">
        <v>470</v>
      </c>
      <c r="L564" s="2" t="s">
        <v>1171</v>
      </c>
      <c r="M564" s="2" t="s">
        <v>1172</v>
      </c>
      <c r="N564" s="2" t="s">
        <v>1895</v>
      </c>
      <c r="O564" s="2" t="s">
        <v>1172</v>
      </c>
      <c r="P564" s="2" t="s">
        <v>52</v>
      </c>
      <c r="Q564" s="2" t="s">
        <v>199</v>
      </c>
      <c r="R564" s="2" t="s">
        <v>32</v>
      </c>
      <c r="S564" s="2" t="s">
        <v>33</v>
      </c>
      <c r="T564" s="2" t="s">
        <v>1174</v>
      </c>
      <c r="U564" s="2" t="s">
        <v>4320</v>
      </c>
      <c r="V564" s="2" t="s">
        <v>4321</v>
      </c>
      <c r="W564" s="2" t="s">
        <v>4322</v>
      </c>
      <c r="X564" s="2" t="s">
        <v>4323</v>
      </c>
      <c r="Y564" s="2" t="s">
        <v>4324</v>
      </c>
    </row>
    <row r="565" spans="1:112" ht="153" x14ac:dyDescent="0.2">
      <c r="A565" s="2" t="s">
        <v>1915</v>
      </c>
      <c r="B565" s="2" t="s">
        <v>1916</v>
      </c>
      <c r="C565" s="2" t="s">
        <v>1916</v>
      </c>
      <c r="D565" s="1">
        <v>10</v>
      </c>
      <c r="E565" s="2" t="s">
        <v>61</v>
      </c>
      <c r="F565" s="2" t="s">
        <v>1893</v>
      </c>
      <c r="G565" s="2" t="s">
        <v>1168</v>
      </c>
      <c r="H565" s="2" t="s">
        <v>1894</v>
      </c>
      <c r="I565" s="2" t="s">
        <v>1170</v>
      </c>
      <c r="J565" s="2" t="s">
        <v>469</v>
      </c>
      <c r="K565" s="2" t="s">
        <v>470</v>
      </c>
      <c r="L565" s="2" t="s">
        <v>1171</v>
      </c>
      <c r="M565" s="2" t="s">
        <v>1172</v>
      </c>
      <c r="N565" s="2" t="s">
        <v>1917</v>
      </c>
      <c r="O565" s="2" t="s">
        <v>1172</v>
      </c>
      <c r="P565" s="2" t="s">
        <v>68</v>
      </c>
      <c r="Q565" s="2" t="s">
        <v>41</v>
      </c>
      <c r="R565" s="2" t="s">
        <v>32</v>
      </c>
      <c r="S565" s="2" t="s">
        <v>33</v>
      </c>
      <c r="T565" s="2" t="s">
        <v>1174</v>
      </c>
      <c r="U565" s="2" t="s">
        <v>4325</v>
      </c>
      <c r="V565" s="2" t="s">
        <v>4326</v>
      </c>
      <c r="W565" s="2" t="s">
        <v>4327</v>
      </c>
      <c r="X565" s="2" t="s">
        <v>4328</v>
      </c>
    </row>
    <row r="566" spans="1:112" ht="153" x14ac:dyDescent="0.2">
      <c r="A566" s="2" t="s">
        <v>1918</v>
      </c>
      <c r="B566" s="2" t="s">
        <v>1919</v>
      </c>
      <c r="C566" s="2" t="s">
        <v>1919</v>
      </c>
      <c r="D566" s="1">
        <v>10</v>
      </c>
      <c r="E566" s="2" t="s">
        <v>61</v>
      </c>
      <c r="F566" s="2" t="s">
        <v>1893</v>
      </c>
      <c r="G566" s="2" t="s">
        <v>1168</v>
      </c>
      <c r="H566" s="2" t="s">
        <v>1894</v>
      </c>
      <c r="I566" s="2" t="s">
        <v>1170</v>
      </c>
      <c r="J566" s="2" t="s">
        <v>469</v>
      </c>
      <c r="K566" s="2" t="s">
        <v>470</v>
      </c>
      <c r="L566" s="2" t="s">
        <v>1171</v>
      </c>
      <c r="M566" s="2" t="s">
        <v>1172</v>
      </c>
      <c r="N566" s="2" t="s">
        <v>1504</v>
      </c>
      <c r="O566" s="2" t="s">
        <v>1172</v>
      </c>
      <c r="P566" s="2" t="s">
        <v>93</v>
      </c>
      <c r="Q566" s="2" t="s">
        <v>41</v>
      </c>
      <c r="R566" s="2" t="s">
        <v>32</v>
      </c>
      <c r="S566" s="2" t="s">
        <v>33</v>
      </c>
      <c r="T566" s="2" t="s">
        <v>1920</v>
      </c>
      <c r="U566" s="2" t="s">
        <v>1921</v>
      </c>
    </row>
    <row r="567" spans="1:112" ht="153" x14ac:dyDescent="0.2">
      <c r="A567" s="2" t="s">
        <v>1922</v>
      </c>
      <c r="B567" s="2" t="s">
        <v>1923</v>
      </c>
      <c r="C567" s="2" t="s">
        <v>1923</v>
      </c>
      <c r="D567" s="1">
        <v>10</v>
      </c>
      <c r="E567" s="2" t="s">
        <v>61</v>
      </c>
      <c r="F567" s="2" t="s">
        <v>1893</v>
      </c>
      <c r="G567" s="2" t="s">
        <v>1168</v>
      </c>
      <c r="H567" s="2" t="s">
        <v>1894</v>
      </c>
      <c r="I567" s="2" t="s">
        <v>1170</v>
      </c>
      <c r="J567" s="2" t="s">
        <v>469</v>
      </c>
      <c r="K567" s="2" t="s">
        <v>470</v>
      </c>
      <c r="L567" s="2" t="s">
        <v>1171</v>
      </c>
      <c r="M567" s="2" t="s">
        <v>1172</v>
      </c>
      <c r="N567" s="2" t="s">
        <v>1504</v>
      </c>
      <c r="O567" s="2" t="s">
        <v>1172</v>
      </c>
      <c r="P567" s="2" t="s">
        <v>93</v>
      </c>
      <c r="Q567" s="2" t="s">
        <v>199</v>
      </c>
      <c r="R567" s="2" t="s">
        <v>32</v>
      </c>
      <c r="S567" s="2" t="s">
        <v>33</v>
      </c>
      <c r="T567" s="2" t="s">
        <v>1920</v>
      </c>
      <c r="U567" s="2" t="s">
        <v>1921</v>
      </c>
    </row>
    <row r="568" spans="1:112" ht="153" x14ac:dyDescent="0.2">
      <c r="A568" s="2" t="s">
        <v>1924</v>
      </c>
      <c r="B568" s="2" t="s">
        <v>1925</v>
      </c>
      <c r="C568" s="2" t="s">
        <v>1926</v>
      </c>
      <c r="D568" s="1">
        <v>10</v>
      </c>
      <c r="E568" s="2" t="s">
        <v>61</v>
      </c>
      <c r="F568" s="2" t="s">
        <v>1893</v>
      </c>
      <c r="G568" s="2" t="s">
        <v>1168</v>
      </c>
      <c r="H568" s="2" t="s">
        <v>1894</v>
      </c>
      <c r="I568" s="2" t="s">
        <v>1170</v>
      </c>
      <c r="J568" s="2" t="s">
        <v>469</v>
      </c>
      <c r="K568" s="2" t="s">
        <v>470</v>
      </c>
      <c r="L568" s="2" t="s">
        <v>1171</v>
      </c>
      <c r="M568" s="2" t="s">
        <v>1172</v>
      </c>
      <c r="N568" s="2" t="s">
        <v>1927</v>
      </c>
      <c r="O568" s="2" t="s">
        <v>1172</v>
      </c>
      <c r="P568" s="2" t="s">
        <v>165</v>
      </c>
      <c r="Q568" s="2" t="s">
        <v>41</v>
      </c>
      <c r="R568" s="2" t="s">
        <v>32</v>
      </c>
      <c r="S568" s="2" t="s">
        <v>33</v>
      </c>
      <c r="T568" s="2" t="s">
        <v>1928</v>
      </c>
      <c r="U568" s="2" t="s">
        <v>1929</v>
      </c>
    </row>
    <row r="569" spans="1:112" ht="153" x14ac:dyDescent="0.2">
      <c r="A569" s="7" t="s">
        <v>5393</v>
      </c>
      <c r="B569" s="7" t="s">
        <v>5394</v>
      </c>
      <c r="C569" s="2" t="s">
        <v>5394</v>
      </c>
      <c r="D569" s="1">
        <v>10</v>
      </c>
      <c r="E569" s="2" t="s">
        <v>23</v>
      </c>
      <c r="G569" s="2" t="s">
        <v>1194</v>
      </c>
      <c r="H569" s="2" t="s">
        <v>538</v>
      </c>
      <c r="I569" s="2" t="s">
        <v>1936</v>
      </c>
      <c r="J569" s="12" t="s">
        <v>103</v>
      </c>
      <c r="K569" s="12" t="s">
        <v>190</v>
      </c>
      <c r="L569" s="12" t="s">
        <v>1187</v>
      </c>
      <c r="M569" s="12" t="s">
        <v>814</v>
      </c>
      <c r="N569" s="12" t="s">
        <v>5395</v>
      </c>
      <c r="O569" s="12" t="s">
        <v>814</v>
      </c>
      <c r="P569" s="12" t="s">
        <v>94</v>
      </c>
      <c r="Q569" s="12" t="s">
        <v>41</v>
      </c>
      <c r="R569" s="12" t="s">
        <v>32</v>
      </c>
      <c r="S569" s="12" t="s">
        <v>33</v>
      </c>
      <c r="T569" s="12" t="s">
        <v>5396</v>
      </c>
      <c r="U569" s="12" t="s">
        <v>5397</v>
      </c>
      <c r="V569" s="12" t="s">
        <v>5397</v>
      </c>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row>
    <row r="570" spans="1:112" ht="136" x14ac:dyDescent="0.2">
      <c r="A570" s="7" t="s">
        <v>5398</v>
      </c>
      <c r="B570" s="7" t="s">
        <v>5399</v>
      </c>
      <c r="C570" s="2" t="s">
        <v>5399</v>
      </c>
      <c r="D570" s="1">
        <v>10</v>
      </c>
      <c r="E570" s="2" t="s">
        <v>23</v>
      </c>
      <c r="G570" s="2" t="s">
        <v>1194</v>
      </c>
      <c r="H570" s="2" t="s">
        <v>492</v>
      </c>
      <c r="I570" s="2" t="s">
        <v>1195</v>
      </c>
      <c r="J570" s="12" t="s">
        <v>103</v>
      </c>
      <c r="K570" s="12" t="s">
        <v>190</v>
      </c>
      <c r="L570" s="12" t="s">
        <v>1187</v>
      </c>
      <c r="M570" s="12" t="s">
        <v>814</v>
      </c>
      <c r="N570" s="12" t="s">
        <v>5400</v>
      </c>
      <c r="O570" s="12" t="s">
        <v>814</v>
      </c>
      <c r="P570" s="12" t="s">
        <v>108</v>
      </c>
      <c r="Q570" s="12" t="s">
        <v>41</v>
      </c>
      <c r="R570" s="12" t="s">
        <v>32</v>
      </c>
      <c r="S570" s="12" t="s">
        <v>33</v>
      </c>
      <c r="T570" s="12" t="s">
        <v>1197</v>
      </c>
      <c r="U570" s="12" t="s">
        <v>5401</v>
      </c>
      <c r="V570" s="12" t="s">
        <v>5401</v>
      </c>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row>
    <row r="571" spans="1:112" ht="136" x14ac:dyDescent="0.2">
      <c r="A571" s="2" t="s">
        <v>1930</v>
      </c>
      <c r="B571" s="2" t="s">
        <v>1931</v>
      </c>
      <c r="C571" s="2" t="s">
        <v>1931</v>
      </c>
      <c r="D571" s="1">
        <v>10</v>
      </c>
      <c r="E571" s="2" t="s">
        <v>23</v>
      </c>
      <c r="G571" s="2" t="s">
        <v>1194</v>
      </c>
      <c r="H571" s="2" t="s">
        <v>492</v>
      </c>
      <c r="I571" s="2" t="s">
        <v>1195</v>
      </c>
      <c r="J571" s="2" t="s">
        <v>103</v>
      </c>
      <c r="K571" s="2" t="s">
        <v>190</v>
      </c>
      <c r="L571" s="2" t="s">
        <v>1187</v>
      </c>
      <c r="M571" s="2" t="s">
        <v>814</v>
      </c>
      <c r="N571" s="2" t="s">
        <v>1932</v>
      </c>
      <c r="O571" s="2" t="s">
        <v>814</v>
      </c>
      <c r="P571" s="2" t="s">
        <v>441</v>
      </c>
      <c r="Q571" s="2" t="s">
        <v>41</v>
      </c>
      <c r="R571" s="2" t="s">
        <v>32</v>
      </c>
      <c r="S571" s="2" t="s">
        <v>33</v>
      </c>
      <c r="T571" s="2" t="s">
        <v>1197</v>
      </c>
      <c r="U571" s="2" t="s">
        <v>1933</v>
      </c>
    </row>
    <row r="572" spans="1:112" ht="153" x14ac:dyDescent="0.2">
      <c r="A572" s="2" t="s">
        <v>1934</v>
      </c>
      <c r="B572" s="2" t="s">
        <v>1935</v>
      </c>
      <c r="C572" s="2" t="s">
        <v>1935</v>
      </c>
      <c r="D572" s="1">
        <v>10</v>
      </c>
      <c r="E572" s="2" t="s">
        <v>23</v>
      </c>
      <c r="G572" s="2" t="s">
        <v>1194</v>
      </c>
      <c r="H572" s="2" t="s">
        <v>538</v>
      </c>
      <c r="I572" s="2" t="s">
        <v>1936</v>
      </c>
      <c r="J572" s="2" t="s">
        <v>103</v>
      </c>
      <c r="K572" s="2" t="s">
        <v>190</v>
      </c>
      <c r="L572" s="2" t="s">
        <v>1187</v>
      </c>
      <c r="M572" s="2" t="s">
        <v>814</v>
      </c>
      <c r="N572" s="2" t="s">
        <v>1937</v>
      </c>
      <c r="O572" s="2" t="s">
        <v>814</v>
      </c>
      <c r="P572" s="2" t="s">
        <v>257</v>
      </c>
      <c r="Q572" s="2" t="s">
        <v>41</v>
      </c>
      <c r="R572" s="2" t="s">
        <v>32</v>
      </c>
      <c r="S572" s="2" t="s">
        <v>33</v>
      </c>
      <c r="T572" s="2" t="s">
        <v>1938</v>
      </c>
      <c r="U572" s="2" t="s">
        <v>4329</v>
      </c>
      <c r="V572" s="2" t="s">
        <v>4330</v>
      </c>
    </row>
    <row r="573" spans="1:112" ht="119" x14ac:dyDescent="0.2">
      <c r="A573" s="2" t="s">
        <v>1939</v>
      </c>
      <c r="B573" s="2" t="s">
        <v>1940</v>
      </c>
      <c r="C573" s="2" t="s">
        <v>1940</v>
      </c>
      <c r="D573" s="1">
        <v>10</v>
      </c>
      <c r="E573" s="2" t="s">
        <v>23</v>
      </c>
      <c r="G573" s="2" t="s">
        <v>1194</v>
      </c>
      <c r="H573" s="2" t="s">
        <v>369</v>
      </c>
      <c r="I573" s="2" t="s">
        <v>1219</v>
      </c>
      <c r="J573" s="2" t="s">
        <v>103</v>
      </c>
      <c r="K573" s="2" t="s">
        <v>190</v>
      </c>
      <c r="L573" s="2" t="s">
        <v>1220</v>
      </c>
      <c r="M573" s="2" t="s">
        <v>825</v>
      </c>
      <c r="N573" s="2" t="s">
        <v>1941</v>
      </c>
      <c r="O573" s="2" t="s">
        <v>825</v>
      </c>
      <c r="P573" s="2" t="s">
        <v>94</v>
      </c>
      <c r="Q573" s="2" t="s">
        <v>41</v>
      </c>
      <c r="R573" s="2" t="s">
        <v>32</v>
      </c>
      <c r="S573" s="2" t="s">
        <v>33</v>
      </c>
      <c r="T573" s="2" t="s">
        <v>1226</v>
      </c>
      <c r="U573" s="2" t="s">
        <v>4331</v>
      </c>
      <c r="V573" s="2" t="s">
        <v>4332</v>
      </c>
    </row>
    <row r="574" spans="1:112" ht="119" x14ac:dyDescent="0.2">
      <c r="A574" s="7" t="s">
        <v>5439</v>
      </c>
      <c r="B574" s="7" t="s">
        <v>5440</v>
      </c>
      <c r="C574" s="2" t="s">
        <v>5440</v>
      </c>
      <c r="D574" s="1">
        <v>10</v>
      </c>
      <c r="E574" s="2" t="s">
        <v>23</v>
      </c>
      <c r="G574" s="2" t="s">
        <v>1194</v>
      </c>
      <c r="H574" s="2" t="s">
        <v>369</v>
      </c>
      <c r="I574" s="2" t="s">
        <v>1219</v>
      </c>
      <c r="J574" s="12" t="s">
        <v>103</v>
      </c>
      <c r="K574" s="12" t="s">
        <v>190</v>
      </c>
      <c r="L574" s="12" t="s">
        <v>1220</v>
      </c>
      <c r="M574" s="12" t="s">
        <v>825</v>
      </c>
      <c r="N574" s="12" t="s">
        <v>5441</v>
      </c>
      <c r="O574" s="12" t="s">
        <v>825</v>
      </c>
      <c r="P574" s="12" t="s">
        <v>159</v>
      </c>
      <c r="Q574" s="12" t="s">
        <v>30</v>
      </c>
      <c r="R574" s="12" t="s">
        <v>32</v>
      </c>
      <c r="S574" s="12" t="s">
        <v>33</v>
      </c>
      <c r="T574" s="12" t="s">
        <v>5442</v>
      </c>
      <c r="U574" s="12" t="s">
        <v>5443</v>
      </c>
      <c r="V574" s="12" t="s">
        <v>5443</v>
      </c>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c r="DD574" s="12"/>
      <c r="DE574" s="12"/>
      <c r="DF574" s="12"/>
      <c r="DG574" s="12"/>
      <c r="DH574" s="12"/>
    </row>
    <row r="575" spans="1:112" ht="119" x14ac:dyDescent="0.2">
      <c r="A575" s="2" t="s">
        <v>1942</v>
      </c>
      <c r="B575" s="2" t="s">
        <v>1943</v>
      </c>
      <c r="C575" s="2" t="s">
        <v>1943</v>
      </c>
      <c r="D575" s="1">
        <v>10</v>
      </c>
      <c r="E575" s="2" t="s">
        <v>23</v>
      </c>
      <c r="G575" s="2" t="s">
        <v>1194</v>
      </c>
      <c r="H575" s="2" t="s">
        <v>369</v>
      </c>
      <c r="I575" s="2" t="s">
        <v>1219</v>
      </c>
      <c r="J575" s="2" t="s">
        <v>103</v>
      </c>
      <c r="K575" s="2" t="s">
        <v>190</v>
      </c>
      <c r="L575" s="2" t="s">
        <v>1220</v>
      </c>
      <c r="M575" s="2" t="s">
        <v>825</v>
      </c>
      <c r="N575" s="2" t="s">
        <v>1944</v>
      </c>
      <c r="O575" s="2" t="s">
        <v>825</v>
      </c>
      <c r="P575" s="2" t="s">
        <v>165</v>
      </c>
      <c r="Q575" s="2" t="s">
        <v>41</v>
      </c>
      <c r="R575" s="2" t="s">
        <v>32</v>
      </c>
      <c r="S575" s="2" t="s">
        <v>33</v>
      </c>
      <c r="T575" s="2" t="s">
        <v>1222</v>
      </c>
      <c r="U575" s="2" t="s">
        <v>4333</v>
      </c>
      <c r="V575" s="2" t="s">
        <v>4334</v>
      </c>
      <c r="W575" s="2" t="s">
        <v>4335</v>
      </c>
    </row>
    <row r="576" spans="1:112" ht="119" x14ac:dyDescent="0.2">
      <c r="A576" s="2" t="s">
        <v>1945</v>
      </c>
      <c r="B576" s="2" t="s">
        <v>1946</v>
      </c>
      <c r="C576" s="2" t="s">
        <v>1946</v>
      </c>
      <c r="D576" s="1">
        <v>10</v>
      </c>
      <c r="E576" s="2" t="s">
        <v>23</v>
      </c>
      <c r="G576" s="2" t="s">
        <v>1194</v>
      </c>
      <c r="H576" s="2" t="s">
        <v>369</v>
      </c>
      <c r="I576" s="2" t="s">
        <v>1219</v>
      </c>
      <c r="J576" s="2" t="s">
        <v>103</v>
      </c>
      <c r="K576" s="2" t="s">
        <v>190</v>
      </c>
      <c r="L576" s="2" t="s">
        <v>1220</v>
      </c>
      <c r="M576" s="2" t="s">
        <v>825</v>
      </c>
      <c r="N576" s="2" t="s">
        <v>1947</v>
      </c>
      <c r="O576" s="2" t="s">
        <v>825</v>
      </c>
      <c r="P576" s="2" t="s">
        <v>183</v>
      </c>
      <c r="Q576" s="2" t="s">
        <v>41</v>
      </c>
      <c r="R576" s="2" t="s">
        <v>32</v>
      </c>
      <c r="S576" s="2" t="s">
        <v>33</v>
      </c>
      <c r="T576" s="2" t="s">
        <v>1222</v>
      </c>
      <c r="U576" s="2" t="s">
        <v>1948</v>
      </c>
    </row>
    <row r="577" spans="1:112" ht="119" x14ac:dyDescent="0.2">
      <c r="A577" s="2" t="s">
        <v>1949</v>
      </c>
      <c r="B577" s="2" t="s">
        <v>1950</v>
      </c>
      <c r="C577" s="2" t="s">
        <v>1950</v>
      </c>
      <c r="D577" s="1">
        <v>10</v>
      </c>
      <c r="E577" s="2" t="s">
        <v>23</v>
      </c>
      <c r="G577" s="2" t="s">
        <v>1194</v>
      </c>
      <c r="H577" s="2" t="s">
        <v>369</v>
      </c>
      <c r="I577" s="2" t="s">
        <v>1219</v>
      </c>
      <c r="J577" s="2" t="s">
        <v>103</v>
      </c>
      <c r="K577" s="2" t="s">
        <v>190</v>
      </c>
      <c r="L577" s="2" t="s">
        <v>1220</v>
      </c>
      <c r="M577" s="2" t="s">
        <v>825</v>
      </c>
      <c r="N577" s="2" t="s">
        <v>1951</v>
      </c>
      <c r="O577" s="2" t="s">
        <v>825</v>
      </c>
      <c r="P577" s="2" t="s">
        <v>177</v>
      </c>
      <c r="Q577" s="2" t="s">
        <v>41</v>
      </c>
      <c r="R577" s="2" t="s">
        <v>32</v>
      </c>
      <c r="S577" s="2" t="s">
        <v>33</v>
      </c>
      <c r="T577" s="2" t="s">
        <v>1226</v>
      </c>
      <c r="U577" s="2" t="s">
        <v>4336</v>
      </c>
      <c r="V577" s="2" t="s">
        <v>4337</v>
      </c>
    </row>
    <row r="578" spans="1:112" ht="85" x14ac:dyDescent="0.2">
      <c r="A578" s="2" t="s">
        <v>1952</v>
      </c>
      <c r="B578" s="2" t="s">
        <v>1953</v>
      </c>
      <c r="C578" s="2" t="s">
        <v>1953</v>
      </c>
      <c r="D578" s="1">
        <v>10</v>
      </c>
      <c r="E578" s="2" t="s">
        <v>23</v>
      </c>
      <c r="G578" s="2" t="s">
        <v>1194</v>
      </c>
      <c r="H578" s="2" t="s">
        <v>680</v>
      </c>
      <c r="I578" s="2" t="s">
        <v>1378</v>
      </c>
      <c r="J578" s="2" t="s">
        <v>469</v>
      </c>
      <c r="K578" s="2" t="s">
        <v>470</v>
      </c>
      <c r="L578" s="2" t="s">
        <v>1954</v>
      </c>
      <c r="M578" s="2" t="s">
        <v>1955</v>
      </c>
      <c r="N578" s="2" t="s">
        <v>1956</v>
      </c>
      <c r="O578" s="2" t="s">
        <v>1955</v>
      </c>
      <c r="P578" s="2" t="s">
        <v>30</v>
      </c>
      <c r="Q578" s="2" t="s">
        <v>41</v>
      </c>
      <c r="R578" s="2" t="s">
        <v>32</v>
      </c>
      <c r="S578" s="2" t="s">
        <v>33</v>
      </c>
      <c r="T578" s="2" t="s">
        <v>1957</v>
      </c>
      <c r="U578" s="2" t="s">
        <v>4338</v>
      </c>
      <c r="V578" s="2" t="s">
        <v>4339</v>
      </c>
    </row>
    <row r="579" spans="1:112" ht="51" x14ac:dyDescent="0.2">
      <c r="A579" s="7" t="s">
        <v>5450</v>
      </c>
      <c r="B579" s="7" t="s">
        <v>5451</v>
      </c>
      <c r="C579" s="2" t="s">
        <v>5451</v>
      </c>
      <c r="D579" s="1">
        <v>10</v>
      </c>
      <c r="E579" s="2" t="s">
        <v>23</v>
      </c>
      <c r="F579" s="2" t="s">
        <v>1610</v>
      </c>
      <c r="G579" s="2" t="s">
        <v>1194</v>
      </c>
      <c r="H579" s="2" t="s">
        <v>538</v>
      </c>
      <c r="I579" s="2" t="s">
        <v>204</v>
      </c>
      <c r="J579" s="12" t="s">
        <v>144</v>
      </c>
      <c r="K579" s="12" t="s">
        <v>144</v>
      </c>
      <c r="L579" s="12" t="s">
        <v>145</v>
      </c>
      <c r="M579" s="12" t="s">
        <v>146</v>
      </c>
      <c r="N579" s="12" t="s">
        <v>5452</v>
      </c>
      <c r="O579" s="12" t="s">
        <v>146</v>
      </c>
      <c r="P579" s="12" t="s">
        <v>177</v>
      </c>
      <c r="Q579" s="12" t="s">
        <v>41</v>
      </c>
      <c r="R579" s="12" t="s">
        <v>32</v>
      </c>
      <c r="S579" s="12" t="s">
        <v>33</v>
      </c>
      <c r="T579" s="12" t="s">
        <v>5453</v>
      </c>
      <c r="U579" s="12" t="s">
        <v>5454</v>
      </c>
      <c r="V579" s="12" t="s">
        <v>5454</v>
      </c>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row>
    <row r="580" spans="1:112" ht="119" x14ac:dyDescent="0.2">
      <c r="A580" s="2" t="s">
        <v>1958</v>
      </c>
      <c r="B580" s="2" t="s">
        <v>1959</v>
      </c>
      <c r="C580" s="2" t="s">
        <v>1959</v>
      </c>
      <c r="D580" s="1">
        <v>10</v>
      </c>
      <c r="E580" s="2" t="s">
        <v>23</v>
      </c>
      <c r="G580" s="2" t="s">
        <v>1194</v>
      </c>
      <c r="H580" s="2" t="s">
        <v>680</v>
      </c>
      <c r="I580" s="2" t="s">
        <v>1888</v>
      </c>
      <c r="J580" s="2" t="s">
        <v>469</v>
      </c>
      <c r="K580" s="2" t="s">
        <v>470</v>
      </c>
      <c r="L580" s="2" t="s">
        <v>1960</v>
      </c>
      <c r="M580" s="2" t="s">
        <v>1961</v>
      </c>
      <c r="N580" s="2" t="s">
        <v>1962</v>
      </c>
      <c r="O580" s="2" t="s">
        <v>1961</v>
      </c>
      <c r="P580" s="2" t="s">
        <v>30</v>
      </c>
      <c r="Q580" s="2" t="s">
        <v>41</v>
      </c>
      <c r="R580" s="2" t="s">
        <v>32</v>
      </c>
      <c r="S580" s="2" t="s">
        <v>33</v>
      </c>
      <c r="T580" s="2" t="s">
        <v>1963</v>
      </c>
      <c r="U580" s="2" t="s">
        <v>4340</v>
      </c>
      <c r="V580" s="2" t="s">
        <v>4341</v>
      </c>
      <c r="W580" s="2" t="s">
        <v>4342</v>
      </c>
      <c r="X580" s="2" t="s">
        <v>4343</v>
      </c>
      <c r="Y580" s="2" t="s">
        <v>4344</v>
      </c>
      <c r="Z580" s="2" t="s">
        <v>4345</v>
      </c>
      <c r="AA580" s="2" t="s">
        <v>4346</v>
      </c>
      <c r="AB580" s="2" t="s">
        <v>4347</v>
      </c>
      <c r="AC580" s="2" t="s">
        <v>4348</v>
      </c>
    </row>
    <row r="581" spans="1:112" ht="119" x14ac:dyDescent="0.2">
      <c r="A581" s="2" t="s">
        <v>1964</v>
      </c>
      <c r="B581" s="2" t="s">
        <v>1965</v>
      </c>
      <c r="C581" s="2" t="s">
        <v>1965</v>
      </c>
      <c r="D581" s="1">
        <v>10</v>
      </c>
      <c r="E581" s="2" t="s">
        <v>23</v>
      </c>
      <c r="G581" s="2" t="s">
        <v>1194</v>
      </c>
      <c r="H581" s="2" t="s">
        <v>680</v>
      </c>
      <c r="I581" s="2" t="s">
        <v>1888</v>
      </c>
      <c r="J581" s="2" t="s">
        <v>469</v>
      </c>
      <c r="K581" s="2" t="s">
        <v>470</v>
      </c>
      <c r="L581" s="2" t="s">
        <v>1960</v>
      </c>
      <c r="M581" s="2" t="s">
        <v>1961</v>
      </c>
      <c r="N581" s="2" t="s">
        <v>1962</v>
      </c>
      <c r="O581" s="2" t="s">
        <v>1961</v>
      </c>
      <c r="P581" s="2" t="s">
        <v>30</v>
      </c>
      <c r="Q581" s="2" t="s">
        <v>199</v>
      </c>
      <c r="R581" s="2" t="s">
        <v>32</v>
      </c>
      <c r="S581" s="2" t="s">
        <v>33</v>
      </c>
      <c r="T581" s="2" t="s">
        <v>1963</v>
      </c>
      <c r="U581" s="2" t="s">
        <v>4340</v>
      </c>
      <c r="V581" s="2" t="s">
        <v>4341</v>
      </c>
      <c r="W581" s="2" t="s">
        <v>4342</v>
      </c>
      <c r="X581" s="2" t="s">
        <v>4343</v>
      </c>
      <c r="Y581" s="2" t="s">
        <v>4344</v>
      </c>
      <c r="Z581" s="2" t="s">
        <v>4345</v>
      </c>
      <c r="AA581" s="2" t="s">
        <v>4346</v>
      </c>
      <c r="AB581" s="2" t="s">
        <v>4347</v>
      </c>
      <c r="AC581" s="2" t="s">
        <v>4348</v>
      </c>
    </row>
    <row r="582" spans="1:112" ht="119" x14ac:dyDescent="0.2">
      <c r="A582" s="2" t="s">
        <v>1966</v>
      </c>
      <c r="B582" s="2" t="s">
        <v>1967</v>
      </c>
      <c r="C582" s="2" t="s">
        <v>1967</v>
      </c>
      <c r="D582" s="1">
        <v>10</v>
      </c>
      <c r="E582" s="2" t="s">
        <v>61</v>
      </c>
      <c r="F582" s="2" t="s">
        <v>1968</v>
      </c>
      <c r="G582" s="2" t="s">
        <v>1194</v>
      </c>
      <c r="H582" s="2" t="s">
        <v>680</v>
      </c>
      <c r="I582" s="2" t="s">
        <v>1888</v>
      </c>
      <c r="J582" s="2" t="s">
        <v>469</v>
      </c>
      <c r="K582" s="2" t="s">
        <v>470</v>
      </c>
      <c r="L582" s="2" t="s">
        <v>1960</v>
      </c>
      <c r="M582" s="2" t="s">
        <v>1961</v>
      </c>
      <c r="N582" s="2" t="s">
        <v>1969</v>
      </c>
      <c r="O582" s="2" t="s">
        <v>1961</v>
      </c>
      <c r="P582" s="2" t="s">
        <v>68</v>
      </c>
      <c r="Q582" s="2" t="s">
        <v>41</v>
      </c>
      <c r="R582" s="2" t="s">
        <v>32</v>
      </c>
      <c r="S582" s="2" t="s">
        <v>33</v>
      </c>
      <c r="T582" s="2" t="s">
        <v>1970</v>
      </c>
      <c r="U582" s="2" t="s">
        <v>4349</v>
      </c>
      <c r="V582" s="2" t="s">
        <v>4350</v>
      </c>
      <c r="W582" s="2" t="s">
        <v>4351</v>
      </c>
      <c r="X582" s="2" t="s">
        <v>4352</v>
      </c>
      <c r="Y582" s="2" t="s">
        <v>4353</v>
      </c>
      <c r="Z582" s="2" t="s">
        <v>4354</v>
      </c>
      <c r="AA582" s="2" t="s">
        <v>4355</v>
      </c>
      <c r="AB582" s="2" t="s">
        <v>4356</v>
      </c>
      <c r="AC582" s="2" t="s">
        <v>4357</v>
      </c>
      <c r="AD582" s="2" t="s">
        <v>4358</v>
      </c>
      <c r="AE582" s="2" t="s">
        <v>4359</v>
      </c>
      <c r="AF582" s="2" t="s">
        <v>4360</v>
      </c>
      <c r="AG582" s="2" t="s">
        <v>4361</v>
      </c>
      <c r="AH582" s="2" t="s">
        <v>4362</v>
      </c>
      <c r="AI582" s="2" t="s">
        <v>4363</v>
      </c>
      <c r="AJ582" s="2" t="s">
        <v>4364</v>
      </c>
      <c r="AK582" s="2" t="s">
        <v>4365</v>
      </c>
      <c r="AL582" s="2" t="s">
        <v>4366</v>
      </c>
      <c r="AM582" s="2" t="s">
        <v>4367</v>
      </c>
      <c r="AN582" s="2" t="s">
        <v>4368</v>
      </c>
      <c r="AO582" s="2" t="s">
        <v>4369</v>
      </c>
      <c r="AP582" s="2" t="s">
        <v>4370</v>
      </c>
      <c r="AQ582" s="2" t="s">
        <v>4371</v>
      </c>
      <c r="AR582" s="2" t="s">
        <v>4372</v>
      </c>
      <c r="AS582" s="2" t="s">
        <v>4373</v>
      </c>
      <c r="AT582" s="2" t="s">
        <v>4374</v>
      </c>
      <c r="AU582" s="2" t="s">
        <v>4375</v>
      </c>
      <c r="AV582" s="2" t="s">
        <v>4376</v>
      </c>
      <c r="AW582" s="2" t="s">
        <v>4377</v>
      </c>
      <c r="AX582" s="2" t="s">
        <v>4378</v>
      </c>
      <c r="AY582" s="2" t="s">
        <v>4379</v>
      </c>
      <c r="AZ582" s="2" t="s">
        <v>4380</v>
      </c>
      <c r="BA582" s="2" t="s">
        <v>4381</v>
      </c>
      <c r="BB582" s="2" t="s">
        <v>4382</v>
      </c>
      <c r="BC582" s="2" t="s">
        <v>1898</v>
      </c>
      <c r="BD582" s="2" t="s">
        <v>1899</v>
      </c>
      <c r="BE582" s="2" t="s">
        <v>1900</v>
      </c>
      <c r="BF582" s="2" t="s">
        <v>1901</v>
      </c>
      <c r="BG582" s="2" t="s">
        <v>1902</v>
      </c>
      <c r="BH582" s="2" t="s">
        <v>1903</v>
      </c>
      <c r="BI582" s="2" t="s">
        <v>1904</v>
      </c>
      <c r="BJ582" s="2" t="s">
        <v>1905</v>
      </c>
      <c r="BK582" s="2" t="s">
        <v>1906</v>
      </c>
      <c r="BL582" s="2" t="s">
        <v>1907</v>
      </c>
      <c r="BM582" s="2" t="s">
        <v>1908</v>
      </c>
      <c r="BN582" s="2" t="s">
        <v>1909</v>
      </c>
      <c r="BO582" s="2" t="s">
        <v>1910</v>
      </c>
      <c r="BP582" s="2" t="s">
        <v>1911</v>
      </c>
      <c r="BQ582" s="2" t="s">
        <v>1912</v>
      </c>
      <c r="BR582" s="2" t="s">
        <v>1913</v>
      </c>
      <c r="BS582" s="2" t="s">
        <v>1914</v>
      </c>
    </row>
    <row r="583" spans="1:112" ht="119" x14ac:dyDescent="0.2">
      <c r="A583" s="2" t="s">
        <v>1971</v>
      </c>
      <c r="B583" s="2" t="s">
        <v>1972</v>
      </c>
      <c r="C583" s="2" t="s">
        <v>1972</v>
      </c>
      <c r="D583" s="1">
        <v>10</v>
      </c>
      <c r="E583" s="2" t="s">
        <v>61</v>
      </c>
      <c r="F583" s="2" t="s">
        <v>1968</v>
      </c>
      <c r="G583" s="2" t="s">
        <v>1194</v>
      </c>
      <c r="H583" s="2" t="s">
        <v>680</v>
      </c>
      <c r="I583" s="2" t="s">
        <v>1888</v>
      </c>
      <c r="J583" s="2" t="s">
        <v>469</v>
      </c>
      <c r="K583" s="2" t="s">
        <v>470</v>
      </c>
      <c r="L583" s="2" t="s">
        <v>1960</v>
      </c>
      <c r="M583" s="2" t="s">
        <v>1961</v>
      </c>
      <c r="N583" s="2" t="s">
        <v>1969</v>
      </c>
      <c r="O583" s="2" t="s">
        <v>1961</v>
      </c>
      <c r="P583" s="2" t="s">
        <v>68</v>
      </c>
      <c r="Q583" s="2" t="s">
        <v>199</v>
      </c>
      <c r="R583" s="2" t="s">
        <v>32</v>
      </c>
      <c r="S583" s="2" t="s">
        <v>33</v>
      </c>
      <c r="T583" s="2" t="s">
        <v>1970</v>
      </c>
      <c r="U583" s="2" t="s">
        <v>4349</v>
      </c>
      <c r="V583" s="2" t="s">
        <v>4350</v>
      </c>
      <c r="W583" s="2" t="s">
        <v>4351</v>
      </c>
      <c r="X583" s="2" t="s">
        <v>4352</v>
      </c>
      <c r="Y583" s="2" t="s">
        <v>4353</v>
      </c>
      <c r="Z583" s="2" t="s">
        <v>4354</v>
      </c>
      <c r="AA583" s="2" t="s">
        <v>4355</v>
      </c>
      <c r="AB583" s="2" t="s">
        <v>4356</v>
      </c>
      <c r="AC583" s="2" t="s">
        <v>4357</v>
      </c>
      <c r="AD583" s="2" t="s">
        <v>4358</v>
      </c>
      <c r="AE583" s="2" t="s">
        <v>4359</v>
      </c>
      <c r="AF583" s="2" t="s">
        <v>4360</v>
      </c>
      <c r="AG583" s="2" t="s">
        <v>4361</v>
      </c>
      <c r="AH583" s="2" t="s">
        <v>4362</v>
      </c>
      <c r="AI583" s="2" t="s">
        <v>4363</v>
      </c>
      <c r="AJ583" s="2" t="s">
        <v>4364</v>
      </c>
      <c r="AK583" s="2" t="s">
        <v>4365</v>
      </c>
      <c r="AL583" s="2" t="s">
        <v>4366</v>
      </c>
      <c r="AM583" s="2" t="s">
        <v>4367</v>
      </c>
      <c r="AN583" s="2" t="s">
        <v>4368</v>
      </c>
      <c r="AO583" s="2" t="s">
        <v>4369</v>
      </c>
      <c r="AP583" s="2" t="s">
        <v>4370</v>
      </c>
      <c r="AQ583" s="2" t="s">
        <v>4371</v>
      </c>
      <c r="AR583" s="2" t="s">
        <v>4372</v>
      </c>
      <c r="AS583" s="2" t="s">
        <v>4373</v>
      </c>
      <c r="AT583" s="2" t="s">
        <v>4374</v>
      </c>
      <c r="AU583" s="2" t="s">
        <v>4375</v>
      </c>
      <c r="AV583" s="2" t="s">
        <v>4376</v>
      </c>
      <c r="AW583" s="2" t="s">
        <v>4377</v>
      </c>
      <c r="AX583" s="2" t="s">
        <v>4378</v>
      </c>
      <c r="AY583" s="2" t="s">
        <v>4379</v>
      </c>
      <c r="AZ583" s="2" t="s">
        <v>4380</v>
      </c>
      <c r="BA583" s="2" t="s">
        <v>4381</v>
      </c>
      <c r="BB583" s="2" t="s">
        <v>4382</v>
      </c>
      <c r="BC583" s="2" t="s">
        <v>1898</v>
      </c>
      <c r="BD583" s="2" t="s">
        <v>1899</v>
      </c>
      <c r="BE583" s="2" t="s">
        <v>1900</v>
      </c>
      <c r="BF583" s="2" t="s">
        <v>1901</v>
      </c>
      <c r="BG583" s="2" t="s">
        <v>1902</v>
      </c>
      <c r="BH583" s="2" t="s">
        <v>1903</v>
      </c>
      <c r="BI583" s="2" t="s">
        <v>1904</v>
      </c>
      <c r="BJ583" s="2" t="s">
        <v>1905</v>
      </c>
      <c r="BK583" s="2" t="s">
        <v>1906</v>
      </c>
      <c r="BL583" s="2" t="s">
        <v>1907</v>
      </c>
      <c r="BM583" s="2" t="s">
        <v>1908</v>
      </c>
      <c r="BN583" s="2" t="s">
        <v>1909</v>
      </c>
      <c r="BO583" s="2" t="s">
        <v>1910</v>
      </c>
      <c r="BP583" s="2" t="s">
        <v>1911</v>
      </c>
      <c r="BQ583" s="2" t="s">
        <v>1912</v>
      </c>
      <c r="BR583" s="2" t="s">
        <v>1913</v>
      </c>
      <c r="BS583" s="2" t="s">
        <v>1914</v>
      </c>
    </row>
    <row r="584" spans="1:112" ht="85" x14ac:dyDescent="0.2">
      <c r="A584" s="2" t="s">
        <v>1973</v>
      </c>
      <c r="B584" s="2" t="s">
        <v>1974</v>
      </c>
      <c r="C584" s="2" t="s">
        <v>1974</v>
      </c>
      <c r="D584" s="1">
        <v>10</v>
      </c>
      <c r="E584" s="2" t="s">
        <v>61</v>
      </c>
      <c r="F584" s="2" t="s">
        <v>1975</v>
      </c>
      <c r="G584" s="2" t="s">
        <v>1194</v>
      </c>
      <c r="J584" s="2" t="s">
        <v>103</v>
      </c>
      <c r="K584" s="2" t="s">
        <v>190</v>
      </c>
      <c r="L584" s="2" t="s">
        <v>727</v>
      </c>
      <c r="M584" s="2" t="s">
        <v>728</v>
      </c>
      <c r="N584" s="2" t="s">
        <v>1976</v>
      </c>
      <c r="O584" s="2" t="s">
        <v>819</v>
      </c>
      <c r="P584" s="2" t="s">
        <v>123</v>
      </c>
      <c r="Q584" s="2" t="s">
        <v>41</v>
      </c>
      <c r="R584" s="2" t="s">
        <v>32</v>
      </c>
      <c r="S584" s="2" t="s">
        <v>33</v>
      </c>
      <c r="T584" s="2" t="s">
        <v>1977</v>
      </c>
      <c r="U584" s="2" t="s">
        <v>1978</v>
      </c>
    </row>
    <row r="585" spans="1:112" ht="85" x14ac:dyDescent="0.2">
      <c r="A585" s="2" t="s">
        <v>1979</v>
      </c>
      <c r="B585" s="2" t="s">
        <v>1980</v>
      </c>
      <c r="C585" s="2" t="s">
        <v>1980</v>
      </c>
      <c r="D585" s="1">
        <v>10</v>
      </c>
      <c r="E585" s="2" t="s">
        <v>61</v>
      </c>
      <c r="F585" s="2" t="s">
        <v>1975</v>
      </c>
      <c r="G585" s="2" t="s">
        <v>1194</v>
      </c>
      <c r="J585" s="2" t="s">
        <v>103</v>
      </c>
      <c r="K585" s="2" t="s">
        <v>190</v>
      </c>
      <c r="L585" s="2" t="s">
        <v>727</v>
      </c>
      <c r="M585" s="2" t="s">
        <v>728</v>
      </c>
      <c r="N585" s="2" t="s">
        <v>1976</v>
      </c>
      <c r="O585" s="2" t="s">
        <v>819</v>
      </c>
      <c r="P585" s="2" t="s">
        <v>123</v>
      </c>
      <c r="Q585" s="2" t="s">
        <v>199</v>
      </c>
      <c r="R585" s="2" t="s">
        <v>32</v>
      </c>
      <c r="S585" s="2" t="s">
        <v>33</v>
      </c>
      <c r="T585" s="2" t="s">
        <v>1977</v>
      </c>
      <c r="U585" s="2" t="s">
        <v>1981</v>
      </c>
    </row>
    <row r="586" spans="1:112" ht="85" x14ac:dyDescent="0.2">
      <c r="A586" s="2" t="s">
        <v>1982</v>
      </c>
      <c r="B586" s="2" t="s">
        <v>1983</v>
      </c>
      <c r="C586" s="2" t="s">
        <v>1983</v>
      </c>
      <c r="D586" s="1">
        <v>10</v>
      </c>
      <c r="E586" s="2" t="s">
        <v>23</v>
      </c>
      <c r="G586" s="2" t="s">
        <v>1194</v>
      </c>
      <c r="H586" s="2" t="s">
        <v>680</v>
      </c>
      <c r="I586" s="2" t="s">
        <v>1525</v>
      </c>
      <c r="J586" s="2" t="s">
        <v>103</v>
      </c>
      <c r="K586" s="2" t="s">
        <v>190</v>
      </c>
      <c r="L586" s="2" t="s">
        <v>1526</v>
      </c>
      <c r="M586" s="2" t="s">
        <v>1527</v>
      </c>
      <c r="N586" s="2" t="s">
        <v>1984</v>
      </c>
      <c r="O586" s="2" t="s">
        <v>220</v>
      </c>
      <c r="P586" s="2" t="s">
        <v>94</v>
      </c>
      <c r="Q586" s="2" t="s">
        <v>41</v>
      </c>
      <c r="R586" s="2" t="s">
        <v>32</v>
      </c>
      <c r="S586" s="2" t="s">
        <v>33</v>
      </c>
      <c r="T586" s="2" t="s">
        <v>1985</v>
      </c>
      <c r="U586" s="2" t="s">
        <v>4383</v>
      </c>
      <c r="V586" s="2" t="s">
        <v>4384</v>
      </c>
      <c r="W586" s="2" t="s">
        <v>4385</v>
      </c>
      <c r="X586" s="2" t="s">
        <v>4386</v>
      </c>
      <c r="Y586" s="2" t="s">
        <v>4387</v>
      </c>
    </row>
    <row r="587" spans="1:112" ht="68" x14ac:dyDescent="0.2">
      <c r="A587" s="2" t="s">
        <v>1986</v>
      </c>
      <c r="B587" s="2" t="s">
        <v>1987</v>
      </c>
      <c r="C587" s="2" t="s">
        <v>1987</v>
      </c>
      <c r="D587" s="1">
        <v>10</v>
      </c>
      <c r="E587" s="2" t="s">
        <v>23</v>
      </c>
      <c r="G587" s="2" t="s">
        <v>1194</v>
      </c>
      <c r="H587" s="2" t="s">
        <v>680</v>
      </c>
      <c r="I587" s="2" t="s">
        <v>1988</v>
      </c>
      <c r="J587" s="2" t="s">
        <v>103</v>
      </c>
      <c r="K587" s="2" t="s">
        <v>190</v>
      </c>
      <c r="L587" s="2" t="s">
        <v>1526</v>
      </c>
      <c r="M587" s="2" t="s">
        <v>1527</v>
      </c>
      <c r="N587" s="2" t="s">
        <v>1989</v>
      </c>
      <c r="O587" s="2" t="s">
        <v>220</v>
      </c>
      <c r="P587" s="2" t="s">
        <v>177</v>
      </c>
      <c r="Q587" s="2" t="s">
        <v>41</v>
      </c>
      <c r="R587" s="2" t="s">
        <v>32</v>
      </c>
      <c r="S587" s="2" t="s">
        <v>33</v>
      </c>
      <c r="T587" s="2" t="s">
        <v>433</v>
      </c>
      <c r="U587" s="2" t="s">
        <v>1990</v>
      </c>
    </row>
    <row r="588" spans="1:112" ht="119" x14ac:dyDescent="0.2">
      <c r="A588" s="2" t="s">
        <v>1991</v>
      </c>
      <c r="B588" s="2" t="s">
        <v>1992</v>
      </c>
      <c r="C588" s="2" t="s">
        <v>1993</v>
      </c>
      <c r="D588" s="1">
        <v>10</v>
      </c>
      <c r="E588" s="2" t="s">
        <v>61</v>
      </c>
      <c r="F588" s="2" t="s">
        <v>1994</v>
      </c>
      <c r="G588" s="2" t="s">
        <v>1194</v>
      </c>
      <c r="H588" s="2" t="s">
        <v>680</v>
      </c>
      <c r="I588" s="2" t="s">
        <v>1995</v>
      </c>
      <c r="J588" s="2" t="s">
        <v>27</v>
      </c>
      <c r="K588" s="2" t="s">
        <v>1121</v>
      </c>
      <c r="L588" s="2" t="s">
        <v>1996</v>
      </c>
      <c r="M588" s="2" t="s">
        <v>1997</v>
      </c>
      <c r="N588" s="2" t="s">
        <v>1998</v>
      </c>
      <c r="O588" s="2" t="s">
        <v>1999</v>
      </c>
      <c r="P588" s="2" t="s">
        <v>1364</v>
      </c>
      <c r="Q588" s="2" t="s">
        <v>41</v>
      </c>
      <c r="R588" s="2" t="s">
        <v>32</v>
      </c>
      <c r="S588" s="2" t="s">
        <v>33</v>
      </c>
      <c r="T588" s="2" t="s">
        <v>2000</v>
      </c>
      <c r="U588" s="2" t="s">
        <v>4388</v>
      </c>
      <c r="V588" s="2" t="s">
        <v>4389</v>
      </c>
    </row>
    <row r="589" spans="1:112" ht="119" x14ac:dyDescent="0.2">
      <c r="A589" s="2" t="s">
        <v>2012</v>
      </c>
      <c r="B589" s="2" t="s">
        <v>2013</v>
      </c>
      <c r="C589" s="2" t="s">
        <v>2014</v>
      </c>
      <c r="D589" s="1">
        <v>10</v>
      </c>
      <c r="E589" s="2" t="s">
        <v>61</v>
      </c>
      <c r="F589" s="2" t="s">
        <v>1994</v>
      </c>
      <c r="G589" s="2" t="s">
        <v>1194</v>
      </c>
      <c r="H589" s="2" t="s">
        <v>680</v>
      </c>
      <c r="I589" s="2" t="s">
        <v>1995</v>
      </c>
      <c r="J589" s="2" t="s">
        <v>27</v>
      </c>
      <c r="K589" s="2" t="s">
        <v>1121</v>
      </c>
      <c r="L589" s="2" t="s">
        <v>1996</v>
      </c>
      <c r="M589" s="2" t="s">
        <v>1997</v>
      </c>
      <c r="N589" s="2" t="s">
        <v>1998</v>
      </c>
      <c r="O589" s="2" t="s">
        <v>1999</v>
      </c>
      <c r="P589" s="2" t="s">
        <v>1364</v>
      </c>
      <c r="Q589" s="2" t="s">
        <v>199</v>
      </c>
      <c r="R589" s="2" t="s">
        <v>32</v>
      </c>
      <c r="S589" s="2" t="s">
        <v>33</v>
      </c>
      <c r="T589" s="2" t="s">
        <v>2000</v>
      </c>
      <c r="U589" s="2" t="s">
        <v>4388</v>
      </c>
      <c r="V589" s="2" t="s">
        <v>4389</v>
      </c>
    </row>
    <row r="590" spans="1:112" ht="119" x14ac:dyDescent="0.2">
      <c r="A590" s="2" t="s">
        <v>2015</v>
      </c>
      <c r="B590" s="2" t="s">
        <v>2016</v>
      </c>
      <c r="C590" s="2" t="s">
        <v>2016</v>
      </c>
      <c r="D590" s="1">
        <v>10</v>
      </c>
      <c r="E590" s="2" t="s">
        <v>23</v>
      </c>
      <c r="F590" s="2" t="s">
        <v>2017</v>
      </c>
      <c r="G590" s="2" t="s">
        <v>1194</v>
      </c>
      <c r="H590" s="2" t="s">
        <v>680</v>
      </c>
      <c r="I590" s="2" t="s">
        <v>1995</v>
      </c>
      <c r="J590" s="2" t="s">
        <v>27</v>
      </c>
      <c r="K590" s="2" t="s">
        <v>1121</v>
      </c>
      <c r="L590" s="2" t="s">
        <v>2018</v>
      </c>
      <c r="M590" s="2" t="s">
        <v>2019</v>
      </c>
      <c r="N590" s="2" t="s">
        <v>2020</v>
      </c>
      <c r="O590" s="2" t="s">
        <v>183</v>
      </c>
      <c r="P590" s="2" t="s">
        <v>1031</v>
      </c>
      <c r="Q590" s="2" t="s">
        <v>41</v>
      </c>
      <c r="R590" s="2" t="s">
        <v>32</v>
      </c>
      <c r="S590" s="2" t="s">
        <v>33</v>
      </c>
      <c r="T590" s="2" t="s">
        <v>2021</v>
      </c>
      <c r="U590" s="2" t="s">
        <v>2022</v>
      </c>
    </row>
    <row r="591" spans="1:112" ht="119" x14ac:dyDescent="0.2">
      <c r="A591" s="2" t="s">
        <v>2023</v>
      </c>
      <c r="B591" s="2" t="s">
        <v>2024</v>
      </c>
      <c r="C591" s="2" t="s">
        <v>2024</v>
      </c>
      <c r="D591" s="1">
        <v>10</v>
      </c>
      <c r="E591" s="2" t="s">
        <v>23</v>
      </c>
      <c r="F591" s="2" t="s">
        <v>2017</v>
      </c>
      <c r="G591" s="2" t="s">
        <v>1194</v>
      </c>
      <c r="H591" s="2" t="s">
        <v>680</v>
      </c>
      <c r="I591" s="2" t="s">
        <v>1995</v>
      </c>
      <c r="J591" s="2" t="s">
        <v>27</v>
      </c>
      <c r="K591" s="2" t="s">
        <v>1121</v>
      </c>
      <c r="L591" s="2" t="s">
        <v>2018</v>
      </c>
      <c r="M591" s="2" t="s">
        <v>2019</v>
      </c>
      <c r="N591" s="2" t="s">
        <v>2020</v>
      </c>
      <c r="O591" s="2" t="s">
        <v>183</v>
      </c>
      <c r="P591" s="2" t="s">
        <v>1031</v>
      </c>
      <c r="Q591" s="2" t="s">
        <v>199</v>
      </c>
      <c r="R591" s="2" t="s">
        <v>32</v>
      </c>
      <c r="S591" s="2" t="s">
        <v>33</v>
      </c>
      <c r="T591" s="2" t="s">
        <v>2021</v>
      </c>
      <c r="U591" s="2" t="s">
        <v>2022</v>
      </c>
    </row>
    <row r="592" spans="1:112" ht="119" x14ac:dyDescent="0.2">
      <c r="A592" s="2" t="s">
        <v>2025</v>
      </c>
      <c r="B592" s="2" t="s">
        <v>2026</v>
      </c>
      <c r="C592" s="2" t="s">
        <v>2026</v>
      </c>
      <c r="D592" s="1">
        <v>10</v>
      </c>
      <c r="E592" s="2" t="s">
        <v>23</v>
      </c>
      <c r="F592" s="2" t="s">
        <v>2017</v>
      </c>
      <c r="G592" s="2" t="s">
        <v>1194</v>
      </c>
      <c r="H592" s="2" t="s">
        <v>680</v>
      </c>
      <c r="I592" s="2" t="s">
        <v>1995</v>
      </c>
      <c r="J592" s="2" t="s">
        <v>27</v>
      </c>
      <c r="K592" s="2" t="s">
        <v>1121</v>
      </c>
      <c r="L592" s="2" t="s">
        <v>2018</v>
      </c>
      <c r="M592" s="2" t="s">
        <v>2019</v>
      </c>
      <c r="N592" s="2" t="s">
        <v>2027</v>
      </c>
      <c r="O592" s="2" t="s">
        <v>183</v>
      </c>
      <c r="P592" s="2" t="s">
        <v>2028</v>
      </c>
      <c r="Q592" s="2" t="s">
        <v>41</v>
      </c>
      <c r="R592" s="2" t="s">
        <v>32</v>
      </c>
      <c r="S592" s="2" t="s">
        <v>33</v>
      </c>
      <c r="T592" s="2" t="s">
        <v>2029</v>
      </c>
      <c r="U592" s="2" t="s">
        <v>2030</v>
      </c>
    </row>
    <row r="593" spans="1:112" ht="136" x14ac:dyDescent="0.2">
      <c r="A593" s="2" t="s">
        <v>2031</v>
      </c>
      <c r="B593" s="2" t="s">
        <v>2032</v>
      </c>
      <c r="C593" s="2" t="s">
        <v>2033</v>
      </c>
      <c r="D593" s="1">
        <v>10</v>
      </c>
      <c r="E593" s="2" t="s">
        <v>23</v>
      </c>
      <c r="G593" s="2" t="s">
        <v>1194</v>
      </c>
      <c r="H593" s="2" t="s">
        <v>369</v>
      </c>
      <c r="I593" s="2" t="s">
        <v>2034</v>
      </c>
      <c r="J593" s="2" t="s">
        <v>27</v>
      </c>
      <c r="K593" s="2" t="s">
        <v>64</v>
      </c>
      <c r="L593" s="2" t="s">
        <v>494</v>
      </c>
      <c r="M593" s="2" t="s">
        <v>495</v>
      </c>
      <c r="N593" s="2" t="s">
        <v>1252</v>
      </c>
      <c r="O593" s="2" t="s">
        <v>183</v>
      </c>
      <c r="P593" s="2" t="s">
        <v>913</v>
      </c>
      <c r="Q593" s="2" t="s">
        <v>41</v>
      </c>
      <c r="R593" s="2" t="s">
        <v>32</v>
      </c>
      <c r="S593" s="2" t="s">
        <v>33</v>
      </c>
      <c r="T593" s="2" t="s">
        <v>1253</v>
      </c>
      <c r="U593" s="2" t="s">
        <v>4046</v>
      </c>
      <c r="V593" s="2" t="s">
        <v>4047</v>
      </c>
      <c r="W593" s="2" t="s">
        <v>4048</v>
      </c>
    </row>
    <row r="594" spans="1:112" ht="136" x14ac:dyDescent="0.2">
      <c r="A594" s="2" t="s">
        <v>2035</v>
      </c>
      <c r="B594" s="2" t="s">
        <v>2036</v>
      </c>
      <c r="C594" s="2" t="s">
        <v>2037</v>
      </c>
      <c r="D594" s="1">
        <v>10</v>
      </c>
      <c r="E594" s="2" t="s">
        <v>23</v>
      </c>
      <c r="G594" s="2" t="s">
        <v>1194</v>
      </c>
      <c r="H594" s="2" t="s">
        <v>369</v>
      </c>
      <c r="I594" s="2" t="s">
        <v>2034</v>
      </c>
      <c r="J594" s="2" t="s">
        <v>27</v>
      </c>
      <c r="K594" s="2" t="s">
        <v>64</v>
      </c>
      <c r="L594" s="2" t="s">
        <v>494</v>
      </c>
      <c r="M594" s="2" t="s">
        <v>495</v>
      </c>
      <c r="N594" s="2" t="s">
        <v>1252</v>
      </c>
      <c r="O594" s="2" t="s">
        <v>183</v>
      </c>
      <c r="P594" s="2" t="s">
        <v>913</v>
      </c>
      <c r="Q594" s="2" t="s">
        <v>199</v>
      </c>
      <c r="R594" s="2" t="s">
        <v>32</v>
      </c>
      <c r="S594" s="2" t="s">
        <v>33</v>
      </c>
      <c r="T594" s="2" t="s">
        <v>1253</v>
      </c>
      <c r="U594" s="2" t="s">
        <v>2038</v>
      </c>
    </row>
    <row r="595" spans="1:112" ht="119" x14ac:dyDescent="0.2">
      <c r="A595" s="2" t="s">
        <v>2039</v>
      </c>
      <c r="B595" s="2" t="s">
        <v>2040</v>
      </c>
      <c r="C595" s="2" t="s">
        <v>2040</v>
      </c>
      <c r="D595" s="1">
        <v>10</v>
      </c>
      <c r="E595" s="2" t="s">
        <v>23</v>
      </c>
      <c r="F595" s="2" t="s">
        <v>1384</v>
      </c>
      <c r="G595" s="2" t="s">
        <v>1194</v>
      </c>
      <c r="H595" s="2" t="s">
        <v>664</v>
      </c>
      <c r="I595" s="2" t="s">
        <v>1995</v>
      </c>
      <c r="J595" s="2" t="s">
        <v>27</v>
      </c>
      <c r="K595" s="2" t="s">
        <v>1121</v>
      </c>
      <c r="L595" s="2" t="s">
        <v>1122</v>
      </c>
      <c r="M595" s="2" t="s">
        <v>1123</v>
      </c>
      <c r="N595" s="2" t="s">
        <v>2041</v>
      </c>
      <c r="O595" s="2" t="s">
        <v>1999</v>
      </c>
      <c r="P595" s="2" t="s">
        <v>353</v>
      </c>
      <c r="Q595" s="2" t="s">
        <v>41</v>
      </c>
      <c r="R595" s="2" t="s">
        <v>32</v>
      </c>
      <c r="S595" s="2" t="s">
        <v>33</v>
      </c>
      <c r="T595" s="2" t="s">
        <v>2042</v>
      </c>
      <c r="U595" s="2" t="s">
        <v>2043</v>
      </c>
    </row>
    <row r="596" spans="1:112" ht="119" x14ac:dyDescent="0.2">
      <c r="A596" s="7" t="s">
        <v>2039</v>
      </c>
      <c r="B596" s="7" t="s">
        <v>5507</v>
      </c>
      <c r="C596" s="2" t="s">
        <v>5507</v>
      </c>
      <c r="D596" s="1">
        <v>10</v>
      </c>
      <c r="E596" s="2" t="s">
        <v>23</v>
      </c>
      <c r="F596" s="2" t="s">
        <v>1384</v>
      </c>
      <c r="G596" s="2" t="s">
        <v>1194</v>
      </c>
      <c r="H596" s="2" t="s">
        <v>664</v>
      </c>
      <c r="I596" s="2" t="s">
        <v>1995</v>
      </c>
      <c r="J596" s="12" t="s">
        <v>27</v>
      </c>
      <c r="K596" s="12" t="s">
        <v>1121</v>
      </c>
      <c r="L596" s="12" t="s">
        <v>1122</v>
      </c>
      <c r="M596" s="12" t="s">
        <v>1123</v>
      </c>
      <c r="N596" s="12" t="s">
        <v>2041</v>
      </c>
      <c r="O596" s="12" t="s">
        <v>1999</v>
      </c>
      <c r="P596" s="12" t="s">
        <v>353</v>
      </c>
      <c r="Q596" s="12" t="s">
        <v>41</v>
      </c>
      <c r="R596" s="12" t="s">
        <v>32</v>
      </c>
      <c r="S596" s="12" t="s">
        <v>33</v>
      </c>
      <c r="T596" s="12" t="s">
        <v>2042</v>
      </c>
      <c r="U596" s="12" t="s">
        <v>2043</v>
      </c>
      <c r="V596" s="12" t="s">
        <v>2043</v>
      </c>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row>
    <row r="597" spans="1:112" ht="119" x14ac:dyDescent="0.2">
      <c r="A597" s="7" t="s">
        <v>5508</v>
      </c>
      <c r="B597" s="7" t="s">
        <v>5509</v>
      </c>
      <c r="C597" s="2" t="s">
        <v>5509</v>
      </c>
      <c r="D597" s="1">
        <v>10</v>
      </c>
      <c r="E597" s="2" t="s">
        <v>23</v>
      </c>
      <c r="F597" s="2" t="s">
        <v>1384</v>
      </c>
      <c r="G597" s="2" t="s">
        <v>1194</v>
      </c>
      <c r="H597" s="2" t="s">
        <v>664</v>
      </c>
      <c r="I597" s="2" t="s">
        <v>1995</v>
      </c>
      <c r="J597" s="12" t="s">
        <v>27</v>
      </c>
      <c r="K597" s="12" t="s">
        <v>1121</v>
      </c>
      <c r="L597" s="12" t="s">
        <v>1122</v>
      </c>
      <c r="M597" s="12" t="s">
        <v>1123</v>
      </c>
      <c r="N597" s="12" t="s">
        <v>5510</v>
      </c>
      <c r="O597" s="12" t="s">
        <v>183</v>
      </c>
      <c r="P597" s="12" t="s">
        <v>829</v>
      </c>
      <c r="Q597" s="12" t="s">
        <v>41</v>
      </c>
      <c r="R597" s="12" t="s">
        <v>32</v>
      </c>
      <c r="S597" s="12" t="s">
        <v>33</v>
      </c>
      <c r="T597" s="12" t="s">
        <v>5378</v>
      </c>
      <c r="U597" s="12" t="s">
        <v>5511</v>
      </c>
      <c r="V597" s="12" t="s">
        <v>5511</v>
      </c>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row>
    <row r="598" spans="1:112" ht="85" x14ac:dyDescent="0.2">
      <c r="A598" s="7" t="s">
        <v>5622</v>
      </c>
      <c r="B598" s="7" t="s">
        <v>5623</v>
      </c>
      <c r="C598" s="2" t="s">
        <v>5623</v>
      </c>
      <c r="D598" s="5">
        <v>10</v>
      </c>
      <c r="E598" s="6" t="s">
        <v>23</v>
      </c>
      <c r="F598" s="6"/>
      <c r="G598" s="6" t="s">
        <v>1194</v>
      </c>
      <c r="H598" s="6" t="s">
        <v>492</v>
      </c>
      <c r="I598" s="6" t="s">
        <v>6055</v>
      </c>
      <c r="J598" s="12" t="s">
        <v>763</v>
      </c>
      <c r="K598" s="12" t="s">
        <v>859</v>
      </c>
      <c r="L598" s="12" t="s">
        <v>860</v>
      </c>
      <c r="M598" s="12" t="s">
        <v>861</v>
      </c>
      <c r="N598" s="12" t="s">
        <v>5624</v>
      </c>
      <c r="O598" s="12" t="s">
        <v>848</v>
      </c>
      <c r="P598" s="12" t="s">
        <v>94</v>
      </c>
      <c r="Q598" s="12" t="s">
        <v>41</v>
      </c>
      <c r="R598" s="12" t="s">
        <v>32</v>
      </c>
      <c r="S598" s="12" t="s">
        <v>33</v>
      </c>
      <c r="T598" s="12" t="s">
        <v>2048</v>
      </c>
      <c r="U598" s="12" t="s">
        <v>5625</v>
      </c>
      <c r="V598" s="12" t="s">
        <v>5625</v>
      </c>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row>
    <row r="599" spans="1:112" ht="85" x14ac:dyDescent="0.2">
      <c r="A599" s="2" t="s">
        <v>2044</v>
      </c>
      <c r="B599" s="2" t="s">
        <v>2045</v>
      </c>
      <c r="C599" s="2" t="s">
        <v>2045</v>
      </c>
      <c r="D599" s="1">
        <v>10</v>
      </c>
      <c r="E599" s="2" t="s">
        <v>23</v>
      </c>
      <c r="G599" s="2" t="s">
        <v>1194</v>
      </c>
      <c r="H599" s="2" t="s">
        <v>370</v>
      </c>
      <c r="I599" s="2" t="s">
        <v>2046</v>
      </c>
      <c r="J599" s="2" t="s">
        <v>763</v>
      </c>
      <c r="K599" s="2" t="s">
        <v>859</v>
      </c>
      <c r="L599" s="2" t="s">
        <v>860</v>
      </c>
      <c r="M599" s="2" t="s">
        <v>861</v>
      </c>
      <c r="N599" s="2" t="s">
        <v>2047</v>
      </c>
      <c r="O599" s="2" t="s">
        <v>848</v>
      </c>
      <c r="P599" s="2" t="s">
        <v>159</v>
      </c>
      <c r="Q599" s="2" t="s">
        <v>41</v>
      </c>
      <c r="R599" s="2" t="s">
        <v>32</v>
      </c>
      <c r="S599" s="2" t="s">
        <v>33</v>
      </c>
      <c r="T599" s="2" t="s">
        <v>2048</v>
      </c>
      <c r="U599" s="2" t="s">
        <v>4390</v>
      </c>
      <c r="V599" s="2" t="s">
        <v>4391</v>
      </c>
    </row>
    <row r="600" spans="1:112" ht="85" x14ac:dyDescent="0.2">
      <c r="A600" s="2" t="s">
        <v>2049</v>
      </c>
      <c r="B600" s="2" t="s">
        <v>2050</v>
      </c>
      <c r="C600" s="2" t="s">
        <v>2050</v>
      </c>
      <c r="D600" s="1">
        <v>10</v>
      </c>
      <c r="E600" s="2" t="s">
        <v>23</v>
      </c>
      <c r="G600" s="2" t="s">
        <v>1194</v>
      </c>
      <c r="H600" s="2" t="s">
        <v>370</v>
      </c>
      <c r="I600" s="2" t="s">
        <v>2046</v>
      </c>
      <c r="J600" s="2" t="s">
        <v>763</v>
      </c>
      <c r="K600" s="2" t="s">
        <v>859</v>
      </c>
      <c r="L600" s="2" t="s">
        <v>860</v>
      </c>
      <c r="M600" s="2" t="s">
        <v>861</v>
      </c>
      <c r="N600" s="2" t="s">
        <v>2051</v>
      </c>
      <c r="O600" s="2" t="s">
        <v>848</v>
      </c>
      <c r="P600" s="2" t="s">
        <v>229</v>
      </c>
      <c r="Q600" s="2" t="s">
        <v>41</v>
      </c>
      <c r="R600" s="2" t="s">
        <v>32</v>
      </c>
      <c r="S600" s="2" t="s">
        <v>33</v>
      </c>
      <c r="T600" s="2" t="s">
        <v>2048</v>
      </c>
      <c r="U600" s="2" t="s">
        <v>4392</v>
      </c>
      <c r="V600" s="2" t="s">
        <v>4393</v>
      </c>
    </row>
    <row r="601" spans="1:112" ht="85" x14ac:dyDescent="0.2">
      <c r="A601" s="7" t="s">
        <v>5626</v>
      </c>
      <c r="B601" s="7" t="s">
        <v>5627</v>
      </c>
      <c r="C601" s="2" t="s">
        <v>5627</v>
      </c>
      <c r="D601" s="5">
        <v>10</v>
      </c>
      <c r="E601" s="6" t="s">
        <v>23</v>
      </c>
      <c r="F601" s="6"/>
      <c r="G601" s="6" t="s">
        <v>1194</v>
      </c>
      <c r="H601" s="6" t="s">
        <v>492</v>
      </c>
      <c r="I601" s="6" t="s">
        <v>6055</v>
      </c>
      <c r="J601" s="12" t="s">
        <v>763</v>
      </c>
      <c r="K601" s="12" t="s">
        <v>859</v>
      </c>
      <c r="L601" s="12" t="s">
        <v>860</v>
      </c>
      <c r="M601" s="12" t="s">
        <v>861</v>
      </c>
      <c r="N601" s="12" t="s">
        <v>5628</v>
      </c>
      <c r="O601" s="12" t="s">
        <v>848</v>
      </c>
      <c r="P601" s="12" t="s">
        <v>108</v>
      </c>
      <c r="Q601" s="12" t="s">
        <v>41</v>
      </c>
      <c r="R601" s="12" t="s">
        <v>32</v>
      </c>
      <c r="S601" s="12" t="s">
        <v>33</v>
      </c>
      <c r="T601" s="12" t="s">
        <v>2048</v>
      </c>
      <c r="U601" s="12" t="s">
        <v>5629</v>
      </c>
      <c r="V601" s="12" t="s">
        <v>5629</v>
      </c>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row>
    <row r="602" spans="1:112" ht="68" x14ac:dyDescent="0.2">
      <c r="A602" s="7" t="s">
        <v>5669</v>
      </c>
      <c r="B602" s="7" t="s">
        <v>5670</v>
      </c>
      <c r="C602" s="2" t="s">
        <v>5670</v>
      </c>
      <c r="D602" s="5">
        <v>10</v>
      </c>
      <c r="E602" s="2" t="s">
        <v>61</v>
      </c>
      <c r="F602" s="6" t="s">
        <v>6056</v>
      </c>
      <c r="G602" s="2" t="s">
        <v>1194</v>
      </c>
      <c r="H602" s="2" t="s">
        <v>664</v>
      </c>
      <c r="I602" s="2" t="s">
        <v>2055</v>
      </c>
      <c r="J602" s="12" t="s">
        <v>469</v>
      </c>
      <c r="K602" s="12" t="s">
        <v>470</v>
      </c>
      <c r="L602" s="12" t="s">
        <v>682</v>
      </c>
      <c r="M602" s="12" t="s">
        <v>5671</v>
      </c>
      <c r="N602" s="12" t="s">
        <v>5672</v>
      </c>
      <c r="O602" s="12" t="s">
        <v>2494</v>
      </c>
      <c r="P602" s="12" t="s">
        <v>93</v>
      </c>
      <c r="Q602" s="12" t="s">
        <v>41</v>
      </c>
      <c r="R602" s="12" t="s">
        <v>32</v>
      </c>
      <c r="S602" s="12" t="s">
        <v>33</v>
      </c>
      <c r="T602" s="12" t="s">
        <v>5673</v>
      </c>
      <c r="U602" s="12" t="s">
        <v>5674</v>
      </c>
      <c r="V602" s="12" t="s">
        <v>5674</v>
      </c>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row>
    <row r="603" spans="1:112" ht="68" x14ac:dyDescent="0.2">
      <c r="A603" s="7" t="s">
        <v>5675</v>
      </c>
      <c r="B603" s="7" t="s">
        <v>5676</v>
      </c>
      <c r="C603" s="2" t="s">
        <v>5676</v>
      </c>
      <c r="D603" s="5">
        <v>10</v>
      </c>
      <c r="E603" s="2" t="s">
        <v>61</v>
      </c>
      <c r="F603" s="6" t="s">
        <v>6056</v>
      </c>
      <c r="G603" s="2" t="s">
        <v>1194</v>
      </c>
      <c r="H603" s="2" t="s">
        <v>664</v>
      </c>
      <c r="I603" s="2" t="s">
        <v>2055</v>
      </c>
      <c r="J603" s="12" t="s">
        <v>469</v>
      </c>
      <c r="K603" s="12" t="s">
        <v>470</v>
      </c>
      <c r="L603" s="12" t="s">
        <v>682</v>
      </c>
      <c r="M603" s="12" t="s">
        <v>5671</v>
      </c>
      <c r="N603" s="12" t="s">
        <v>5677</v>
      </c>
      <c r="O603" s="12" t="s">
        <v>2671</v>
      </c>
      <c r="P603" s="12" t="s">
        <v>40</v>
      </c>
      <c r="Q603" s="12" t="s">
        <v>41</v>
      </c>
      <c r="R603" s="12" t="s">
        <v>32</v>
      </c>
      <c r="S603" s="12" t="s">
        <v>33</v>
      </c>
      <c r="T603" s="12" t="s">
        <v>5678</v>
      </c>
      <c r="U603" s="12" t="s">
        <v>5679</v>
      </c>
      <c r="V603" s="12" t="s">
        <v>5679</v>
      </c>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c r="DD603" s="12"/>
      <c r="DE603" s="12"/>
      <c r="DF603" s="12"/>
      <c r="DG603" s="12"/>
      <c r="DH603" s="12"/>
    </row>
    <row r="604" spans="1:112" ht="68" x14ac:dyDescent="0.2">
      <c r="A604" s="2" t="s">
        <v>2052</v>
      </c>
      <c r="B604" s="2" t="s">
        <v>2053</v>
      </c>
      <c r="C604" s="2" t="s">
        <v>2053</v>
      </c>
      <c r="D604" s="1">
        <v>10</v>
      </c>
      <c r="E604" s="2" t="s">
        <v>61</v>
      </c>
      <c r="F604" s="2" t="s">
        <v>2054</v>
      </c>
      <c r="G604" s="2" t="s">
        <v>1194</v>
      </c>
      <c r="H604" s="2" t="s">
        <v>664</v>
      </c>
      <c r="I604" s="2" t="s">
        <v>2055</v>
      </c>
      <c r="J604" s="2" t="s">
        <v>469</v>
      </c>
      <c r="K604" s="2" t="s">
        <v>470</v>
      </c>
      <c r="L604" s="2" t="s">
        <v>682</v>
      </c>
      <c r="M604" s="2">
        <v>95</v>
      </c>
      <c r="N604" s="2" t="s">
        <v>2056</v>
      </c>
      <c r="O604" s="2">
        <v>95</v>
      </c>
      <c r="P604" s="2">
        <v>61</v>
      </c>
      <c r="Q604" s="2">
        <v>0</v>
      </c>
      <c r="R604" s="2" t="s">
        <v>32</v>
      </c>
      <c r="S604" s="2" t="s">
        <v>33</v>
      </c>
      <c r="T604" s="2" t="s">
        <v>2057</v>
      </c>
      <c r="U604" s="2" t="s">
        <v>4394</v>
      </c>
      <c r="V604" s="2" t="s">
        <v>4395</v>
      </c>
      <c r="W604" s="2" t="s">
        <v>4396</v>
      </c>
    </row>
    <row r="605" spans="1:112" ht="85" x14ac:dyDescent="0.2">
      <c r="A605" s="2" t="s">
        <v>2058</v>
      </c>
      <c r="B605" s="2" t="s">
        <v>2059</v>
      </c>
      <c r="C605" s="2" t="s">
        <v>2059</v>
      </c>
      <c r="D605" s="1">
        <v>10</v>
      </c>
      <c r="E605" s="2" t="s">
        <v>23</v>
      </c>
      <c r="G605" s="2" t="s">
        <v>1194</v>
      </c>
      <c r="H605" s="2" t="s">
        <v>538</v>
      </c>
      <c r="I605" s="2" t="s">
        <v>2060</v>
      </c>
      <c r="J605" s="2" t="s">
        <v>469</v>
      </c>
      <c r="K605" s="2" t="s">
        <v>470</v>
      </c>
      <c r="L605" s="2" t="s">
        <v>1262</v>
      </c>
      <c r="M605" s="2">
        <v>99</v>
      </c>
      <c r="N605" s="2" t="s">
        <v>2061</v>
      </c>
      <c r="O605" s="2">
        <v>82</v>
      </c>
      <c r="P605" s="2">
        <v>2</v>
      </c>
      <c r="Q605" s="2">
        <v>2</v>
      </c>
      <c r="R605" s="2" t="s">
        <v>32</v>
      </c>
      <c r="S605" s="2" t="s">
        <v>33</v>
      </c>
      <c r="T605" s="2" t="s">
        <v>2062</v>
      </c>
      <c r="U605" s="2" t="s">
        <v>4397</v>
      </c>
      <c r="V605" s="2" t="s">
        <v>4398</v>
      </c>
      <c r="W605" s="2" t="s">
        <v>4399</v>
      </c>
      <c r="X605" s="2" t="s">
        <v>4400</v>
      </c>
      <c r="Y605" s="2" t="s">
        <v>4401</v>
      </c>
      <c r="Z605" s="2" t="s">
        <v>4402</v>
      </c>
      <c r="AA605" s="2" t="s">
        <v>4403</v>
      </c>
      <c r="AB605" s="2" t="s">
        <v>4404</v>
      </c>
      <c r="AC605" s="2" t="s">
        <v>4405</v>
      </c>
      <c r="AD605" s="2" t="s">
        <v>4406</v>
      </c>
      <c r="AE605" s="2" t="s">
        <v>4407</v>
      </c>
      <c r="AF605" s="2" t="s">
        <v>4408</v>
      </c>
      <c r="AG605" s="2" t="s">
        <v>4409</v>
      </c>
      <c r="AH605" s="2" t="s">
        <v>4410</v>
      </c>
      <c r="AI605" s="2" t="s">
        <v>4411</v>
      </c>
      <c r="AJ605" s="2" t="s">
        <v>4412</v>
      </c>
      <c r="AK605" s="2" t="s">
        <v>4413</v>
      </c>
      <c r="AL605" s="2" t="s">
        <v>4414</v>
      </c>
    </row>
    <row r="606" spans="1:112" ht="85" x14ac:dyDescent="0.2">
      <c r="A606" s="7" t="s">
        <v>5696</v>
      </c>
      <c r="B606" s="7" t="s">
        <v>5697</v>
      </c>
      <c r="C606" s="2" t="s">
        <v>5697</v>
      </c>
      <c r="D606" s="1">
        <v>10</v>
      </c>
      <c r="E606" s="2" t="s">
        <v>23</v>
      </c>
      <c r="G606" s="2" t="s">
        <v>1194</v>
      </c>
      <c r="H606" s="2" t="s">
        <v>538</v>
      </c>
      <c r="I606" s="2" t="s">
        <v>2077</v>
      </c>
      <c r="J606" s="12" t="s">
        <v>469</v>
      </c>
      <c r="K606" s="12" t="s">
        <v>470</v>
      </c>
      <c r="L606" s="12" t="s">
        <v>1262</v>
      </c>
      <c r="M606" s="12" t="s">
        <v>1094</v>
      </c>
      <c r="N606" s="12" t="s">
        <v>5698</v>
      </c>
      <c r="O606" s="12" t="s">
        <v>2372</v>
      </c>
      <c r="P606" s="12" t="s">
        <v>52</v>
      </c>
      <c r="Q606" s="12" t="s">
        <v>41</v>
      </c>
      <c r="R606" s="12" t="s">
        <v>32</v>
      </c>
      <c r="S606" s="12" t="s">
        <v>33</v>
      </c>
      <c r="T606" s="12" t="s">
        <v>5699</v>
      </c>
      <c r="U606" s="12" t="s">
        <v>5700</v>
      </c>
      <c r="V606" s="12" t="s">
        <v>5700</v>
      </c>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row>
    <row r="607" spans="1:112" ht="85" x14ac:dyDescent="0.2">
      <c r="A607" s="2" t="s">
        <v>2063</v>
      </c>
      <c r="B607" s="2" t="s">
        <v>2064</v>
      </c>
      <c r="C607" s="2" t="s">
        <v>2064</v>
      </c>
      <c r="D607" s="1">
        <v>10</v>
      </c>
      <c r="E607" s="2" t="s">
        <v>61</v>
      </c>
      <c r="F607" s="2" t="s">
        <v>2054</v>
      </c>
      <c r="G607" s="2" t="s">
        <v>1194</v>
      </c>
      <c r="H607" s="2" t="s">
        <v>664</v>
      </c>
      <c r="I607" s="2" t="s">
        <v>2055</v>
      </c>
      <c r="J607" s="2" t="s">
        <v>469</v>
      </c>
      <c r="K607" s="2" t="s">
        <v>470</v>
      </c>
      <c r="L607" s="2" t="s">
        <v>1262</v>
      </c>
      <c r="M607" s="2">
        <v>99</v>
      </c>
      <c r="N607" s="2" t="s">
        <v>2065</v>
      </c>
      <c r="O607" s="2">
        <v>85</v>
      </c>
      <c r="P607" s="2">
        <v>4</v>
      </c>
      <c r="Q607" s="2">
        <v>0</v>
      </c>
      <c r="R607" s="2" t="s">
        <v>32</v>
      </c>
      <c r="S607" s="2" t="s">
        <v>33</v>
      </c>
      <c r="T607" s="2" t="s">
        <v>2066</v>
      </c>
      <c r="U607" s="2" t="s">
        <v>4415</v>
      </c>
      <c r="V607" s="2" t="s">
        <v>4416</v>
      </c>
      <c r="W607" s="2" t="s">
        <v>4417</v>
      </c>
      <c r="X607" s="2" t="s">
        <v>4418</v>
      </c>
      <c r="Y607" s="2" t="s">
        <v>4419</v>
      </c>
    </row>
    <row r="608" spans="1:112" ht="51" x14ac:dyDescent="0.2">
      <c r="A608" s="2" t="s">
        <v>2067</v>
      </c>
      <c r="B608" s="2" t="s">
        <v>2068</v>
      </c>
      <c r="C608" s="2" t="s">
        <v>2068</v>
      </c>
      <c r="D608" s="1">
        <v>10</v>
      </c>
      <c r="E608" s="2" t="s">
        <v>61</v>
      </c>
      <c r="F608" s="2" t="s">
        <v>2069</v>
      </c>
      <c r="H608" s="2" t="s">
        <v>2070</v>
      </c>
      <c r="I608" s="2" t="s">
        <v>2071</v>
      </c>
      <c r="J608" s="2" t="s">
        <v>469</v>
      </c>
      <c r="K608" s="2" t="s">
        <v>470</v>
      </c>
      <c r="L608" s="2" t="s">
        <v>1262</v>
      </c>
      <c r="M608" s="2">
        <v>99</v>
      </c>
      <c r="N608" s="2" t="s">
        <v>2072</v>
      </c>
      <c r="O608" s="2">
        <v>98</v>
      </c>
      <c r="P608" s="2">
        <v>33</v>
      </c>
      <c r="Q608" s="2">
        <v>0</v>
      </c>
      <c r="R608" s="2" t="s">
        <v>32</v>
      </c>
      <c r="S608" s="2" t="s">
        <v>33</v>
      </c>
      <c r="T608" s="2" t="s">
        <v>2073</v>
      </c>
      <c r="U608" s="2" t="s">
        <v>2074</v>
      </c>
    </row>
    <row r="609" spans="1:112" ht="85" x14ac:dyDescent="0.2">
      <c r="A609" s="2" t="s">
        <v>2075</v>
      </c>
      <c r="B609" s="2" t="s">
        <v>2076</v>
      </c>
      <c r="C609" s="2" t="s">
        <v>2076</v>
      </c>
      <c r="D609" s="1">
        <v>10</v>
      </c>
      <c r="E609" s="2" t="s">
        <v>23</v>
      </c>
      <c r="G609" s="2" t="s">
        <v>1194</v>
      </c>
      <c r="H609" s="2" t="s">
        <v>538</v>
      </c>
      <c r="I609" s="2" t="s">
        <v>2077</v>
      </c>
      <c r="J609" s="2" t="s">
        <v>469</v>
      </c>
      <c r="K609" s="2" t="s">
        <v>470</v>
      </c>
      <c r="L609" s="2" t="s">
        <v>1262</v>
      </c>
      <c r="M609" s="2">
        <v>99</v>
      </c>
      <c r="N609" s="2" t="s">
        <v>2078</v>
      </c>
      <c r="O609" s="2">
        <v>99</v>
      </c>
      <c r="P609" s="2">
        <v>23</v>
      </c>
      <c r="Q609" s="2">
        <v>0</v>
      </c>
      <c r="R609" s="2" t="s">
        <v>32</v>
      </c>
      <c r="S609" s="2" t="s">
        <v>33</v>
      </c>
      <c r="T609" s="2" t="s">
        <v>2079</v>
      </c>
      <c r="U609" s="2" t="s">
        <v>4420</v>
      </c>
      <c r="V609" s="2" t="s">
        <v>4421</v>
      </c>
      <c r="W609" s="2" t="s">
        <v>4422</v>
      </c>
      <c r="X609" s="2" t="s">
        <v>4423</v>
      </c>
      <c r="Y609" s="2" t="s">
        <v>4424</v>
      </c>
      <c r="Z609" s="2" t="s">
        <v>4425</v>
      </c>
      <c r="AA609" s="2" t="s">
        <v>4426</v>
      </c>
      <c r="AB609" s="2" t="s">
        <v>4427</v>
      </c>
      <c r="AC609" s="2" t="s">
        <v>4428</v>
      </c>
      <c r="AD609" s="2" t="s">
        <v>4429</v>
      </c>
      <c r="AE609" s="2" t="s">
        <v>4430</v>
      </c>
      <c r="AF609" s="2" t="s">
        <v>4431</v>
      </c>
      <c r="AG609" s="2" t="s">
        <v>4432</v>
      </c>
      <c r="AH609" s="2" t="s">
        <v>4433</v>
      </c>
      <c r="AI609" s="2" t="s">
        <v>4434</v>
      </c>
      <c r="AJ609" s="2" t="s">
        <v>4435</v>
      </c>
      <c r="AK609" s="2" t="s">
        <v>4436</v>
      </c>
      <c r="AL609" s="2" t="s">
        <v>4437</v>
      </c>
      <c r="AM609" s="2" t="s">
        <v>4438</v>
      </c>
      <c r="AN609" s="2" t="s">
        <v>4439</v>
      </c>
      <c r="AO609" s="2" t="s">
        <v>4440</v>
      </c>
      <c r="AP609" s="2" t="s">
        <v>4441</v>
      </c>
      <c r="AQ609" s="2" t="s">
        <v>4442</v>
      </c>
      <c r="AR609" s="2" t="s">
        <v>4443</v>
      </c>
      <c r="AS609" s="2" t="s">
        <v>4444</v>
      </c>
      <c r="AT609" s="2" t="s">
        <v>4445</v>
      </c>
      <c r="AU609" s="2" t="s">
        <v>4446</v>
      </c>
      <c r="AV609" s="2" t="s">
        <v>4447</v>
      </c>
      <c r="AW609" s="2" t="s">
        <v>4448</v>
      </c>
      <c r="AX609" s="2" t="s">
        <v>4449</v>
      </c>
      <c r="AY609" s="2" t="s">
        <v>4450</v>
      </c>
      <c r="AZ609" s="2" t="s">
        <v>4451</v>
      </c>
      <c r="BA609" s="2" t="s">
        <v>4452</v>
      </c>
      <c r="BB609" s="2" t="s">
        <v>4453</v>
      </c>
      <c r="BC609" s="2" t="s">
        <v>2001</v>
      </c>
      <c r="BD609" s="2" t="s">
        <v>2002</v>
      </c>
      <c r="BE609" s="2" t="s">
        <v>2003</v>
      </c>
      <c r="BF609" s="2" t="s">
        <v>2004</v>
      </c>
      <c r="BG609" s="2" t="s">
        <v>2005</v>
      </c>
      <c r="BH609" s="2" t="s">
        <v>2006</v>
      </c>
      <c r="BI609" s="2" t="s">
        <v>2007</v>
      </c>
      <c r="BJ609" s="2" t="s">
        <v>2008</v>
      </c>
      <c r="BK609" s="2" t="s">
        <v>2009</v>
      </c>
      <c r="BL609" s="2" t="s">
        <v>2010</v>
      </c>
      <c r="BM609" s="2" t="s">
        <v>2011</v>
      </c>
    </row>
    <row r="610" spans="1:112" ht="85" x14ac:dyDescent="0.2">
      <c r="A610" s="2" t="s">
        <v>2080</v>
      </c>
      <c r="B610" s="2" t="s">
        <v>2081</v>
      </c>
      <c r="C610" s="2" t="s">
        <v>2081</v>
      </c>
      <c r="D610" s="1">
        <v>10</v>
      </c>
      <c r="E610" s="2" t="s">
        <v>23</v>
      </c>
      <c r="G610" s="2" t="s">
        <v>1194</v>
      </c>
      <c r="H610" s="2" t="s">
        <v>538</v>
      </c>
      <c r="I610" s="2" t="s">
        <v>2077</v>
      </c>
      <c r="J610" s="2" t="s">
        <v>469</v>
      </c>
      <c r="K610" s="2" t="s">
        <v>470</v>
      </c>
      <c r="L610" s="2" t="s">
        <v>1262</v>
      </c>
      <c r="M610" s="2">
        <v>99</v>
      </c>
      <c r="N610" s="2" t="s">
        <v>2078</v>
      </c>
      <c r="O610" s="2">
        <v>99</v>
      </c>
      <c r="P610" s="2">
        <v>23</v>
      </c>
      <c r="Q610" s="2" t="s">
        <v>199</v>
      </c>
      <c r="R610" s="2" t="s">
        <v>32</v>
      </c>
      <c r="S610" s="2" t="s">
        <v>33</v>
      </c>
      <c r="T610" s="2" t="s">
        <v>2079</v>
      </c>
      <c r="U610" s="2" t="s">
        <v>4420</v>
      </c>
      <c r="V610" s="2" t="s">
        <v>4421</v>
      </c>
      <c r="W610" s="2" t="s">
        <v>4422</v>
      </c>
      <c r="X610" s="2" t="s">
        <v>4423</v>
      </c>
      <c r="Y610" s="2" t="s">
        <v>4424</v>
      </c>
      <c r="Z610" s="2" t="s">
        <v>4425</v>
      </c>
      <c r="AA610" s="2" t="s">
        <v>4426</v>
      </c>
      <c r="AB610" s="2" t="s">
        <v>4427</v>
      </c>
      <c r="AC610" s="2" t="s">
        <v>4428</v>
      </c>
      <c r="AD610" s="2" t="s">
        <v>4429</v>
      </c>
      <c r="AE610" s="2" t="s">
        <v>4430</v>
      </c>
      <c r="AF610" s="2" t="s">
        <v>4431</v>
      </c>
      <c r="AG610" s="2" t="s">
        <v>4432</v>
      </c>
      <c r="AH610" s="2" t="s">
        <v>4433</v>
      </c>
      <c r="AI610" s="2" t="s">
        <v>4434</v>
      </c>
      <c r="AJ610" s="2" t="s">
        <v>4435</v>
      </c>
      <c r="AK610" s="2" t="s">
        <v>4436</v>
      </c>
      <c r="AL610" s="2" t="s">
        <v>4437</v>
      </c>
      <c r="AM610" s="2" t="s">
        <v>4438</v>
      </c>
      <c r="AN610" s="2" t="s">
        <v>4439</v>
      </c>
      <c r="AO610" s="2" t="s">
        <v>4440</v>
      </c>
      <c r="AP610" s="2" t="s">
        <v>4441</v>
      </c>
      <c r="AQ610" s="2" t="s">
        <v>4442</v>
      </c>
      <c r="AR610" s="2" t="s">
        <v>4443</v>
      </c>
      <c r="AS610" s="2" t="s">
        <v>4444</v>
      </c>
      <c r="AT610" s="2" t="s">
        <v>4445</v>
      </c>
      <c r="AU610" s="2" t="s">
        <v>4446</v>
      </c>
      <c r="AV610" s="2" t="s">
        <v>4447</v>
      </c>
      <c r="AW610" s="2" t="s">
        <v>4448</v>
      </c>
      <c r="AX610" s="2" t="s">
        <v>4449</v>
      </c>
      <c r="AY610" s="2" t="s">
        <v>4450</v>
      </c>
      <c r="AZ610" s="2" t="s">
        <v>4451</v>
      </c>
      <c r="BA610" s="2" t="s">
        <v>4452</v>
      </c>
      <c r="BB610" s="2" t="s">
        <v>4453</v>
      </c>
      <c r="BC610" s="2" t="s">
        <v>2001</v>
      </c>
      <c r="BD610" s="2" t="s">
        <v>2002</v>
      </c>
      <c r="BE610" s="2" t="s">
        <v>2003</v>
      </c>
      <c r="BF610" s="2" t="s">
        <v>2004</v>
      </c>
      <c r="BG610" s="2" t="s">
        <v>2005</v>
      </c>
      <c r="BH610" s="2" t="s">
        <v>2006</v>
      </c>
      <c r="BI610" s="2" t="s">
        <v>2007</v>
      </c>
      <c r="BJ610" s="2" t="s">
        <v>2008</v>
      </c>
      <c r="BK610" s="2" t="s">
        <v>2009</v>
      </c>
      <c r="BL610" s="2" t="s">
        <v>2010</v>
      </c>
      <c r="BM610" s="2" t="s">
        <v>2011</v>
      </c>
    </row>
    <row r="611" spans="1:112" ht="68" x14ac:dyDescent="0.2">
      <c r="A611" s="7" t="s">
        <v>5728</v>
      </c>
      <c r="B611" s="7" t="s">
        <v>5729</v>
      </c>
      <c r="C611" s="2" t="s">
        <v>5729</v>
      </c>
      <c r="D611" s="5">
        <v>10</v>
      </c>
      <c r="E611" s="6" t="s">
        <v>23</v>
      </c>
      <c r="F611" s="6"/>
      <c r="G611" s="6" t="s">
        <v>1194</v>
      </c>
      <c r="H611" s="6" t="s">
        <v>664</v>
      </c>
      <c r="I611" s="6" t="s">
        <v>1323</v>
      </c>
      <c r="J611" s="12" t="s">
        <v>469</v>
      </c>
      <c r="K611" s="12" t="s">
        <v>470</v>
      </c>
      <c r="L611" s="12" t="s">
        <v>1262</v>
      </c>
      <c r="M611" s="12" t="s">
        <v>1094</v>
      </c>
      <c r="N611" s="12" t="s">
        <v>5730</v>
      </c>
      <c r="O611" s="12" t="s">
        <v>1094</v>
      </c>
      <c r="P611" s="12" t="s">
        <v>93</v>
      </c>
      <c r="Q611" s="12" t="s">
        <v>41</v>
      </c>
      <c r="R611" s="12" t="s">
        <v>32</v>
      </c>
      <c r="S611" s="12" t="s">
        <v>33</v>
      </c>
      <c r="T611" s="12" t="s">
        <v>5731</v>
      </c>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c r="DD611" s="12"/>
      <c r="DE611" s="12"/>
      <c r="DF611" s="12"/>
      <c r="DG611" s="12"/>
      <c r="DH611" s="12"/>
    </row>
    <row r="612" spans="1:112" ht="68" x14ac:dyDescent="0.2">
      <c r="A612" s="2" t="s">
        <v>2082</v>
      </c>
      <c r="B612" s="2" t="s">
        <v>2083</v>
      </c>
      <c r="C612" s="2" t="s">
        <v>2083</v>
      </c>
      <c r="D612" s="1">
        <v>10</v>
      </c>
      <c r="E612" s="2" t="s">
        <v>61</v>
      </c>
      <c r="F612" s="2" t="s">
        <v>2084</v>
      </c>
      <c r="G612" s="2" t="s">
        <v>1194</v>
      </c>
      <c r="J612" s="2" t="s">
        <v>469</v>
      </c>
      <c r="K612" s="2" t="s">
        <v>470</v>
      </c>
      <c r="L612" s="2" t="s">
        <v>1262</v>
      </c>
      <c r="M612" s="2">
        <v>99</v>
      </c>
      <c r="N612" s="2" t="s">
        <v>1093</v>
      </c>
      <c r="O612" s="2">
        <v>99</v>
      </c>
      <c r="P612" s="2">
        <v>99</v>
      </c>
      <c r="Q612" s="2">
        <v>18</v>
      </c>
      <c r="R612" s="2" t="s">
        <v>32</v>
      </c>
      <c r="S612" s="2" t="s">
        <v>33</v>
      </c>
      <c r="T612" s="2" t="s">
        <v>2085</v>
      </c>
      <c r="U612" s="2" t="s">
        <v>292</v>
      </c>
    </row>
    <row r="613" spans="1:112" ht="187" x14ac:dyDescent="0.2">
      <c r="A613" s="2" t="s">
        <v>2086</v>
      </c>
      <c r="B613" s="2" t="s">
        <v>2087</v>
      </c>
      <c r="C613" s="2" t="s">
        <v>2087</v>
      </c>
      <c r="D613" s="1">
        <v>10</v>
      </c>
      <c r="E613" s="2" t="s">
        <v>23</v>
      </c>
      <c r="G613" s="2" t="s">
        <v>1194</v>
      </c>
      <c r="H613" s="2" t="s">
        <v>680</v>
      </c>
      <c r="I613" s="2" t="s">
        <v>2088</v>
      </c>
      <c r="J613" s="2" t="s">
        <v>645</v>
      </c>
      <c r="K613" s="2" t="s">
        <v>2089</v>
      </c>
      <c r="L613" s="2" t="s">
        <v>2089</v>
      </c>
      <c r="M613" s="2" t="s">
        <v>2090</v>
      </c>
      <c r="N613" s="2" t="s">
        <v>2091</v>
      </c>
      <c r="O613" s="2">
        <v>66</v>
      </c>
      <c r="P613" s="2">
        <v>91</v>
      </c>
      <c r="Q613" s="2">
        <v>0</v>
      </c>
      <c r="R613" s="2" t="s">
        <v>32</v>
      </c>
      <c r="S613" s="2" t="s">
        <v>33</v>
      </c>
      <c r="T613" s="2" t="s">
        <v>2092</v>
      </c>
      <c r="U613" s="2" t="s">
        <v>2093</v>
      </c>
    </row>
    <row r="614" spans="1:112" ht="187" x14ac:dyDescent="0.2">
      <c r="A614" s="2" t="s">
        <v>2094</v>
      </c>
      <c r="B614" s="2" t="s">
        <v>2095</v>
      </c>
      <c r="C614" s="2" t="s">
        <v>2095</v>
      </c>
      <c r="D614" s="1">
        <v>10</v>
      </c>
      <c r="E614" s="2" t="s">
        <v>23</v>
      </c>
      <c r="G614" s="2" t="s">
        <v>1194</v>
      </c>
      <c r="H614" s="2" t="s">
        <v>680</v>
      </c>
      <c r="I614" s="2" t="s">
        <v>2088</v>
      </c>
      <c r="J614" s="2" t="s">
        <v>645</v>
      </c>
      <c r="K614" s="2" t="s">
        <v>2089</v>
      </c>
      <c r="L614" s="2" t="s">
        <v>2089</v>
      </c>
      <c r="M614" s="2" t="s">
        <v>2090</v>
      </c>
      <c r="N614" s="2" t="s">
        <v>2091</v>
      </c>
      <c r="O614" s="2">
        <v>66</v>
      </c>
      <c r="P614" s="2">
        <v>91</v>
      </c>
      <c r="Q614" s="2" t="s">
        <v>199</v>
      </c>
      <c r="R614" s="2" t="s">
        <v>32</v>
      </c>
      <c r="S614" s="2" t="s">
        <v>33</v>
      </c>
      <c r="T614" s="2" t="s">
        <v>2092</v>
      </c>
      <c r="U614" s="2" t="s">
        <v>2093</v>
      </c>
    </row>
    <row r="615" spans="1:112" ht="102" x14ac:dyDescent="0.2">
      <c r="A615" s="2" t="s">
        <v>2096</v>
      </c>
      <c r="B615" s="2" t="s">
        <v>2097</v>
      </c>
      <c r="C615" s="2" t="s">
        <v>2097</v>
      </c>
      <c r="D615" s="1">
        <v>10</v>
      </c>
      <c r="E615" s="2" t="s">
        <v>61</v>
      </c>
      <c r="F615" s="2" t="s">
        <v>2098</v>
      </c>
      <c r="G615" s="2" t="s">
        <v>1194</v>
      </c>
      <c r="H615" s="2" t="s">
        <v>369</v>
      </c>
      <c r="I615" s="2" t="s">
        <v>1882</v>
      </c>
      <c r="J615" s="2" t="s">
        <v>1284</v>
      </c>
      <c r="K615" s="2" t="s">
        <v>1284</v>
      </c>
      <c r="L615" s="2" t="s">
        <v>1284</v>
      </c>
      <c r="M615" s="2" t="s">
        <v>2099</v>
      </c>
      <c r="N615" s="2" t="s">
        <v>2100</v>
      </c>
      <c r="O615" s="2">
        <v>104</v>
      </c>
      <c r="P615" s="2">
        <v>42</v>
      </c>
      <c r="Q615" s="2">
        <v>0</v>
      </c>
      <c r="R615" s="2" t="s">
        <v>1287</v>
      </c>
      <c r="S615" s="2" t="s">
        <v>2101</v>
      </c>
      <c r="T615" s="2" t="s">
        <v>2102</v>
      </c>
      <c r="U615" s="2" t="s">
        <v>2103</v>
      </c>
    </row>
    <row r="616" spans="1:112" ht="102" x14ac:dyDescent="0.2">
      <c r="A616" s="2" t="s">
        <v>2104</v>
      </c>
      <c r="B616" s="2" t="s">
        <v>2105</v>
      </c>
      <c r="C616" s="2" t="s">
        <v>2105</v>
      </c>
      <c r="D616" s="1">
        <v>10</v>
      </c>
      <c r="E616" s="2" t="s">
        <v>61</v>
      </c>
      <c r="F616" s="2" t="s">
        <v>2098</v>
      </c>
      <c r="G616" s="2" t="s">
        <v>1194</v>
      </c>
      <c r="H616" s="2" t="s">
        <v>369</v>
      </c>
      <c r="I616" s="2" t="s">
        <v>1882</v>
      </c>
      <c r="J616" s="2" t="s">
        <v>1284</v>
      </c>
      <c r="K616" s="2" t="s">
        <v>1284</v>
      </c>
      <c r="L616" s="2" t="s">
        <v>1284</v>
      </c>
      <c r="M616" s="2" t="s">
        <v>2099</v>
      </c>
      <c r="N616" s="2" t="s">
        <v>2106</v>
      </c>
      <c r="O616" s="2">
        <v>104</v>
      </c>
      <c r="P616" s="2">
        <v>45</v>
      </c>
      <c r="Q616" s="2">
        <v>1</v>
      </c>
      <c r="R616" s="2" t="s">
        <v>1287</v>
      </c>
      <c r="S616" s="2" t="s">
        <v>2101</v>
      </c>
      <c r="T616" s="2" t="s">
        <v>2107</v>
      </c>
      <c r="U616" s="2" t="s">
        <v>2108</v>
      </c>
    </row>
    <row r="617" spans="1:112" ht="102" x14ac:dyDescent="0.2">
      <c r="A617" s="2" t="s">
        <v>2109</v>
      </c>
      <c r="B617" s="2" t="s">
        <v>2110</v>
      </c>
      <c r="C617" s="2" t="s">
        <v>2110</v>
      </c>
      <c r="D617" s="1">
        <v>10</v>
      </c>
      <c r="E617" s="2" t="s">
        <v>61</v>
      </c>
      <c r="F617" s="2" t="s">
        <v>2098</v>
      </c>
      <c r="G617" s="2" t="s">
        <v>1194</v>
      </c>
      <c r="H617" s="2" t="s">
        <v>369</v>
      </c>
      <c r="I617" s="2" t="s">
        <v>1882</v>
      </c>
      <c r="J617" s="2" t="s">
        <v>1284</v>
      </c>
      <c r="K617" s="2" t="s">
        <v>1284</v>
      </c>
      <c r="L617" s="2" t="s">
        <v>1284</v>
      </c>
      <c r="M617" s="2" t="s">
        <v>2099</v>
      </c>
      <c r="N617" s="2" t="s">
        <v>2111</v>
      </c>
      <c r="O617" s="2">
        <v>142</v>
      </c>
      <c r="P617" s="2">
        <v>94</v>
      </c>
      <c r="Q617" s="2">
        <v>0</v>
      </c>
      <c r="R617" s="2" t="s">
        <v>1287</v>
      </c>
      <c r="S617" s="2" t="s">
        <v>2101</v>
      </c>
      <c r="T617" s="2" t="s">
        <v>2112</v>
      </c>
      <c r="U617" s="2" t="s">
        <v>2113</v>
      </c>
    </row>
    <row r="618" spans="1:112" ht="102" x14ac:dyDescent="0.2">
      <c r="A618" s="2" t="s">
        <v>2114</v>
      </c>
      <c r="B618" s="2" t="s">
        <v>2115</v>
      </c>
      <c r="C618" s="2" t="s">
        <v>2115</v>
      </c>
      <c r="D618" s="1">
        <v>10</v>
      </c>
      <c r="E618" s="2" t="s">
        <v>61</v>
      </c>
      <c r="F618" s="2" t="s">
        <v>2098</v>
      </c>
      <c r="G618" s="2" t="s">
        <v>1194</v>
      </c>
      <c r="H618" s="2" t="s">
        <v>369</v>
      </c>
      <c r="I618" s="2" t="s">
        <v>1882</v>
      </c>
      <c r="J618" s="2" t="s">
        <v>1284</v>
      </c>
      <c r="K618" s="2" t="s">
        <v>1284</v>
      </c>
      <c r="L618" s="2" t="s">
        <v>1284</v>
      </c>
      <c r="M618" s="2" t="s">
        <v>2099</v>
      </c>
      <c r="N618" s="2" t="s">
        <v>2111</v>
      </c>
      <c r="O618" s="2">
        <v>142</v>
      </c>
      <c r="P618" s="2">
        <v>94</v>
      </c>
      <c r="Q618" s="2">
        <v>2</v>
      </c>
      <c r="R618" s="2" t="s">
        <v>1287</v>
      </c>
      <c r="S618" s="2" t="s">
        <v>2101</v>
      </c>
      <c r="T618" s="2" t="s">
        <v>2116</v>
      </c>
      <c r="U618" s="2" t="s">
        <v>2117</v>
      </c>
    </row>
    <row r="619" spans="1:112" ht="102" x14ac:dyDescent="0.2">
      <c r="A619" s="2" t="s">
        <v>2118</v>
      </c>
      <c r="B619" s="2" t="s">
        <v>2119</v>
      </c>
      <c r="C619" s="2" t="s">
        <v>2119</v>
      </c>
      <c r="D619" s="1">
        <v>10</v>
      </c>
      <c r="E619" s="2" t="s">
        <v>23</v>
      </c>
      <c r="G619" s="2" t="s">
        <v>1194</v>
      </c>
      <c r="H619" s="2" t="s">
        <v>369</v>
      </c>
      <c r="I619" s="2" t="s">
        <v>1882</v>
      </c>
      <c r="J619" s="2" t="s">
        <v>645</v>
      </c>
      <c r="K619" s="2" t="s">
        <v>646</v>
      </c>
      <c r="L619" s="2" t="s">
        <v>647</v>
      </c>
      <c r="M619" s="2">
        <v>66</v>
      </c>
      <c r="N619" s="2" t="s">
        <v>2120</v>
      </c>
      <c r="O619" s="2">
        <v>66</v>
      </c>
      <c r="P619" s="2">
        <v>98</v>
      </c>
      <c r="Q619" s="2">
        <v>0</v>
      </c>
      <c r="R619" s="2" t="s">
        <v>32</v>
      </c>
      <c r="S619" s="2" t="s">
        <v>33</v>
      </c>
      <c r="T619" s="2" t="s">
        <v>2121</v>
      </c>
      <c r="U619" s="2" t="s">
        <v>2122</v>
      </c>
    </row>
    <row r="620" spans="1:112" ht="17" x14ac:dyDescent="0.2">
      <c r="A620" s="7" t="s">
        <v>5766</v>
      </c>
      <c r="B620" s="7" t="s">
        <v>5767</v>
      </c>
      <c r="C620" s="2" t="s">
        <v>5768</v>
      </c>
      <c r="D620" s="5">
        <v>10</v>
      </c>
      <c r="E620" s="6" t="s">
        <v>61</v>
      </c>
      <c r="F620" s="6" t="s">
        <v>6071</v>
      </c>
      <c r="G620" s="6"/>
      <c r="H620" s="6"/>
      <c r="I620" s="6"/>
      <c r="J620" s="12" t="s">
        <v>1081</v>
      </c>
      <c r="K620" s="12" t="s">
        <v>1082</v>
      </c>
      <c r="L620" s="12" t="s">
        <v>1082</v>
      </c>
      <c r="M620" s="12" t="s">
        <v>1082</v>
      </c>
      <c r="N620" s="12" t="s">
        <v>5769</v>
      </c>
      <c r="O620" s="12" t="s">
        <v>2570</v>
      </c>
      <c r="P620" s="12" t="s">
        <v>52</v>
      </c>
      <c r="Q620" s="12" t="s">
        <v>30</v>
      </c>
      <c r="R620" s="12" t="s">
        <v>32</v>
      </c>
      <c r="S620" s="12" t="s">
        <v>33</v>
      </c>
      <c r="T620" s="12" t="s">
        <v>5770</v>
      </c>
      <c r="U620" s="12" t="s">
        <v>5771</v>
      </c>
      <c r="V620" s="12" t="s">
        <v>5771</v>
      </c>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row>
    <row r="621" spans="1:112" ht="119" x14ac:dyDescent="0.2">
      <c r="A621" s="2" t="s">
        <v>2123</v>
      </c>
      <c r="B621" s="2" t="s">
        <v>2124</v>
      </c>
      <c r="C621" s="2" t="s">
        <v>2125</v>
      </c>
      <c r="D621" s="1">
        <v>10</v>
      </c>
      <c r="E621" s="2" t="s">
        <v>153</v>
      </c>
      <c r="F621" s="2" t="s">
        <v>2054</v>
      </c>
      <c r="G621" s="2" t="s">
        <v>1194</v>
      </c>
      <c r="I621" s="2" t="s">
        <v>2126</v>
      </c>
      <c r="J621" s="2" t="s">
        <v>1081</v>
      </c>
      <c r="K621" s="2" t="s">
        <v>1082</v>
      </c>
      <c r="L621" s="2" t="s">
        <v>1082</v>
      </c>
      <c r="M621" s="2" t="s">
        <v>1082</v>
      </c>
      <c r="N621" s="2" t="s">
        <v>2127</v>
      </c>
      <c r="O621" s="2">
        <v>51</v>
      </c>
      <c r="P621" s="2">
        <v>4</v>
      </c>
      <c r="Q621" s="2">
        <v>0</v>
      </c>
      <c r="R621" s="2" t="s">
        <v>32</v>
      </c>
      <c r="S621" s="2" t="s">
        <v>33</v>
      </c>
      <c r="T621" s="2" t="s">
        <v>2128</v>
      </c>
      <c r="U621" s="2" t="s">
        <v>292</v>
      </c>
    </row>
    <row r="622" spans="1:112" ht="119" x14ac:dyDescent="0.2">
      <c r="A622" s="2" t="s">
        <v>2129</v>
      </c>
      <c r="B622" s="2" t="s">
        <v>2130</v>
      </c>
      <c r="C622" s="2" t="s">
        <v>2131</v>
      </c>
      <c r="D622" s="1">
        <v>10</v>
      </c>
      <c r="E622" s="2" t="s">
        <v>23</v>
      </c>
      <c r="F622" s="2" t="s">
        <v>2054</v>
      </c>
      <c r="G622" s="2" t="s">
        <v>1194</v>
      </c>
      <c r="H622" s="2" t="s">
        <v>664</v>
      </c>
      <c r="I622" s="2" t="s">
        <v>2126</v>
      </c>
      <c r="J622" s="2" t="s">
        <v>1081</v>
      </c>
      <c r="K622" s="2" t="s">
        <v>1082</v>
      </c>
      <c r="L622" s="2" t="s">
        <v>1082</v>
      </c>
      <c r="M622" s="2" t="s">
        <v>1082</v>
      </c>
      <c r="N622" s="2" t="s">
        <v>2132</v>
      </c>
      <c r="O622" s="2">
        <v>53</v>
      </c>
      <c r="P622" s="2">
        <v>42</v>
      </c>
      <c r="Q622" s="2">
        <v>0</v>
      </c>
      <c r="R622" s="2" t="s">
        <v>32</v>
      </c>
      <c r="S622" s="2" t="s">
        <v>33</v>
      </c>
      <c r="T622" s="2" t="s">
        <v>2133</v>
      </c>
      <c r="U622" s="2" t="s">
        <v>4454</v>
      </c>
      <c r="V622" s="2" t="s">
        <v>4455</v>
      </c>
      <c r="W622" s="2" t="s">
        <v>4456</v>
      </c>
      <c r="X622" s="2" t="s">
        <v>4457</v>
      </c>
    </row>
    <row r="623" spans="1:112" ht="119" x14ac:dyDescent="0.2">
      <c r="A623" s="2" t="s">
        <v>2134</v>
      </c>
      <c r="B623" s="2" t="s">
        <v>2135</v>
      </c>
      <c r="C623" s="2" t="s">
        <v>2136</v>
      </c>
      <c r="D623" s="1">
        <v>10</v>
      </c>
      <c r="E623" s="2" t="s">
        <v>61</v>
      </c>
      <c r="F623" s="2" t="s">
        <v>2054</v>
      </c>
      <c r="G623" s="2" t="s">
        <v>1194</v>
      </c>
      <c r="H623" s="2" t="s">
        <v>664</v>
      </c>
      <c r="I623" s="2" t="s">
        <v>2126</v>
      </c>
      <c r="J623" s="2" t="s">
        <v>1081</v>
      </c>
      <c r="K623" s="2" t="s">
        <v>1082</v>
      </c>
      <c r="L623" s="2" t="s">
        <v>1082</v>
      </c>
      <c r="M623" s="2" t="s">
        <v>1082</v>
      </c>
      <c r="N623" s="2" t="s">
        <v>2137</v>
      </c>
      <c r="O623" s="2">
        <v>53</v>
      </c>
      <c r="P623" s="2">
        <v>46</v>
      </c>
      <c r="Q623" s="2">
        <v>0</v>
      </c>
      <c r="R623" s="2" t="s">
        <v>32</v>
      </c>
      <c r="S623" s="2" t="s">
        <v>33</v>
      </c>
      <c r="T623" s="2" t="s">
        <v>2138</v>
      </c>
      <c r="U623" s="2" t="s">
        <v>4458</v>
      </c>
      <c r="V623" s="2" t="s">
        <v>4459</v>
      </c>
      <c r="W623" s="2" t="s">
        <v>4460</v>
      </c>
    </row>
    <row r="624" spans="1:112" ht="102" x14ac:dyDescent="0.2">
      <c r="A624" s="7" t="s">
        <v>5772</v>
      </c>
      <c r="B624" s="7" t="s">
        <v>5773</v>
      </c>
      <c r="C624" s="2" t="s">
        <v>5773</v>
      </c>
      <c r="D624" s="5">
        <v>10</v>
      </c>
      <c r="E624" s="6" t="s">
        <v>23</v>
      </c>
      <c r="F624" s="6" t="s">
        <v>6073</v>
      </c>
      <c r="G624" s="6" t="s">
        <v>1194</v>
      </c>
      <c r="H624" s="6" t="s">
        <v>538</v>
      </c>
      <c r="I624" s="6" t="s">
        <v>6072</v>
      </c>
      <c r="J624" s="12" t="s">
        <v>1284</v>
      </c>
      <c r="K624" s="12" t="s">
        <v>1284</v>
      </c>
      <c r="L624" s="12" t="s">
        <v>1284</v>
      </c>
      <c r="M624" s="12" t="s">
        <v>1285</v>
      </c>
      <c r="N624" s="12" t="s">
        <v>5774</v>
      </c>
      <c r="O624" s="12" t="s">
        <v>5775</v>
      </c>
      <c r="P624" s="12" t="s">
        <v>30</v>
      </c>
      <c r="Q624" s="12" t="s">
        <v>41</v>
      </c>
      <c r="R624" s="12" t="s">
        <v>1287</v>
      </c>
      <c r="S624" s="12" t="s">
        <v>33</v>
      </c>
      <c r="T624" s="12" t="s">
        <v>5776</v>
      </c>
      <c r="U624" s="12" t="s">
        <v>5777</v>
      </c>
      <c r="V624" s="12" t="s">
        <v>5777</v>
      </c>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2"/>
      <c r="CF624" s="12"/>
      <c r="CG624" s="12"/>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c r="DD624" s="12"/>
      <c r="DE624" s="12"/>
      <c r="DF624" s="12"/>
      <c r="DG624" s="12"/>
      <c r="DH624" s="12"/>
    </row>
    <row r="625" spans="1:112" ht="85" x14ac:dyDescent="0.2">
      <c r="A625" s="7" t="s">
        <v>5798</v>
      </c>
      <c r="B625" s="7" t="s">
        <v>5799</v>
      </c>
      <c r="C625" s="2" t="s">
        <v>5800</v>
      </c>
      <c r="D625" s="5">
        <v>10</v>
      </c>
      <c r="E625" s="6" t="s">
        <v>61</v>
      </c>
      <c r="F625" s="6" t="s">
        <v>6076</v>
      </c>
      <c r="G625" s="6"/>
      <c r="H625" s="6"/>
      <c r="I625" s="6"/>
      <c r="J625" s="12" t="s">
        <v>1284</v>
      </c>
      <c r="K625" s="12" t="s">
        <v>1284</v>
      </c>
      <c r="L625" s="12" t="s">
        <v>1284</v>
      </c>
      <c r="M625" s="12" t="s">
        <v>1285</v>
      </c>
      <c r="N625" s="12" t="s">
        <v>5801</v>
      </c>
      <c r="O625" s="12" t="s">
        <v>5802</v>
      </c>
      <c r="P625" s="12" t="s">
        <v>806</v>
      </c>
      <c r="Q625" s="12" t="s">
        <v>41</v>
      </c>
      <c r="R625" s="12" t="s">
        <v>1287</v>
      </c>
      <c r="S625" s="12" t="s">
        <v>33</v>
      </c>
      <c r="T625" s="12" t="s">
        <v>5803</v>
      </c>
      <c r="U625" s="12" t="s">
        <v>5804</v>
      </c>
      <c r="V625" s="12" t="s">
        <v>5804</v>
      </c>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row>
    <row r="626" spans="1:112" ht="51" x14ac:dyDescent="0.2">
      <c r="A626" s="7" t="s">
        <v>5805</v>
      </c>
      <c r="B626" s="7" t="s">
        <v>5806</v>
      </c>
      <c r="C626" s="2" t="s">
        <v>5806</v>
      </c>
      <c r="D626" s="1">
        <v>10</v>
      </c>
      <c r="E626" s="2" t="s">
        <v>23</v>
      </c>
      <c r="G626" s="2" t="s">
        <v>1194</v>
      </c>
      <c r="H626" s="2" t="s">
        <v>538</v>
      </c>
      <c r="I626" s="2" t="s">
        <v>204</v>
      </c>
      <c r="J626" s="12" t="s">
        <v>1284</v>
      </c>
      <c r="K626" s="12" t="s">
        <v>1284</v>
      </c>
      <c r="L626" s="12" t="s">
        <v>1284</v>
      </c>
      <c r="M626" s="12" t="s">
        <v>1285</v>
      </c>
      <c r="N626" s="12" t="s">
        <v>5807</v>
      </c>
      <c r="O626" s="12" t="s">
        <v>5802</v>
      </c>
      <c r="P626" s="12" t="s">
        <v>913</v>
      </c>
      <c r="Q626" s="12" t="s">
        <v>41</v>
      </c>
      <c r="R626" s="12" t="s">
        <v>1287</v>
      </c>
      <c r="S626" s="12" t="s">
        <v>33</v>
      </c>
      <c r="T626" s="12" t="s">
        <v>5808</v>
      </c>
      <c r="U626" s="12" t="s">
        <v>5809</v>
      </c>
      <c r="V626" s="12" t="s">
        <v>5809</v>
      </c>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c r="DD626" s="12"/>
      <c r="DE626" s="12"/>
      <c r="DF626" s="12"/>
      <c r="DG626" s="12"/>
      <c r="DH626" s="12"/>
    </row>
    <row r="627" spans="1:112" ht="85" x14ac:dyDescent="0.2">
      <c r="A627" s="2" t="s">
        <v>2139</v>
      </c>
      <c r="B627" s="2" t="s">
        <v>2140</v>
      </c>
      <c r="C627" s="2" t="s">
        <v>2140</v>
      </c>
      <c r="D627" s="1">
        <v>10</v>
      </c>
      <c r="E627" s="2" t="s">
        <v>1459</v>
      </c>
      <c r="F627" s="2" t="s">
        <v>2141</v>
      </c>
      <c r="G627" s="2" t="s">
        <v>1194</v>
      </c>
      <c r="H627" s="2" t="s">
        <v>2142</v>
      </c>
      <c r="I627" s="2" t="s">
        <v>2143</v>
      </c>
      <c r="J627" s="2" t="s">
        <v>1284</v>
      </c>
      <c r="K627" s="2" t="s">
        <v>1284</v>
      </c>
      <c r="L627" s="2" t="s">
        <v>1284</v>
      </c>
      <c r="M627" s="2" t="s">
        <v>1285</v>
      </c>
      <c r="N627" s="2" t="s">
        <v>2144</v>
      </c>
      <c r="O627" s="2" t="s">
        <v>2145</v>
      </c>
      <c r="P627" s="2" t="s">
        <v>472</v>
      </c>
      <c r="Q627" s="2" t="s">
        <v>41</v>
      </c>
      <c r="R627" s="2" t="s">
        <v>1287</v>
      </c>
      <c r="S627" s="2" t="s">
        <v>33</v>
      </c>
      <c r="T627" s="2" t="s">
        <v>2146</v>
      </c>
      <c r="U627" s="2" t="s">
        <v>2147</v>
      </c>
    </row>
    <row r="628" spans="1:112" ht="34" x14ac:dyDescent="0.2">
      <c r="A628" s="7" t="s">
        <v>5841</v>
      </c>
      <c r="B628" s="7" t="s">
        <v>5842</v>
      </c>
      <c r="C628" s="2" t="s">
        <v>5842</v>
      </c>
      <c r="D628" s="5">
        <v>10</v>
      </c>
      <c r="E628" s="2" t="s">
        <v>61</v>
      </c>
      <c r="F628" s="6" t="s">
        <v>6085</v>
      </c>
      <c r="G628" s="6"/>
      <c r="H628" s="6"/>
      <c r="I628" s="6"/>
      <c r="J628" s="12" t="s">
        <v>1284</v>
      </c>
      <c r="K628" s="12" t="s">
        <v>1284</v>
      </c>
      <c r="L628" s="12" t="s">
        <v>1284</v>
      </c>
      <c r="M628" s="12" t="s">
        <v>1285</v>
      </c>
      <c r="N628" s="12" t="s">
        <v>5843</v>
      </c>
      <c r="O628" s="12" t="s">
        <v>2482</v>
      </c>
      <c r="P628" s="12" t="s">
        <v>544</v>
      </c>
      <c r="Q628" s="12" t="s">
        <v>41</v>
      </c>
      <c r="R628" s="12" t="s">
        <v>1287</v>
      </c>
      <c r="S628" s="12" t="s">
        <v>33</v>
      </c>
      <c r="T628" s="12" t="s">
        <v>5844</v>
      </c>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c r="DD628" s="12"/>
      <c r="DE628" s="12"/>
      <c r="DF628" s="12"/>
      <c r="DG628" s="12"/>
      <c r="DH628" s="12"/>
    </row>
    <row r="629" spans="1:112" ht="119" x14ac:dyDescent="0.2">
      <c r="A629" s="2" t="s">
        <v>2148</v>
      </c>
      <c r="B629" s="2" t="s">
        <v>2149</v>
      </c>
      <c r="C629" s="2" t="s">
        <v>2149</v>
      </c>
      <c r="D629" s="1">
        <v>10</v>
      </c>
      <c r="E629" s="2" t="s">
        <v>23</v>
      </c>
      <c r="F629" s="2" t="s">
        <v>1384</v>
      </c>
      <c r="G629" s="2" t="s">
        <v>1194</v>
      </c>
      <c r="H629" s="2" t="s">
        <v>664</v>
      </c>
      <c r="I629" s="2" t="s">
        <v>1995</v>
      </c>
      <c r="J629" s="2" t="s">
        <v>1284</v>
      </c>
      <c r="K629" s="2" t="s">
        <v>1284</v>
      </c>
      <c r="L629" s="2" t="s">
        <v>1284</v>
      </c>
      <c r="M629" s="2" t="s">
        <v>1285</v>
      </c>
      <c r="N629" s="2" t="s">
        <v>2041</v>
      </c>
      <c r="O629" s="2" t="s">
        <v>1999</v>
      </c>
      <c r="P629" s="2" t="s">
        <v>353</v>
      </c>
      <c r="Q629" s="2" t="s">
        <v>41</v>
      </c>
      <c r="R629" s="2" t="s">
        <v>1287</v>
      </c>
      <c r="S629" s="2" t="s">
        <v>33</v>
      </c>
      <c r="T629" s="2" t="s">
        <v>2150</v>
      </c>
      <c r="U629" s="2" t="s">
        <v>2043</v>
      </c>
    </row>
    <row r="630" spans="1:112" ht="68" x14ac:dyDescent="0.2">
      <c r="A630" s="7" t="s">
        <v>5914</v>
      </c>
      <c r="B630" s="7" t="s">
        <v>5915</v>
      </c>
      <c r="C630" s="2" t="s">
        <v>5915</v>
      </c>
      <c r="D630" s="5">
        <v>10</v>
      </c>
      <c r="E630" s="6" t="s">
        <v>61</v>
      </c>
      <c r="F630" s="6" t="s">
        <v>6099</v>
      </c>
      <c r="G630" s="6"/>
      <c r="H630" s="6" t="s">
        <v>3364</v>
      </c>
      <c r="I630" s="6" t="s">
        <v>6098</v>
      </c>
      <c r="J630" s="12" t="s">
        <v>1284</v>
      </c>
      <c r="K630" s="12" t="s">
        <v>1284</v>
      </c>
      <c r="L630" s="12" t="s">
        <v>1284</v>
      </c>
      <c r="M630" s="12" t="s">
        <v>1285</v>
      </c>
      <c r="N630" s="12" t="s">
        <v>5916</v>
      </c>
      <c r="O630" s="12" t="s">
        <v>1999</v>
      </c>
      <c r="P630" s="12" t="s">
        <v>137</v>
      </c>
      <c r="Q630" s="12" t="s">
        <v>41</v>
      </c>
      <c r="R630" s="12" t="s">
        <v>1287</v>
      </c>
      <c r="S630" s="12" t="s">
        <v>33</v>
      </c>
      <c r="T630" s="12" t="s">
        <v>5917</v>
      </c>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row>
    <row r="631" spans="1:112" ht="51" x14ac:dyDescent="0.2">
      <c r="A631" s="7" t="s">
        <v>5918</v>
      </c>
      <c r="B631" s="7" t="s">
        <v>5919</v>
      </c>
      <c r="C631" s="2" t="s">
        <v>5920</v>
      </c>
      <c r="D631" s="5">
        <v>10</v>
      </c>
      <c r="E631" s="6" t="s">
        <v>61</v>
      </c>
      <c r="F631" s="6" t="s">
        <v>6100</v>
      </c>
      <c r="G631" s="6"/>
      <c r="H631" s="6"/>
      <c r="I631" s="6"/>
      <c r="J631" s="12" t="s">
        <v>1284</v>
      </c>
      <c r="K631" s="12" t="s">
        <v>1284</v>
      </c>
      <c r="L631" s="12" t="s">
        <v>1284</v>
      </c>
      <c r="M631" s="12" t="s">
        <v>1285</v>
      </c>
      <c r="N631" s="12" t="s">
        <v>5921</v>
      </c>
      <c r="O631" s="12" t="s">
        <v>1999</v>
      </c>
      <c r="P631" s="12" t="s">
        <v>564</v>
      </c>
      <c r="Q631" s="12" t="s">
        <v>41</v>
      </c>
      <c r="R631" s="12" t="s">
        <v>1287</v>
      </c>
      <c r="S631" s="12" t="s">
        <v>33</v>
      </c>
      <c r="T631" s="12" t="s">
        <v>5922</v>
      </c>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c r="DD631" s="12"/>
      <c r="DE631" s="12"/>
      <c r="DF631" s="12"/>
      <c r="DG631" s="12"/>
      <c r="DH631" s="12"/>
    </row>
    <row r="632" spans="1:112" ht="85" x14ac:dyDescent="0.2">
      <c r="A632" s="2" t="s">
        <v>2151</v>
      </c>
      <c r="B632" s="2" t="s">
        <v>2152</v>
      </c>
      <c r="C632" s="2" t="s">
        <v>2152</v>
      </c>
      <c r="D632" s="1">
        <v>10</v>
      </c>
      <c r="E632" s="2" t="s">
        <v>61</v>
      </c>
      <c r="F632" s="2" t="s">
        <v>2153</v>
      </c>
      <c r="G632" s="2" t="s">
        <v>1194</v>
      </c>
      <c r="H632" s="2" t="s">
        <v>2154</v>
      </c>
      <c r="J632" s="2" t="s">
        <v>1284</v>
      </c>
      <c r="K632" s="2" t="s">
        <v>1284</v>
      </c>
      <c r="L632" s="2" t="s">
        <v>1284</v>
      </c>
      <c r="M632" s="2" t="s">
        <v>1285</v>
      </c>
      <c r="N632" s="2" t="s">
        <v>2155</v>
      </c>
      <c r="O632" s="2" t="s">
        <v>1999</v>
      </c>
      <c r="P632" s="2" t="s">
        <v>703</v>
      </c>
      <c r="Q632" s="2" t="s">
        <v>41</v>
      </c>
      <c r="R632" s="2" t="s">
        <v>1287</v>
      </c>
      <c r="S632" s="2" t="s">
        <v>33</v>
      </c>
      <c r="T632" s="2" t="s">
        <v>2156</v>
      </c>
      <c r="U632" s="2" t="s">
        <v>4461</v>
      </c>
      <c r="V632" s="2" t="s">
        <v>4462</v>
      </c>
    </row>
    <row r="633" spans="1:112" ht="34" x14ac:dyDescent="0.2">
      <c r="A633" s="7" t="s">
        <v>5953</v>
      </c>
      <c r="B633" s="7" t="s">
        <v>5954</v>
      </c>
      <c r="C633" s="2" t="s">
        <v>5954</v>
      </c>
      <c r="D633" s="5">
        <v>10</v>
      </c>
      <c r="E633" s="6" t="s">
        <v>61</v>
      </c>
      <c r="F633" s="6" t="s">
        <v>6111</v>
      </c>
      <c r="G633" s="6"/>
      <c r="H633" s="6"/>
      <c r="I633" s="6"/>
      <c r="J633" s="12" t="s">
        <v>1284</v>
      </c>
      <c r="K633" s="12" t="s">
        <v>1284</v>
      </c>
      <c r="L633" s="12" t="s">
        <v>1284</v>
      </c>
      <c r="M633" s="12" t="s">
        <v>1285</v>
      </c>
      <c r="N633" s="12" t="s">
        <v>3577</v>
      </c>
      <c r="O633" s="12" t="s">
        <v>1999</v>
      </c>
      <c r="P633" s="12" t="s">
        <v>1094</v>
      </c>
      <c r="Q633" s="12" t="s">
        <v>2415</v>
      </c>
      <c r="R633" s="12" t="s">
        <v>1287</v>
      </c>
      <c r="S633" s="12" t="s">
        <v>33</v>
      </c>
      <c r="T633" s="12" t="s">
        <v>5955</v>
      </c>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c r="DD633" s="12"/>
      <c r="DE633" s="12"/>
      <c r="DF633" s="12"/>
      <c r="DG633" s="12"/>
      <c r="DH633" s="12"/>
    </row>
    <row r="634" spans="1:112" ht="102" x14ac:dyDescent="0.2">
      <c r="A634" s="2" t="s">
        <v>2157</v>
      </c>
      <c r="B634" s="2" t="s">
        <v>2158</v>
      </c>
      <c r="C634" s="2" t="s">
        <v>2158</v>
      </c>
      <c r="D634" s="1">
        <v>10</v>
      </c>
      <c r="E634" s="2" t="s">
        <v>23</v>
      </c>
      <c r="G634" s="2" t="s">
        <v>1194</v>
      </c>
      <c r="H634" s="2" t="s">
        <v>369</v>
      </c>
      <c r="I634" s="2" t="s">
        <v>1392</v>
      </c>
      <c r="J634" s="2" t="s">
        <v>1284</v>
      </c>
      <c r="K634" s="2" t="s">
        <v>1284</v>
      </c>
      <c r="L634" s="2" t="s">
        <v>1284</v>
      </c>
      <c r="M634" s="2" t="s">
        <v>1285</v>
      </c>
      <c r="N634" s="2" t="s">
        <v>2159</v>
      </c>
      <c r="O634" s="2" t="s">
        <v>1394</v>
      </c>
      <c r="P634" s="2" t="s">
        <v>194</v>
      </c>
      <c r="Q634" s="2" t="s">
        <v>41</v>
      </c>
      <c r="R634" s="2" t="s">
        <v>1287</v>
      </c>
      <c r="S634" s="2" t="s">
        <v>33</v>
      </c>
      <c r="T634" s="2" t="s">
        <v>2160</v>
      </c>
      <c r="U634" s="2" t="s">
        <v>2161</v>
      </c>
    </row>
    <row r="635" spans="1:112" ht="68" x14ac:dyDescent="0.2">
      <c r="A635" s="2" t="s">
        <v>2162</v>
      </c>
      <c r="B635" s="2" t="s">
        <v>2163</v>
      </c>
      <c r="C635" s="2" t="s">
        <v>2163</v>
      </c>
      <c r="D635" s="1">
        <v>10</v>
      </c>
      <c r="E635" s="2" t="s">
        <v>61</v>
      </c>
      <c r="F635" s="2" t="s">
        <v>2164</v>
      </c>
      <c r="G635" s="2" t="s">
        <v>1194</v>
      </c>
      <c r="H635" s="2" t="s">
        <v>2165</v>
      </c>
      <c r="I635" s="2" t="s">
        <v>143</v>
      </c>
      <c r="J635" s="2" t="s">
        <v>1284</v>
      </c>
      <c r="K635" s="2" t="s">
        <v>1284</v>
      </c>
      <c r="L635" s="2" t="s">
        <v>1284</v>
      </c>
      <c r="M635" s="2" t="s">
        <v>1285</v>
      </c>
      <c r="N635" s="2" t="s">
        <v>2166</v>
      </c>
      <c r="O635" s="2" t="s">
        <v>1394</v>
      </c>
      <c r="P635" s="2" t="s">
        <v>1172</v>
      </c>
      <c r="Q635" s="2" t="s">
        <v>41</v>
      </c>
      <c r="R635" s="2" t="s">
        <v>1287</v>
      </c>
      <c r="S635" s="2" t="s">
        <v>33</v>
      </c>
      <c r="T635" s="2" t="s">
        <v>2167</v>
      </c>
      <c r="U635" s="2" t="s">
        <v>2168</v>
      </c>
    </row>
    <row r="636" spans="1:112" ht="102" x14ac:dyDescent="0.2">
      <c r="A636" s="7" t="s">
        <v>5998</v>
      </c>
      <c r="B636" s="7" t="s">
        <v>5999</v>
      </c>
      <c r="C636" s="2" t="s">
        <v>5999</v>
      </c>
      <c r="D636" s="5">
        <v>10</v>
      </c>
      <c r="E636" s="6" t="s">
        <v>23</v>
      </c>
      <c r="F636" s="6"/>
      <c r="G636" s="6" t="s">
        <v>6115</v>
      </c>
      <c r="H636" s="6" t="s">
        <v>369</v>
      </c>
      <c r="I636" s="6" t="s">
        <v>1872</v>
      </c>
      <c r="J636" s="12" t="s">
        <v>1284</v>
      </c>
      <c r="K636" s="12" t="s">
        <v>1284</v>
      </c>
      <c r="L636" s="12" t="s">
        <v>1284</v>
      </c>
      <c r="M636" s="12" t="s">
        <v>1285</v>
      </c>
      <c r="N636" s="12" t="s">
        <v>6000</v>
      </c>
      <c r="O636" s="12" t="s">
        <v>6001</v>
      </c>
      <c r="P636" s="12" t="s">
        <v>41</v>
      </c>
      <c r="Q636" s="12" t="s">
        <v>30</v>
      </c>
      <c r="R636" s="12" t="s">
        <v>1287</v>
      </c>
      <c r="S636" s="12" t="s">
        <v>33</v>
      </c>
      <c r="T636" s="12" t="s">
        <v>3082</v>
      </c>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c r="CA636" s="12"/>
      <c r="CB636" s="12"/>
      <c r="CC636" s="12"/>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row>
    <row r="637" spans="1:112" ht="51" x14ac:dyDescent="0.2">
      <c r="A637" s="7" t="s">
        <v>6022</v>
      </c>
      <c r="B637" s="7" t="s">
        <v>6023</v>
      </c>
      <c r="C637" s="2" t="s">
        <v>6023</v>
      </c>
      <c r="D637" s="5">
        <v>10</v>
      </c>
      <c r="E637" s="2" t="s">
        <v>61</v>
      </c>
      <c r="F637" s="6" t="s">
        <v>6085</v>
      </c>
      <c r="G637" s="6"/>
      <c r="H637" s="6"/>
      <c r="I637" s="6"/>
      <c r="J637" s="12" t="s">
        <v>1284</v>
      </c>
      <c r="K637" s="12" t="s">
        <v>1284</v>
      </c>
      <c r="L637" s="12" t="s">
        <v>1284</v>
      </c>
      <c r="M637" s="12" t="s">
        <v>1285</v>
      </c>
      <c r="N637" s="12" t="s">
        <v>6024</v>
      </c>
      <c r="O637" s="12" t="s">
        <v>3649</v>
      </c>
      <c r="P637" s="12" t="s">
        <v>52</v>
      </c>
      <c r="Q637" s="12" t="s">
        <v>41</v>
      </c>
      <c r="R637" s="12" t="s">
        <v>1287</v>
      </c>
      <c r="S637" s="12" t="s">
        <v>33</v>
      </c>
      <c r="T637" s="12" t="s">
        <v>6025</v>
      </c>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row>
    <row r="638" spans="1:112" ht="17" x14ac:dyDescent="0.2">
      <c r="A638" s="2" t="s">
        <v>6133</v>
      </c>
      <c r="B638" s="22" t="s">
        <v>6662</v>
      </c>
      <c r="C638" s="22" t="s">
        <v>6662</v>
      </c>
      <c r="D638" s="1">
        <v>10</v>
      </c>
      <c r="E638" s="2" t="s">
        <v>61</v>
      </c>
    </row>
    <row r="639" spans="1:112" ht="17" x14ac:dyDescent="0.2">
      <c r="A639" s="2" t="s">
        <v>6133</v>
      </c>
      <c r="B639" s="23" t="s">
        <v>6663</v>
      </c>
      <c r="C639" s="23" t="s">
        <v>6663</v>
      </c>
      <c r="D639" s="1">
        <v>10</v>
      </c>
      <c r="E639" s="2" t="s">
        <v>61</v>
      </c>
    </row>
    <row r="640" spans="1:112" ht="17" x14ac:dyDescent="0.2">
      <c r="A640" s="2" t="s">
        <v>6133</v>
      </c>
      <c r="B640" s="23" t="s">
        <v>6435</v>
      </c>
      <c r="C640" s="23" t="s">
        <v>6435</v>
      </c>
      <c r="D640" s="1">
        <v>10</v>
      </c>
      <c r="E640" s="2" t="s">
        <v>61</v>
      </c>
    </row>
    <row r="641" spans="1:24" ht="17" x14ac:dyDescent="0.2">
      <c r="A641" s="2" t="s">
        <v>6133</v>
      </c>
      <c r="B641" s="19" t="s">
        <v>6665</v>
      </c>
      <c r="C641" s="19" t="s">
        <v>6665</v>
      </c>
      <c r="D641" s="1">
        <v>10</v>
      </c>
      <c r="E641" s="2" t="s">
        <v>61</v>
      </c>
    </row>
    <row r="642" spans="1:24" ht="17" x14ac:dyDescent="0.2">
      <c r="A642" s="2" t="s">
        <v>6133</v>
      </c>
      <c r="B642" s="24" t="s">
        <v>6667</v>
      </c>
      <c r="C642" s="24" t="s">
        <v>6667</v>
      </c>
      <c r="D642" s="1">
        <v>10</v>
      </c>
      <c r="E642" s="2" t="s">
        <v>61</v>
      </c>
    </row>
    <row r="643" spans="1:24" ht="17" x14ac:dyDescent="0.2">
      <c r="A643" s="2" t="s">
        <v>6133</v>
      </c>
      <c r="B643" s="24" t="s">
        <v>6670</v>
      </c>
      <c r="C643" s="24" t="s">
        <v>6670</v>
      </c>
      <c r="D643" s="1">
        <v>10</v>
      </c>
      <c r="E643" s="2" t="s">
        <v>61</v>
      </c>
    </row>
    <row r="644" spans="1:24" ht="51" x14ac:dyDescent="0.2">
      <c r="A644" s="2" t="s">
        <v>6133</v>
      </c>
      <c r="B644" s="2" t="s">
        <v>6675</v>
      </c>
      <c r="C644" s="2" t="s">
        <v>6675</v>
      </c>
      <c r="D644" s="1">
        <v>10</v>
      </c>
      <c r="E644" s="2" t="s">
        <v>23</v>
      </c>
      <c r="F644" s="2" t="s">
        <v>6676</v>
      </c>
    </row>
    <row r="645" spans="1:24" ht="136" x14ac:dyDescent="0.2">
      <c r="A645" s="2" t="s">
        <v>931</v>
      </c>
      <c r="B645" s="2" t="s">
        <v>932</v>
      </c>
      <c r="C645" s="2" t="s">
        <v>932</v>
      </c>
      <c r="D645" s="1">
        <v>10</v>
      </c>
      <c r="E645" s="2" t="s">
        <v>23</v>
      </c>
      <c r="G645" s="2" t="s">
        <v>1194</v>
      </c>
      <c r="H645" s="2" t="s">
        <v>370</v>
      </c>
      <c r="I645" s="2" t="s">
        <v>6730</v>
      </c>
      <c r="J645" s="2" t="s">
        <v>103</v>
      </c>
      <c r="K645" s="2" t="s">
        <v>190</v>
      </c>
      <c r="L645" s="2" t="s">
        <v>191</v>
      </c>
      <c r="M645" s="2" t="s">
        <v>192</v>
      </c>
      <c r="N645" s="2" t="s">
        <v>933</v>
      </c>
      <c r="O645" s="2" t="s">
        <v>192</v>
      </c>
      <c r="P645" s="2" t="s">
        <v>94</v>
      </c>
      <c r="Q645" s="2" t="s">
        <v>199</v>
      </c>
      <c r="R645" s="2" t="s">
        <v>32</v>
      </c>
      <c r="S645" s="2" t="s">
        <v>33</v>
      </c>
      <c r="T645" s="2" t="s">
        <v>934</v>
      </c>
      <c r="U645" s="2" t="s">
        <v>935</v>
      </c>
    </row>
    <row r="646" spans="1:24" ht="85" x14ac:dyDescent="0.2">
      <c r="A646" s="2" t="s">
        <v>936</v>
      </c>
      <c r="B646" s="2" t="s">
        <v>937</v>
      </c>
      <c r="C646" s="2" t="s">
        <v>938</v>
      </c>
      <c r="D646" s="1">
        <v>10</v>
      </c>
      <c r="E646" s="2" t="s">
        <v>23</v>
      </c>
      <c r="G646" s="2" t="s">
        <v>1645</v>
      </c>
      <c r="H646" s="2" t="s">
        <v>370</v>
      </c>
      <c r="I646" s="2" t="s">
        <v>102</v>
      </c>
      <c r="J646" s="2" t="s">
        <v>103</v>
      </c>
      <c r="K646" s="2" t="s">
        <v>190</v>
      </c>
      <c r="L646" s="2" t="s">
        <v>191</v>
      </c>
      <c r="M646" s="2" t="s">
        <v>192</v>
      </c>
      <c r="N646" s="2" t="s">
        <v>939</v>
      </c>
      <c r="O646" s="2" t="s">
        <v>192</v>
      </c>
      <c r="P646" s="2" t="s">
        <v>109</v>
      </c>
      <c r="Q646" s="2" t="s">
        <v>41</v>
      </c>
      <c r="R646" s="2" t="s">
        <v>32</v>
      </c>
      <c r="S646" s="2" t="s">
        <v>33</v>
      </c>
      <c r="T646" s="2" t="s">
        <v>195</v>
      </c>
      <c r="U646" s="2" t="s">
        <v>3974</v>
      </c>
      <c r="V646" s="2" t="s">
        <v>3975</v>
      </c>
    </row>
    <row r="647" spans="1:24" ht="136" x14ac:dyDescent="0.2">
      <c r="A647" s="2" t="s">
        <v>940</v>
      </c>
      <c r="B647" s="2" t="s">
        <v>941</v>
      </c>
      <c r="C647" s="2" t="s">
        <v>941</v>
      </c>
      <c r="D647" s="1">
        <v>10</v>
      </c>
      <c r="E647" s="2" t="s">
        <v>23</v>
      </c>
      <c r="G647" s="2" t="s">
        <v>1194</v>
      </c>
      <c r="H647" s="2" t="s">
        <v>370</v>
      </c>
      <c r="I647" s="2" t="s">
        <v>6730</v>
      </c>
      <c r="J647" s="2" t="s">
        <v>103</v>
      </c>
      <c r="K647" s="2" t="s">
        <v>190</v>
      </c>
      <c r="L647" s="2" t="s">
        <v>191</v>
      </c>
      <c r="M647" s="2" t="s">
        <v>192</v>
      </c>
      <c r="N647" s="2" t="s">
        <v>942</v>
      </c>
      <c r="O647" s="2" t="s">
        <v>192</v>
      </c>
      <c r="P647" s="2" t="s">
        <v>227</v>
      </c>
      <c r="Q647" s="2" t="s">
        <v>41</v>
      </c>
      <c r="R647" s="2" t="s">
        <v>32</v>
      </c>
      <c r="S647" s="2" t="s">
        <v>33</v>
      </c>
      <c r="T647" s="2" t="s">
        <v>934</v>
      </c>
      <c r="U647" s="2" t="s">
        <v>943</v>
      </c>
    </row>
    <row r="648" spans="1:24" ht="136" x14ac:dyDescent="0.2">
      <c r="A648" s="2" t="s">
        <v>944</v>
      </c>
      <c r="B648" s="2" t="s">
        <v>945</v>
      </c>
      <c r="C648" s="2" t="s">
        <v>945</v>
      </c>
      <c r="D648" s="1">
        <v>10</v>
      </c>
      <c r="E648" s="2" t="s">
        <v>23</v>
      </c>
      <c r="G648" s="2" t="s">
        <v>1194</v>
      </c>
      <c r="H648" s="2" t="s">
        <v>370</v>
      </c>
      <c r="I648" s="2" t="s">
        <v>6730</v>
      </c>
      <c r="J648" s="2" t="s">
        <v>103</v>
      </c>
      <c r="K648" s="2" t="s">
        <v>190</v>
      </c>
      <c r="L648" s="2" t="s">
        <v>191</v>
      </c>
      <c r="M648" s="2" t="s">
        <v>192</v>
      </c>
      <c r="N648" s="2" t="s">
        <v>947</v>
      </c>
      <c r="O648" s="2" t="s">
        <v>192</v>
      </c>
      <c r="P648" s="2" t="s">
        <v>948</v>
      </c>
      <c r="Q648" s="2" t="s">
        <v>41</v>
      </c>
      <c r="R648" s="2" t="s">
        <v>32</v>
      </c>
      <c r="S648" s="2" t="s">
        <v>33</v>
      </c>
      <c r="T648" s="2" t="s">
        <v>934</v>
      </c>
      <c r="U648" s="2" t="s">
        <v>949</v>
      </c>
    </row>
    <row r="649" spans="1:24" ht="85" x14ac:dyDescent="0.2">
      <c r="A649" s="2" t="s">
        <v>1464</v>
      </c>
      <c r="B649" s="2" t="s">
        <v>1465</v>
      </c>
      <c r="C649" s="2" t="s">
        <v>1465</v>
      </c>
      <c r="D649" s="1">
        <v>10</v>
      </c>
      <c r="E649" s="2" t="s">
        <v>23</v>
      </c>
      <c r="G649" s="2" t="s">
        <v>1194</v>
      </c>
      <c r="H649" s="2" t="s">
        <v>189</v>
      </c>
      <c r="I649" s="4" t="s">
        <v>6128</v>
      </c>
      <c r="J649" s="2" t="s">
        <v>612</v>
      </c>
      <c r="K649" s="2" t="s">
        <v>613</v>
      </c>
      <c r="L649" s="2" t="s">
        <v>613</v>
      </c>
      <c r="M649" s="2" t="s">
        <v>1467</v>
      </c>
      <c r="N649" s="2" t="s">
        <v>963</v>
      </c>
      <c r="O649" s="2" t="s">
        <v>948</v>
      </c>
      <c r="P649" s="2" t="s">
        <v>52</v>
      </c>
      <c r="Q649" s="2" t="s">
        <v>30</v>
      </c>
      <c r="R649" s="2" t="s">
        <v>32</v>
      </c>
      <c r="S649" s="2" t="s">
        <v>392</v>
      </c>
      <c r="T649" s="2" t="s">
        <v>618</v>
      </c>
      <c r="U649" s="2" t="s">
        <v>3976</v>
      </c>
      <c r="V649" s="2" t="s">
        <v>3977</v>
      </c>
      <c r="W649" s="2" t="s">
        <v>3978</v>
      </c>
      <c r="X649" s="2" t="s">
        <v>3979</v>
      </c>
    </row>
    <row r="650" spans="1:24" ht="85" x14ac:dyDescent="0.2">
      <c r="A650" s="2" t="s">
        <v>1468</v>
      </c>
      <c r="B650" s="2" t="s">
        <v>1469</v>
      </c>
      <c r="C650" s="2" t="s">
        <v>1469</v>
      </c>
      <c r="D650" s="1">
        <v>10</v>
      </c>
      <c r="E650" s="2" t="s">
        <v>23</v>
      </c>
      <c r="G650" s="2" t="s">
        <v>1194</v>
      </c>
      <c r="H650" s="2" t="s">
        <v>189</v>
      </c>
      <c r="I650" s="2" t="s">
        <v>6128</v>
      </c>
      <c r="J650" s="2" t="s">
        <v>612</v>
      </c>
      <c r="K650" s="2" t="s">
        <v>613</v>
      </c>
      <c r="L650" s="2" t="s">
        <v>1470</v>
      </c>
      <c r="M650" s="2" t="s">
        <v>1471</v>
      </c>
      <c r="N650" s="2" t="s">
        <v>963</v>
      </c>
      <c r="O650" s="2" t="s">
        <v>948</v>
      </c>
      <c r="P650" s="2" t="s">
        <v>52</v>
      </c>
      <c r="Q650" s="2" t="s">
        <v>30</v>
      </c>
      <c r="R650" s="2" t="s">
        <v>32</v>
      </c>
      <c r="S650" s="2" t="s">
        <v>392</v>
      </c>
      <c r="T650" s="2" t="s">
        <v>618</v>
      </c>
      <c r="U650" s="2" t="s">
        <v>3976</v>
      </c>
      <c r="V650" s="2" t="s">
        <v>3977</v>
      </c>
      <c r="W650" s="2" t="s">
        <v>3978</v>
      </c>
      <c r="X650" s="2" t="s">
        <v>3979</v>
      </c>
    </row>
    <row r="651" spans="1:24" ht="102" x14ac:dyDescent="0.2">
      <c r="A651" s="7" t="s">
        <v>6140</v>
      </c>
      <c r="B651" s="2" t="s">
        <v>6344</v>
      </c>
      <c r="C651" s="2" t="s">
        <v>6344</v>
      </c>
      <c r="D651" s="1">
        <v>10</v>
      </c>
      <c r="E651" s="2" t="s">
        <v>23</v>
      </c>
      <c r="I651" s="2" t="s">
        <v>6715</v>
      </c>
      <c r="N651" s="12" t="s">
        <v>1621</v>
      </c>
    </row>
    <row r="652" spans="1:24" ht="153" x14ac:dyDescent="0.2">
      <c r="A652" s="7" t="s">
        <v>6148</v>
      </c>
      <c r="B652" s="2" t="s">
        <v>6352</v>
      </c>
      <c r="C652" s="2" t="s">
        <v>6352</v>
      </c>
      <c r="D652" s="1">
        <v>10</v>
      </c>
      <c r="E652" s="2" t="s">
        <v>23</v>
      </c>
      <c r="G652" s="2" t="s">
        <v>1194</v>
      </c>
      <c r="H652" s="2" t="s">
        <v>509</v>
      </c>
      <c r="I652" s="2" t="s">
        <v>1627</v>
      </c>
      <c r="N652" s="12" t="s">
        <v>6552</v>
      </c>
    </row>
    <row r="653" spans="1:24" ht="136" x14ac:dyDescent="0.2">
      <c r="A653" s="7" t="s">
        <v>5188</v>
      </c>
      <c r="B653" s="2" t="s">
        <v>6363</v>
      </c>
      <c r="C653" s="2" t="s">
        <v>6363</v>
      </c>
      <c r="D653" s="1">
        <v>10</v>
      </c>
      <c r="E653" s="2" t="s">
        <v>23</v>
      </c>
      <c r="G653" s="2" t="s">
        <v>1194</v>
      </c>
      <c r="H653" s="2" t="s">
        <v>370</v>
      </c>
      <c r="I653" s="2" t="s">
        <v>6730</v>
      </c>
      <c r="N653" s="12" t="s">
        <v>933</v>
      </c>
    </row>
    <row r="654" spans="1:24" ht="136" x14ac:dyDescent="0.2">
      <c r="A654" s="7" t="s">
        <v>6159</v>
      </c>
      <c r="B654" s="2" t="s">
        <v>6364</v>
      </c>
      <c r="C654" s="2" t="s">
        <v>6364</v>
      </c>
      <c r="D654" s="1">
        <v>10</v>
      </c>
      <c r="E654" s="2" t="s">
        <v>23</v>
      </c>
      <c r="G654" s="2" t="s">
        <v>1194</v>
      </c>
      <c r="H654" s="2" t="s">
        <v>370</v>
      </c>
      <c r="I654" s="2" t="s">
        <v>6730</v>
      </c>
      <c r="N654" s="12" t="s">
        <v>6558</v>
      </c>
    </row>
    <row r="655" spans="1:24" ht="85" x14ac:dyDescent="0.2">
      <c r="A655" s="7" t="s">
        <v>6162</v>
      </c>
      <c r="B655" s="2" t="s">
        <v>6367</v>
      </c>
      <c r="C655" s="2" t="s">
        <v>6367</v>
      </c>
      <c r="D655" s="1">
        <v>10</v>
      </c>
      <c r="E655" s="2" t="s">
        <v>23</v>
      </c>
      <c r="G655" s="2" t="s">
        <v>1645</v>
      </c>
      <c r="H655" s="2" t="s">
        <v>370</v>
      </c>
      <c r="I655" s="2" t="s">
        <v>102</v>
      </c>
      <c r="N655" s="12" t="s">
        <v>6561</v>
      </c>
    </row>
    <row r="656" spans="1:24" ht="136" x14ac:dyDescent="0.2">
      <c r="A656" s="7" t="s">
        <v>6163</v>
      </c>
      <c r="B656" s="2" t="s">
        <v>6368</v>
      </c>
      <c r="C656" s="2" t="s">
        <v>6368</v>
      </c>
      <c r="D656" s="1">
        <v>10</v>
      </c>
      <c r="E656" s="2" t="s">
        <v>23</v>
      </c>
      <c r="G656" s="2" t="s">
        <v>1194</v>
      </c>
      <c r="H656" s="2" t="s">
        <v>370</v>
      </c>
      <c r="I656" s="2" t="s">
        <v>6730</v>
      </c>
      <c r="N656" s="12" t="s">
        <v>6562</v>
      </c>
    </row>
    <row r="657" spans="1:14" ht="85" x14ac:dyDescent="0.2">
      <c r="A657" s="7" t="s">
        <v>6168</v>
      </c>
      <c r="B657" s="2" t="s">
        <v>6373</v>
      </c>
      <c r="C657" s="2" t="s">
        <v>6373</v>
      </c>
      <c r="D657" s="1">
        <v>10</v>
      </c>
      <c r="I657" s="2" t="s">
        <v>6128</v>
      </c>
      <c r="N657" s="12" t="s">
        <v>963</v>
      </c>
    </row>
    <row r="658" spans="1:14" ht="85" x14ac:dyDescent="0.2">
      <c r="A658" s="7" t="s">
        <v>6169</v>
      </c>
      <c r="B658" s="2" t="s">
        <v>6374</v>
      </c>
      <c r="C658" s="2" t="s">
        <v>6374</v>
      </c>
      <c r="D658" s="1">
        <v>10</v>
      </c>
      <c r="I658" s="2" t="s">
        <v>6128</v>
      </c>
      <c r="N658" s="12" t="s">
        <v>963</v>
      </c>
    </row>
    <row r="659" spans="1:14" ht="102" x14ac:dyDescent="0.2">
      <c r="A659" s="7" t="s">
        <v>6183</v>
      </c>
      <c r="B659" s="2" t="s">
        <v>6388</v>
      </c>
      <c r="C659" s="2" t="s">
        <v>6388</v>
      </c>
      <c r="D659" s="1">
        <v>10</v>
      </c>
      <c r="E659" s="2" t="s">
        <v>23</v>
      </c>
      <c r="G659" s="2" t="s">
        <v>6736</v>
      </c>
      <c r="H659" s="2" t="s">
        <v>680</v>
      </c>
      <c r="I659" s="2" t="s">
        <v>6735</v>
      </c>
      <c r="N659" s="12" t="s">
        <v>6569</v>
      </c>
    </row>
    <row r="660" spans="1:14" ht="34" x14ac:dyDescent="0.2">
      <c r="A660" s="7" t="s">
        <v>6188</v>
      </c>
      <c r="B660" s="2" t="s">
        <v>6393</v>
      </c>
      <c r="C660" s="2" t="s">
        <v>6393</v>
      </c>
      <c r="D660" s="1">
        <v>10</v>
      </c>
      <c r="N660" s="12" t="s">
        <v>2841</v>
      </c>
    </row>
    <row r="661" spans="1:14" ht="17" x14ac:dyDescent="0.2">
      <c r="A661" s="7" t="s">
        <v>6190</v>
      </c>
      <c r="B661" s="2" t="s">
        <v>6395</v>
      </c>
      <c r="C661" s="2" t="s">
        <v>6395</v>
      </c>
      <c r="D661" s="1">
        <v>10</v>
      </c>
      <c r="N661" s="12" t="s">
        <v>2841</v>
      </c>
    </row>
    <row r="662" spans="1:14" ht="102" x14ac:dyDescent="0.2">
      <c r="A662" s="7" t="s">
        <v>6192</v>
      </c>
      <c r="B662" s="2" t="s">
        <v>6397</v>
      </c>
      <c r="C662" s="2" t="s">
        <v>6397</v>
      </c>
      <c r="D662" s="1">
        <v>10</v>
      </c>
      <c r="E662" s="2" t="s">
        <v>23</v>
      </c>
      <c r="G662" s="2" t="s">
        <v>6736</v>
      </c>
      <c r="H662" s="2" t="s">
        <v>680</v>
      </c>
      <c r="I662" s="2" t="s">
        <v>6735</v>
      </c>
      <c r="N662" s="12" t="s">
        <v>6569</v>
      </c>
    </row>
    <row r="663" spans="1:14" ht="17" x14ac:dyDescent="0.2">
      <c r="A663" s="7" t="s">
        <v>6199</v>
      </c>
      <c r="B663" s="2" t="s">
        <v>6404</v>
      </c>
      <c r="C663" s="2" t="s">
        <v>6404</v>
      </c>
      <c r="D663" s="1">
        <v>10</v>
      </c>
      <c r="E663" s="2" t="s">
        <v>61</v>
      </c>
      <c r="F663" s="2" t="s">
        <v>6752</v>
      </c>
      <c r="N663" s="12" t="s">
        <v>6576</v>
      </c>
    </row>
    <row r="664" spans="1:14" ht="136" x14ac:dyDescent="0.2">
      <c r="A664" s="7" t="s">
        <v>6211</v>
      </c>
      <c r="B664" s="2" t="s">
        <v>6416</v>
      </c>
      <c r="C664" s="2" t="s">
        <v>6416</v>
      </c>
      <c r="D664" s="1">
        <v>10</v>
      </c>
      <c r="I664" s="2" t="s">
        <v>6729</v>
      </c>
      <c r="N664" s="12" t="s">
        <v>1212</v>
      </c>
    </row>
    <row r="665" spans="1:14" ht="74" customHeight="1" x14ac:dyDescent="0.2">
      <c r="A665" s="7" t="s">
        <v>6284</v>
      </c>
      <c r="B665" s="2" t="s">
        <v>6490</v>
      </c>
      <c r="C665" s="2" t="s">
        <v>6490</v>
      </c>
      <c r="D665" s="1">
        <v>10</v>
      </c>
      <c r="E665" s="2" t="s">
        <v>61</v>
      </c>
      <c r="F665" s="2" t="s">
        <v>6751</v>
      </c>
      <c r="N665" s="12" t="s">
        <v>6624</v>
      </c>
    </row>
    <row r="666" spans="1:14" ht="102" x14ac:dyDescent="0.2">
      <c r="A666" s="2" t="s">
        <v>6133</v>
      </c>
      <c r="B666" s="2" t="s">
        <v>6740</v>
      </c>
      <c r="C666" s="2" t="s">
        <v>6740</v>
      </c>
      <c r="D666" s="1">
        <v>10</v>
      </c>
      <c r="F666" s="2" t="s">
        <v>6741</v>
      </c>
      <c r="G666" s="2" t="s">
        <v>1645</v>
      </c>
      <c r="H666" s="2" t="s">
        <v>680</v>
      </c>
      <c r="I666" s="2" t="s">
        <v>6742</v>
      </c>
    </row>
    <row r="667" spans="1:14" ht="68" x14ac:dyDescent="0.2">
      <c r="A667" s="2" t="s">
        <v>6133</v>
      </c>
      <c r="B667" s="2" t="s">
        <v>6744</v>
      </c>
      <c r="C667" s="2" t="s">
        <v>6744</v>
      </c>
      <c r="D667" s="1">
        <v>10</v>
      </c>
      <c r="F667" s="2" t="s">
        <v>6745</v>
      </c>
      <c r="G667" s="2" t="s">
        <v>1645</v>
      </c>
      <c r="H667" s="2" t="s">
        <v>680</v>
      </c>
      <c r="I667" s="2" t="s">
        <v>6746</v>
      </c>
    </row>
    <row r="668" spans="1:14" ht="136" x14ac:dyDescent="0.2">
      <c r="A668" s="7" t="s">
        <v>6195</v>
      </c>
      <c r="B668" s="2" t="s">
        <v>6400</v>
      </c>
      <c r="C668" s="2" t="s">
        <v>6400</v>
      </c>
      <c r="D668" s="1">
        <v>10</v>
      </c>
      <c r="E668" s="2" t="s">
        <v>61</v>
      </c>
      <c r="F668" s="37" t="s">
        <v>6664</v>
      </c>
      <c r="N668" s="12" t="s">
        <v>6573</v>
      </c>
    </row>
    <row r="669" spans="1:14" ht="153" x14ac:dyDescent="0.2">
      <c r="A669" s="7" t="s">
        <v>6208</v>
      </c>
      <c r="B669" s="2" t="s">
        <v>6413</v>
      </c>
      <c r="C669" s="2" t="s">
        <v>6413</v>
      </c>
      <c r="D669" s="1">
        <v>10</v>
      </c>
      <c r="E669" s="2" t="s">
        <v>61</v>
      </c>
      <c r="F669" s="2" t="s">
        <v>1893</v>
      </c>
      <c r="G669" s="2" t="s">
        <v>1168</v>
      </c>
      <c r="H669" s="2" t="s">
        <v>1894</v>
      </c>
      <c r="I669" s="2" t="s">
        <v>1170</v>
      </c>
      <c r="N669" s="12" t="s">
        <v>1927</v>
      </c>
    </row>
    <row r="670" spans="1:14" ht="119" x14ac:dyDescent="0.2">
      <c r="A670" s="7" t="s">
        <v>6215</v>
      </c>
      <c r="B670" s="2" t="s">
        <v>6420</v>
      </c>
      <c r="C670" s="2" t="s">
        <v>6420</v>
      </c>
      <c r="D670" s="1">
        <v>10</v>
      </c>
      <c r="E670" s="2" t="s">
        <v>23</v>
      </c>
      <c r="G670" s="2" t="s">
        <v>1194</v>
      </c>
      <c r="H670" s="2" t="s">
        <v>369</v>
      </c>
      <c r="I670" s="2" t="s">
        <v>1219</v>
      </c>
      <c r="N670" s="12" t="s">
        <v>6583</v>
      </c>
    </row>
    <row r="671" spans="1:14" ht="17" x14ac:dyDescent="0.2">
      <c r="A671" s="7" t="s">
        <v>6221</v>
      </c>
      <c r="B671" s="2" t="s">
        <v>6426</v>
      </c>
      <c r="C671" s="2" t="s">
        <v>6426</v>
      </c>
      <c r="D671" s="1">
        <v>10</v>
      </c>
      <c r="E671" s="2" t="s">
        <v>61</v>
      </c>
      <c r="H671" s="2" t="s">
        <v>370</v>
      </c>
      <c r="N671" s="12" t="s">
        <v>1956</v>
      </c>
    </row>
    <row r="672" spans="1:14" ht="68" x14ac:dyDescent="0.2">
      <c r="A672" s="7" t="s">
        <v>6223</v>
      </c>
      <c r="B672" s="2" t="s">
        <v>6428</v>
      </c>
      <c r="C672" s="2" t="s">
        <v>6428</v>
      </c>
      <c r="D672" s="1">
        <v>10</v>
      </c>
      <c r="E672" s="2" t="s">
        <v>61</v>
      </c>
      <c r="I672" s="2" t="s">
        <v>6762</v>
      </c>
      <c r="N672" s="12" t="s">
        <v>6590</v>
      </c>
    </row>
    <row r="673" spans="1:14" ht="34" x14ac:dyDescent="0.2">
      <c r="A673" s="7" t="s">
        <v>6225</v>
      </c>
      <c r="B673" s="2" t="s">
        <v>6430</v>
      </c>
      <c r="C673" s="2" t="s">
        <v>6430</v>
      </c>
      <c r="D673" s="1">
        <v>10</v>
      </c>
      <c r="E673" s="2" t="s">
        <v>61</v>
      </c>
      <c r="F673" s="2" t="s">
        <v>6752</v>
      </c>
      <c r="N673" s="12" t="s">
        <v>6592</v>
      </c>
    </row>
    <row r="674" spans="1:14" ht="34" x14ac:dyDescent="0.2">
      <c r="A674" s="7" t="s">
        <v>6226</v>
      </c>
      <c r="B674" s="2" t="s">
        <v>6431</v>
      </c>
      <c r="C674" s="2" t="s">
        <v>6431</v>
      </c>
      <c r="D674" s="1">
        <v>10</v>
      </c>
      <c r="E674" s="2" t="s">
        <v>61</v>
      </c>
      <c r="F674" s="2" t="s">
        <v>6752</v>
      </c>
      <c r="N674" s="12" t="s">
        <v>2902</v>
      </c>
    </row>
    <row r="675" spans="1:14" ht="17" x14ac:dyDescent="0.2">
      <c r="A675" s="7" t="s">
        <v>6230</v>
      </c>
      <c r="B675" s="2" t="s">
        <v>6435</v>
      </c>
      <c r="C675" s="2" t="s">
        <v>6435</v>
      </c>
      <c r="D675" s="1">
        <v>10</v>
      </c>
      <c r="E675" s="2" t="s">
        <v>61</v>
      </c>
      <c r="F675" s="31" t="s">
        <v>6664</v>
      </c>
      <c r="N675" s="12" t="s">
        <v>6596</v>
      </c>
    </row>
    <row r="676" spans="1:14" ht="85" x14ac:dyDescent="0.2">
      <c r="A676" s="7" t="s">
        <v>6234</v>
      </c>
      <c r="B676" s="2" t="s">
        <v>6439</v>
      </c>
      <c r="C676" s="2" t="s">
        <v>6439</v>
      </c>
      <c r="D676" s="1">
        <v>10</v>
      </c>
      <c r="E676" s="2" t="s">
        <v>23</v>
      </c>
      <c r="G676" s="2" t="s">
        <v>1194</v>
      </c>
      <c r="H676" s="2" t="s">
        <v>680</v>
      </c>
      <c r="I676" s="2" t="s">
        <v>1525</v>
      </c>
      <c r="N676" s="12" t="s">
        <v>1984</v>
      </c>
    </row>
    <row r="677" spans="1:14" ht="85" x14ac:dyDescent="0.2">
      <c r="A677" s="7" t="s">
        <v>6236</v>
      </c>
      <c r="B677" s="2" t="s">
        <v>6441</v>
      </c>
      <c r="C677" s="2" t="s">
        <v>6441</v>
      </c>
      <c r="D677" s="1">
        <v>10</v>
      </c>
      <c r="E677" s="2" t="s">
        <v>23</v>
      </c>
      <c r="I677" s="2" t="s">
        <v>6764</v>
      </c>
      <c r="N677" s="12" t="s">
        <v>6599</v>
      </c>
    </row>
    <row r="678" spans="1:14" ht="119" x14ac:dyDescent="0.2">
      <c r="A678" s="7" t="s">
        <v>6239</v>
      </c>
      <c r="B678" s="2" t="s">
        <v>6443</v>
      </c>
      <c r="C678" s="2" t="s">
        <v>6443</v>
      </c>
      <c r="D678" s="1">
        <v>10</v>
      </c>
      <c r="E678" s="2" t="s">
        <v>23</v>
      </c>
      <c r="F678" s="2" t="s">
        <v>1384</v>
      </c>
      <c r="G678" s="2" t="s">
        <v>1194</v>
      </c>
      <c r="H678" s="2" t="s">
        <v>664</v>
      </c>
      <c r="I678" s="2" t="s">
        <v>1995</v>
      </c>
      <c r="N678" s="12" t="s">
        <v>2041</v>
      </c>
    </row>
    <row r="679" spans="1:14" ht="119" x14ac:dyDescent="0.2">
      <c r="A679" s="7" t="s">
        <v>6241</v>
      </c>
      <c r="B679" s="2" t="s">
        <v>6445</v>
      </c>
      <c r="C679" s="2" t="s">
        <v>6445</v>
      </c>
      <c r="D679" s="1">
        <v>10</v>
      </c>
      <c r="E679" s="2" t="s">
        <v>23</v>
      </c>
      <c r="F679" s="2" t="s">
        <v>1384</v>
      </c>
      <c r="G679" s="2" t="s">
        <v>1194</v>
      </c>
      <c r="H679" s="2" t="s">
        <v>664</v>
      </c>
      <c r="I679" s="2" t="s">
        <v>1995</v>
      </c>
      <c r="N679" s="12" t="s">
        <v>5510</v>
      </c>
    </row>
    <row r="680" spans="1:14" ht="51" x14ac:dyDescent="0.2">
      <c r="A680" s="7" t="s">
        <v>6242</v>
      </c>
      <c r="B680" s="2" t="s">
        <v>6446</v>
      </c>
      <c r="C680" s="2" t="s">
        <v>6446</v>
      </c>
      <c r="D680" s="1">
        <v>10</v>
      </c>
      <c r="E680" s="2" t="s">
        <v>61</v>
      </c>
      <c r="N680" s="12" t="s">
        <v>2320</v>
      </c>
    </row>
    <row r="681" spans="1:14" ht="136" x14ac:dyDescent="0.2">
      <c r="A681" s="7" t="s">
        <v>6248</v>
      </c>
      <c r="B681" s="2" t="s">
        <v>6454</v>
      </c>
      <c r="C681" s="2" t="s">
        <v>6454</v>
      </c>
      <c r="D681" s="1">
        <v>10</v>
      </c>
      <c r="E681" s="2" t="s">
        <v>23</v>
      </c>
      <c r="L681" s="2" t="s">
        <v>6771</v>
      </c>
      <c r="N681" s="12" t="s">
        <v>6601</v>
      </c>
    </row>
    <row r="682" spans="1:14" ht="81" customHeight="1" x14ac:dyDescent="0.2">
      <c r="A682" s="7" t="s">
        <v>6249</v>
      </c>
      <c r="B682" s="2" t="s">
        <v>6455</v>
      </c>
      <c r="C682" s="2" t="s">
        <v>6455</v>
      </c>
      <c r="D682" s="1">
        <v>10</v>
      </c>
      <c r="E682" s="2" t="s">
        <v>23</v>
      </c>
      <c r="L682" s="2" t="s">
        <v>6771</v>
      </c>
      <c r="N682" s="12" t="s">
        <v>6602</v>
      </c>
    </row>
    <row r="683" spans="1:14" ht="136" x14ac:dyDescent="0.2">
      <c r="A683" s="7" t="s">
        <v>6250</v>
      </c>
      <c r="B683" s="2" t="s">
        <v>6456</v>
      </c>
      <c r="C683" s="2" t="s">
        <v>6456</v>
      </c>
      <c r="D683" s="1">
        <v>10</v>
      </c>
      <c r="E683" s="2" t="s">
        <v>6773</v>
      </c>
      <c r="L683" s="2" t="s">
        <v>6771</v>
      </c>
      <c r="N683" s="12" t="s">
        <v>6603</v>
      </c>
    </row>
    <row r="684" spans="1:14" ht="136" x14ac:dyDescent="0.2">
      <c r="A684" s="7" t="s">
        <v>6255</v>
      </c>
      <c r="B684" s="2" t="s">
        <v>6461</v>
      </c>
      <c r="C684" s="2" t="s">
        <v>6461</v>
      </c>
      <c r="D684" s="1">
        <v>10</v>
      </c>
      <c r="E684" s="2" t="s">
        <v>23</v>
      </c>
      <c r="I684" s="2" t="s">
        <v>6803</v>
      </c>
      <c r="L684" s="2" t="s">
        <v>6771</v>
      </c>
      <c r="N684" s="12" t="s">
        <v>5567</v>
      </c>
    </row>
    <row r="685" spans="1:14" ht="136" x14ac:dyDescent="0.2">
      <c r="A685" s="7" t="s">
        <v>6256</v>
      </c>
      <c r="B685" s="2" t="s">
        <v>6462</v>
      </c>
      <c r="C685" s="2" t="s">
        <v>6462</v>
      </c>
      <c r="D685" s="1">
        <v>10</v>
      </c>
      <c r="E685" s="2" t="s">
        <v>23</v>
      </c>
      <c r="L685" s="2" t="s">
        <v>6771</v>
      </c>
      <c r="N685" s="12" t="s">
        <v>6607</v>
      </c>
    </row>
    <row r="686" spans="1:14" ht="34" x14ac:dyDescent="0.2">
      <c r="A686" s="7" t="s">
        <v>6265</v>
      </c>
      <c r="B686" s="2" t="s">
        <v>6471</v>
      </c>
      <c r="C686" s="2" t="s">
        <v>6471</v>
      </c>
      <c r="D686" s="1">
        <v>10</v>
      </c>
      <c r="E686" s="2" t="s">
        <v>61</v>
      </c>
      <c r="F686" s="2" t="s">
        <v>6752</v>
      </c>
      <c r="N686" s="12" t="s">
        <v>5636</v>
      </c>
    </row>
    <row r="687" spans="1:14" ht="68" x14ac:dyDescent="0.2">
      <c r="A687" s="7" t="s">
        <v>6277</v>
      </c>
      <c r="B687" s="2" t="s">
        <v>6483</v>
      </c>
      <c r="C687" s="2" t="s">
        <v>6483</v>
      </c>
      <c r="D687" s="1">
        <v>10</v>
      </c>
      <c r="I687" s="2" t="s">
        <v>6778</v>
      </c>
      <c r="N687" s="12" t="s">
        <v>2061</v>
      </c>
    </row>
    <row r="688" spans="1:14" ht="34" x14ac:dyDescent="0.2">
      <c r="A688" s="7" t="s">
        <v>6278</v>
      </c>
      <c r="B688" s="2" t="s">
        <v>6484</v>
      </c>
      <c r="C688" s="2" t="s">
        <v>6484</v>
      </c>
      <c r="D688" s="1">
        <v>10</v>
      </c>
      <c r="E688" s="2" t="s">
        <v>6752</v>
      </c>
      <c r="N688" s="12" t="s">
        <v>6619</v>
      </c>
    </row>
    <row r="689" spans="1:112" ht="51" x14ac:dyDescent="0.2">
      <c r="A689" s="7" t="s">
        <v>6280</v>
      </c>
      <c r="B689" s="2" t="s">
        <v>6486</v>
      </c>
      <c r="C689" s="2" t="s">
        <v>6486</v>
      </c>
      <c r="D689" s="1">
        <v>10</v>
      </c>
      <c r="E689" s="2" t="s">
        <v>61</v>
      </c>
      <c r="F689" s="2" t="s">
        <v>6710</v>
      </c>
      <c r="N689" s="12" t="s">
        <v>6621</v>
      </c>
    </row>
    <row r="690" spans="1:112" ht="34" x14ac:dyDescent="0.2">
      <c r="A690" s="7" t="s">
        <v>6285</v>
      </c>
      <c r="B690" s="2" t="s">
        <v>6491</v>
      </c>
      <c r="C690" s="2" t="s">
        <v>6491</v>
      </c>
      <c r="D690" s="1">
        <v>10</v>
      </c>
      <c r="E690" s="2" t="s">
        <v>61</v>
      </c>
      <c r="F690" s="2" t="s">
        <v>6782</v>
      </c>
      <c r="N690" s="12" t="s">
        <v>1093</v>
      </c>
    </row>
    <row r="691" spans="1:112" ht="17" x14ac:dyDescent="0.2">
      <c r="A691" s="7" t="s">
        <v>6288</v>
      </c>
      <c r="B691" s="2" t="s">
        <v>6494</v>
      </c>
      <c r="C691" s="2" t="s">
        <v>6494</v>
      </c>
      <c r="D691" s="1">
        <v>10</v>
      </c>
      <c r="E691" s="2" t="s">
        <v>61</v>
      </c>
      <c r="F691" s="2" t="s">
        <v>6785</v>
      </c>
      <c r="N691" s="12" t="s">
        <v>1093</v>
      </c>
    </row>
    <row r="692" spans="1:112" ht="17" x14ac:dyDescent="0.2">
      <c r="A692" s="7" t="s">
        <v>6289</v>
      </c>
      <c r="B692" s="2" t="s">
        <v>6495</v>
      </c>
      <c r="C692" s="2" t="s">
        <v>6495</v>
      </c>
      <c r="D692" s="1">
        <v>10</v>
      </c>
      <c r="E692" s="2" t="s">
        <v>61</v>
      </c>
      <c r="F692" s="2" t="s">
        <v>6782</v>
      </c>
      <c r="N692" s="12" t="s">
        <v>1093</v>
      </c>
    </row>
    <row r="693" spans="1:112" ht="34" x14ac:dyDescent="0.2">
      <c r="A693" s="7" t="s">
        <v>6321</v>
      </c>
      <c r="B693" s="2" t="s">
        <v>6527</v>
      </c>
      <c r="C693" s="2" t="s">
        <v>6527</v>
      </c>
      <c r="D693" s="1">
        <v>10</v>
      </c>
      <c r="E693" s="2" t="s">
        <v>61</v>
      </c>
      <c r="F693" s="2" t="s">
        <v>6785</v>
      </c>
      <c r="N693" s="12" t="s">
        <v>6654</v>
      </c>
    </row>
    <row r="694" spans="1:112" ht="102" x14ac:dyDescent="0.2">
      <c r="A694" s="7" t="s">
        <v>6334</v>
      </c>
      <c r="B694" s="2" t="s">
        <v>6540</v>
      </c>
      <c r="C694" s="2" t="s">
        <v>6540</v>
      </c>
      <c r="D694" s="1">
        <v>10</v>
      </c>
      <c r="E694" s="2" t="s">
        <v>23</v>
      </c>
      <c r="G694" s="2" t="s">
        <v>1194</v>
      </c>
      <c r="H694" s="2" t="s">
        <v>1871</v>
      </c>
      <c r="I694" s="2" t="s">
        <v>1872</v>
      </c>
      <c r="N694" s="12" t="s">
        <v>6659</v>
      </c>
    </row>
    <row r="695" spans="1:112" ht="17" x14ac:dyDescent="0.2">
      <c r="A695" s="7" t="s">
        <v>6335</v>
      </c>
      <c r="B695" s="2" t="s">
        <v>6541</v>
      </c>
      <c r="C695" s="2" t="s">
        <v>6541</v>
      </c>
      <c r="D695" s="1">
        <v>10</v>
      </c>
      <c r="E695" s="2" t="s">
        <v>61</v>
      </c>
      <c r="F695" s="2" t="s">
        <v>6800</v>
      </c>
      <c r="H695" s="38">
        <v>2500</v>
      </c>
      <c r="N695" s="12" t="s">
        <v>6660</v>
      </c>
    </row>
    <row r="696" spans="1:112" ht="51" x14ac:dyDescent="0.2">
      <c r="A696" s="2" t="s">
        <v>2316</v>
      </c>
      <c r="B696" s="2" t="s">
        <v>2317</v>
      </c>
      <c r="C696" s="2" t="s">
        <v>2317</v>
      </c>
      <c r="D696" s="1">
        <v>10</v>
      </c>
      <c r="E696" s="2" t="s">
        <v>61</v>
      </c>
      <c r="J696" s="2" t="s">
        <v>27</v>
      </c>
      <c r="K696" s="2" t="s">
        <v>1121</v>
      </c>
      <c r="L696" s="2" t="s">
        <v>2318</v>
      </c>
      <c r="M696" s="2" t="s">
        <v>2319</v>
      </c>
      <c r="N696" s="2" t="s">
        <v>2320</v>
      </c>
      <c r="O696" s="2" t="s">
        <v>183</v>
      </c>
      <c r="P696" s="2" t="s">
        <v>819</v>
      </c>
      <c r="Q696" s="2" t="s">
        <v>41</v>
      </c>
      <c r="R696" s="2" t="s">
        <v>32</v>
      </c>
      <c r="S696" s="2" t="s">
        <v>33</v>
      </c>
      <c r="T696" s="2" t="s">
        <v>2321</v>
      </c>
      <c r="U696" s="2" t="s">
        <v>2322</v>
      </c>
    </row>
    <row r="697" spans="1:112" customFormat="1" ht="34" x14ac:dyDescent="0.2">
      <c r="A697" s="7" t="s">
        <v>2316</v>
      </c>
      <c r="B697" s="7" t="s">
        <v>5512</v>
      </c>
      <c r="C697" s="2" t="s">
        <v>5512</v>
      </c>
      <c r="D697" s="1">
        <v>10</v>
      </c>
      <c r="E697" s="2" t="s">
        <v>61</v>
      </c>
      <c r="F697" s="2"/>
      <c r="G697" s="2"/>
      <c r="H697" s="2"/>
      <c r="I697" s="2"/>
      <c r="J697" s="34" t="s">
        <v>27</v>
      </c>
      <c r="K697" s="34" t="s">
        <v>1121</v>
      </c>
      <c r="L697" s="34" t="s">
        <v>2318</v>
      </c>
      <c r="M697" s="34" t="s">
        <v>2319</v>
      </c>
      <c r="N697" s="34" t="s">
        <v>2320</v>
      </c>
      <c r="O697" s="34" t="s">
        <v>183</v>
      </c>
      <c r="P697" s="34" t="s">
        <v>819</v>
      </c>
      <c r="Q697" s="34" t="s">
        <v>41</v>
      </c>
      <c r="R697" s="34" t="s">
        <v>32</v>
      </c>
      <c r="S697" s="34" t="s">
        <v>33</v>
      </c>
      <c r="T697" s="34" t="s">
        <v>2321</v>
      </c>
      <c r="U697" s="34" t="s">
        <v>2322</v>
      </c>
      <c r="V697" s="34" t="s">
        <v>2322</v>
      </c>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c r="CA697" s="34"/>
      <c r="CB697" s="34"/>
      <c r="CC697" s="34"/>
      <c r="CD697" s="34"/>
      <c r="CE697" s="34"/>
      <c r="CF697" s="34"/>
      <c r="CG697" s="34"/>
      <c r="CH697" s="34"/>
      <c r="CI697" s="34"/>
      <c r="CJ697" s="34"/>
      <c r="CK697" s="34"/>
      <c r="CL697" s="34"/>
      <c r="CM697" s="34"/>
      <c r="CN697" s="34"/>
      <c r="CO697" s="34"/>
      <c r="CP697" s="34"/>
      <c r="CQ697" s="34"/>
      <c r="CR697" s="34"/>
      <c r="CS697" s="34"/>
      <c r="CT697" s="34"/>
      <c r="CU697" s="34"/>
      <c r="CV697" s="34"/>
      <c r="CW697" s="34"/>
      <c r="CX697" s="34"/>
      <c r="CY697" s="34"/>
      <c r="CZ697" s="34"/>
      <c r="DA697" s="34"/>
      <c r="DB697" s="34"/>
      <c r="DC697" s="34"/>
      <c r="DD697" s="34"/>
      <c r="DE697" s="34"/>
      <c r="DF697" s="34"/>
      <c r="DG697" s="34"/>
      <c r="DH697" s="34"/>
    </row>
    <row r="698" spans="1:112" customFormat="1" ht="136" x14ac:dyDescent="0.2">
      <c r="A698" s="7" t="s">
        <v>5565</v>
      </c>
      <c r="B698" s="7" t="s">
        <v>5566</v>
      </c>
      <c r="C698" s="2" t="s">
        <v>5566</v>
      </c>
      <c r="D698" s="5">
        <v>10</v>
      </c>
      <c r="E698" s="6" t="s">
        <v>23</v>
      </c>
      <c r="F698" s="6"/>
      <c r="G698" s="6" t="s">
        <v>2520</v>
      </c>
      <c r="H698" s="6" t="s">
        <v>1169</v>
      </c>
      <c r="I698" s="6" t="s">
        <v>6803</v>
      </c>
      <c r="J698" s="34" t="s">
        <v>763</v>
      </c>
      <c r="K698" s="34" t="s">
        <v>764</v>
      </c>
      <c r="L698" s="34" t="s">
        <v>764</v>
      </c>
      <c r="M698" s="34" t="s">
        <v>765</v>
      </c>
      <c r="N698" s="34" t="s">
        <v>5567</v>
      </c>
      <c r="O698" s="34" t="s">
        <v>767</v>
      </c>
      <c r="P698" s="34" t="s">
        <v>68</v>
      </c>
      <c r="Q698" s="34" t="s">
        <v>41</v>
      </c>
      <c r="R698" s="34" t="s">
        <v>32</v>
      </c>
      <c r="S698" s="34" t="s">
        <v>33</v>
      </c>
      <c r="T698" s="34" t="s">
        <v>5546</v>
      </c>
      <c r="U698" s="34" t="s">
        <v>5568</v>
      </c>
      <c r="V698" s="34" t="s">
        <v>5568</v>
      </c>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c r="CA698" s="34"/>
      <c r="CB698" s="34"/>
      <c r="CC698" s="34"/>
      <c r="CD698" s="34"/>
      <c r="CE698" s="34"/>
      <c r="CF698" s="34"/>
      <c r="CG698" s="34"/>
      <c r="CH698" s="34"/>
      <c r="CI698" s="34"/>
      <c r="CJ698" s="34"/>
      <c r="CK698" s="34"/>
      <c r="CL698" s="34"/>
      <c r="CM698" s="34"/>
      <c r="CN698" s="34"/>
      <c r="CO698" s="34"/>
      <c r="CP698" s="34"/>
      <c r="CQ698" s="34"/>
      <c r="CR698" s="34"/>
      <c r="CS698" s="34"/>
      <c r="CT698" s="34"/>
      <c r="CU698" s="34"/>
      <c r="CV698" s="34"/>
      <c r="CW698" s="34"/>
      <c r="CX698" s="34"/>
      <c r="CY698" s="34"/>
      <c r="CZ698" s="34"/>
      <c r="DA698" s="34"/>
      <c r="DB698" s="34"/>
      <c r="DC698" s="34"/>
      <c r="DD698" s="34"/>
      <c r="DE698" s="34"/>
      <c r="DF698" s="34"/>
      <c r="DG698" s="34"/>
      <c r="DH698" s="34"/>
    </row>
    <row r="699" spans="1:112" customFormat="1" ht="119" x14ac:dyDescent="0.2">
      <c r="A699" s="7" t="s">
        <v>6831</v>
      </c>
      <c r="B699" s="7" t="s">
        <v>6832</v>
      </c>
      <c r="C699" s="7" t="s">
        <v>6832</v>
      </c>
      <c r="D699" s="1">
        <v>10</v>
      </c>
      <c r="E699" s="2" t="s">
        <v>23</v>
      </c>
      <c r="F699" s="2"/>
      <c r="G699" s="2" t="s">
        <v>1194</v>
      </c>
      <c r="H699" s="2" t="s">
        <v>369</v>
      </c>
      <c r="I699" s="2" t="s">
        <v>1219</v>
      </c>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c r="BK699" s="25"/>
      <c r="BL699" s="25"/>
      <c r="BM699" s="25"/>
      <c r="BN699" s="25"/>
      <c r="BO699" s="25"/>
      <c r="BP699" s="25"/>
      <c r="BQ699" s="25"/>
      <c r="BR699" s="25"/>
      <c r="BS699" s="25"/>
      <c r="BT699" s="25"/>
      <c r="BU699" s="25"/>
      <c r="BV699" s="25"/>
      <c r="BW699" s="25"/>
      <c r="BX699" s="25"/>
      <c r="BY699" s="25"/>
      <c r="BZ699" s="25"/>
      <c r="CA699" s="25"/>
      <c r="CB699" s="25"/>
      <c r="CC699" s="25"/>
      <c r="CD699" s="25"/>
      <c r="CE699" s="25"/>
      <c r="CF699" s="25"/>
      <c r="CG699" s="25"/>
      <c r="CH699" s="25"/>
      <c r="CI699" s="25"/>
      <c r="CJ699" s="25"/>
      <c r="CK699" s="25"/>
      <c r="CL699" s="25"/>
      <c r="CM699" s="25"/>
      <c r="CN699" s="25"/>
      <c r="CO699" s="25"/>
      <c r="CP699" s="25"/>
      <c r="CQ699" s="25"/>
      <c r="CR699" s="25"/>
      <c r="CS699" s="25"/>
      <c r="CT699" s="25"/>
      <c r="CU699" s="25"/>
      <c r="CV699" s="25"/>
      <c r="CW699" s="25"/>
      <c r="CX699" s="25"/>
      <c r="CY699" s="25"/>
      <c r="CZ699" s="25"/>
      <c r="DA699" s="25"/>
      <c r="DB699" s="25"/>
      <c r="DC699" s="25"/>
      <c r="DD699" s="25"/>
      <c r="DE699" s="25"/>
      <c r="DF699" s="25"/>
      <c r="DG699" s="25"/>
      <c r="DH699" s="25"/>
    </row>
    <row r="700" spans="1:112" customFormat="1" ht="119" x14ac:dyDescent="0.2">
      <c r="A700" s="7" t="s">
        <v>6215</v>
      </c>
      <c r="B700" s="7" t="s">
        <v>6420</v>
      </c>
      <c r="C700" s="7" t="s">
        <v>6420</v>
      </c>
      <c r="D700" s="1">
        <v>10</v>
      </c>
      <c r="E700" s="2" t="s">
        <v>23</v>
      </c>
      <c r="F700" s="2"/>
      <c r="G700" s="2" t="s">
        <v>1194</v>
      </c>
      <c r="H700" s="2" t="s">
        <v>369</v>
      </c>
      <c r="I700" s="2" t="s">
        <v>1219</v>
      </c>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c r="BK700" s="25"/>
      <c r="BL700" s="25"/>
      <c r="BM700" s="25"/>
      <c r="BN700" s="25"/>
      <c r="BO700" s="25"/>
      <c r="BP700" s="25"/>
      <c r="BQ700" s="25"/>
      <c r="BR700" s="25"/>
      <c r="BS700" s="25"/>
      <c r="BT700" s="25"/>
      <c r="BU700" s="25"/>
      <c r="BV700" s="25"/>
      <c r="BW700" s="25"/>
      <c r="BX700" s="25"/>
      <c r="BY700" s="25"/>
      <c r="BZ700" s="25"/>
      <c r="CA700" s="25"/>
      <c r="CB700" s="25"/>
      <c r="CC700" s="25"/>
      <c r="CD700" s="25"/>
      <c r="CE700" s="25"/>
      <c r="CF700" s="25"/>
      <c r="CG700" s="25"/>
      <c r="CH700" s="25"/>
      <c r="CI700" s="25"/>
      <c r="CJ700" s="25"/>
      <c r="CK700" s="25"/>
      <c r="CL700" s="25"/>
      <c r="CM700" s="25"/>
      <c r="CN700" s="25"/>
      <c r="CO700" s="25"/>
      <c r="CP700" s="25"/>
      <c r="CQ700" s="25"/>
      <c r="CR700" s="25"/>
      <c r="CS700" s="25"/>
      <c r="CT700" s="25"/>
      <c r="CU700" s="25"/>
      <c r="CV700" s="25"/>
      <c r="CW700" s="25"/>
      <c r="CX700" s="25"/>
      <c r="CY700" s="25"/>
      <c r="CZ700" s="25"/>
      <c r="DA700" s="25"/>
      <c r="DB700" s="25"/>
      <c r="DC700" s="25"/>
      <c r="DD700" s="25"/>
      <c r="DE700" s="25"/>
      <c r="DF700" s="25"/>
      <c r="DG700" s="25"/>
      <c r="DH700" s="25"/>
    </row>
    <row r="701" spans="1:112" customFormat="1" ht="119" x14ac:dyDescent="0.2">
      <c r="A701" s="7" t="s">
        <v>6833</v>
      </c>
      <c r="B701" s="7" t="s">
        <v>6834</v>
      </c>
      <c r="C701" s="7" t="s">
        <v>6834</v>
      </c>
      <c r="D701" s="1">
        <v>10</v>
      </c>
      <c r="E701" s="2" t="s">
        <v>23</v>
      </c>
      <c r="F701" s="2"/>
      <c r="G701" s="2" t="s">
        <v>1194</v>
      </c>
      <c r="H701" s="2" t="s">
        <v>369</v>
      </c>
      <c r="I701" s="2" t="s">
        <v>1219</v>
      </c>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c r="BK701" s="25"/>
      <c r="BL701" s="25"/>
      <c r="BM701" s="25"/>
      <c r="BN701" s="25"/>
      <c r="BO701" s="25"/>
      <c r="BP701" s="25"/>
      <c r="BQ701" s="25"/>
      <c r="BR701" s="25"/>
      <c r="BS701" s="25"/>
      <c r="BT701" s="25"/>
      <c r="BU701" s="25"/>
      <c r="BV701" s="25"/>
      <c r="BW701" s="25"/>
      <c r="BX701" s="25"/>
      <c r="BY701" s="25"/>
      <c r="BZ701" s="25"/>
      <c r="CA701" s="25"/>
      <c r="CB701" s="25"/>
      <c r="CC701" s="25"/>
      <c r="CD701" s="25"/>
      <c r="CE701" s="25"/>
      <c r="CF701" s="25"/>
      <c r="CG701" s="25"/>
      <c r="CH701" s="25"/>
      <c r="CI701" s="25"/>
      <c r="CJ701" s="25"/>
      <c r="CK701" s="25"/>
      <c r="CL701" s="25"/>
      <c r="CM701" s="25"/>
      <c r="CN701" s="25"/>
      <c r="CO701" s="25"/>
      <c r="CP701" s="25"/>
      <c r="CQ701" s="25"/>
      <c r="CR701" s="25"/>
      <c r="CS701" s="25"/>
      <c r="CT701" s="25"/>
      <c r="CU701" s="25"/>
      <c r="CV701" s="25"/>
      <c r="CW701" s="25"/>
      <c r="CX701" s="25"/>
      <c r="CY701" s="25"/>
      <c r="CZ701" s="25"/>
      <c r="DA701" s="25"/>
      <c r="DB701" s="25"/>
      <c r="DC701" s="25"/>
      <c r="DD701" s="25"/>
      <c r="DE701" s="25"/>
      <c r="DF701" s="25"/>
      <c r="DG701" s="25"/>
      <c r="DH701" s="25"/>
    </row>
    <row r="702" spans="1:112" customFormat="1" ht="68" x14ac:dyDescent="0.2">
      <c r="A702" s="2" t="s">
        <v>2169</v>
      </c>
      <c r="B702" s="2" t="s">
        <v>2170</v>
      </c>
      <c r="C702" s="2" t="s">
        <v>2170</v>
      </c>
      <c r="D702" s="1">
        <v>7</v>
      </c>
      <c r="E702" s="2" t="s">
        <v>61</v>
      </c>
      <c r="F702" s="2" t="s">
        <v>2171</v>
      </c>
      <c r="G702" s="2" t="s">
        <v>2172</v>
      </c>
      <c r="H702" s="2" t="s">
        <v>2173</v>
      </c>
      <c r="I702" s="2"/>
      <c r="J702" s="25" t="s">
        <v>469</v>
      </c>
      <c r="K702" s="25" t="s">
        <v>470</v>
      </c>
      <c r="L702" s="25" t="s">
        <v>1262</v>
      </c>
      <c r="M702" s="25">
        <v>99</v>
      </c>
      <c r="N702" s="25" t="s">
        <v>2174</v>
      </c>
      <c r="O702" s="25">
        <v>87</v>
      </c>
      <c r="P702" s="25">
        <v>1</v>
      </c>
      <c r="Q702" s="25">
        <v>0</v>
      </c>
      <c r="R702" s="25" t="s">
        <v>32</v>
      </c>
      <c r="S702" s="25" t="s">
        <v>33</v>
      </c>
      <c r="T702" s="25" t="s">
        <v>2175</v>
      </c>
      <c r="U702" s="25" t="s">
        <v>4463</v>
      </c>
      <c r="V702" s="25" t="s">
        <v>4464</v>
      </c>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c r="BK702" s="25"/>
      <c r="BL702" s="25"/>
      <c r="BM702" s="25"/>
      <c r="BN702" s="25"/>
      <c r="BO702" s="25"/>
      <c r="BP702" s="25"/>
      <c r="BQ702" s="25"/>
      <c r="BR702" s="25"/>
      <c r="BS702" s="25"/>
      <c r="BT702" s="25"/>
      <c r="BU702" s="25"/>
      <c r="BV702" s="25"/>
      <c r="BW702" s="25"/>
      <c r="BX702" s="25"/>
      <c r="BY702" s="25"/>
      <c r="BZ702" s="25"/>
      <c r="CA702" s="25"/>
      <c r="CB702" s="25"/>
      <c r="CC702" s="25"/>
      <c r="CD702" s="25"/>
      <c r="CE702" s="25"/>
      <c r="CF702" s="25"/>
      <c r="CG702" s="25"/>
      <c r="CH702" s="25"/>
      <c r="CI702" s="25"/>
      <c r="CJ702" s="25"/>
      <c r="CK702" s="25"/>
      <c r="CL702" s="25"/>
      <c r="CM702" s="25"/>
      <c r="CN702" s="25"/>
      <c r="CO702" s="25"/>
      <c r="CP702" s="25"/>
      <c r="CQ702" s="25"/>
      <c r="CR702" s="25"/>
      <c r="CS702" s="25"/>
      <c r="CT702" s="25"/>
      <c r="CU702" s="25"/>
      <c r="CV702" s="25"/>
      <c r="CW702" s="25"/>
      <c r="CX702" s="25"/>
      <c r="CY702" s="25"/>
      <c r="CZ702" s="25"/>
      <c r="DA702" s="25"/>
      <c r="DB702" s="25"/>
      <c r="DC702" s="25"/>
      <c r="DD702" s="25"/>
      <c r="DE702" s="25"/>
      <c r="DF702" s="25"/>
      <c r="DG702" s="25"/>
      <c r="DH702" s="25"/>
    </row>
    <row r="703" spans="1:112" customFormat="1" ht="68" x14ac:dyDescent="0.2">
      <c r="A703" s="2" t="s">
        <v>2176</v>
      </c>
      <c r="B703" s="2" t="s">
        <v>2177</v>
      </c>
      <c r="C703" s="2" t="s">
        <v>2177</v>
      </c>
      <c r="D703" s="1">
        <v>7</v>
      </c>
      <c r="E703" s="2" t="s">
        <v>61</v>
      </c>
      <c r="F703" s="2" t="s">
        <v>2171</v>
      </c>
      <c r="G703" s="2" t="s">
        <v>2172</v>
      </c>
      <c r="H703" s="2" t="s">
        <v>2173</v>
      </c>
      <c r="I703" s="2"/>
      <c r="J703" s="25" t="s">
        <v>469</v>
      </c>
      <c r="K703" s="25" t="s">
        <v>470</v>
      </c>
      <c r="L703" s="25" t="s">
        <v>1262</v>
      </c>
      <c r="M703" s="25">
        <v>99</v>
      </c>
      <c r="N703" s="25" t="s">
        <v>2174</v>
      </c>
      <c r="O703" s="25">
        <v>87</v>
      </c>
      <c r="P703" s="25">
        <v>1</v>
      </c>
      <c r="Q703" s="25" t="s">
        <v>199</v>
      </c>
      <c r="R703" s="25" t="s">
        <v>32</v>
      </c>
      <c r="S703" s="25" t="s">
        <v>33</v>
      </c>
      <c r="T703" s="25" t="s">
        <v>2175</v>
      </c>
      <c r="U703" s="25" t="s">
        <v>4463</v>
      </c>
      <c r="V703" s="25" t="s">
        <v>4464</v>
      </c>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c r="BK703" s="25"/>
      <c r="BL703" s="25"/>
      <c r="BM703" s="25"/>
      <c r="BN703" s="25"/>
      <c r="BO703" s="25"/>
      <c r="BP703" s="25"/>
      <c r="BQ703" s="25"/>
      <c r="BR703" s="25"/>
      <c r="BS703" s="25"/>
      <c r="BT703" s="25"/>
      <c r="BU703" s="25"/>
      <c r="BV703" s="25"/>
      <c r="BW703" s="25"/>
      <c r="BX703" s="25"/>
      <c r="BY703" s="25"/>
      <c r="BZ703" s="25"/>
      <c r="CA703" s="25"/>
      <c r="CB703" s="25"/>
      <c r="CC703" s="25"/>
      <c r="CD703" s="25"/>
      <c r="CE703" s="25"/>
      <c r="CF703" s="25"/>
      <c r="CG703" s="25"/>
      <c r="CH703" s="25"/>
      <c r="CI703" s="25"/>
      <c r="CJ703" s="25"/>
      <c r="CK703" s="25"/>
      <c r="CL703" s="25"/>
      <c r="CM703" s="25"/>
      <c r="CN703" s="25"/>
      <c r="CO703" s="25"/>
      <c r="CP703" s="25"/>
      <c r="CQ703" s="25"/>
      <c r="CR703" s="25"/>
      <c r="CS703" s="25"/>
      <c r="CT703" s="25"/>
      <c r="CU703" s="25"/>
      <c r="CV703" s="25"/>
      <c r="CW703" s="25"/>
      <c r="CX703" s="25"/>
      <c r="CY703" s="25"/>
      <c r="CZ703" s="25"/>
      <c r="DA703" s="25"/>
      <c r="DB703" s="25"/>
      <c r="DC703" s="25"/>
      <c r="DD703" s="25"/>
      <c r="DE703" s="25"/>
      <c r="DF703" s="25"/>
      <c r="DG703" s="25"/>
      <c r="DH703" s="25"/>
    </row>
    <row r="704" spans="1:112" customFormat="1" ht="68" x14ac:dyDescent="0.2">
      <c r="A704" s="2" t="s">
        <v>2178</v>
      </c>
      <c r="B704" s="2" t="s">
        <v>2179</v>
      </c>
      <c r="C704" s="2" t="s">
        <v>2179</v>
      </c>
      <c r="D704" s="1">
        <v>7</v>
      </c>
      <c r="E704" s="2" t="s">
        <v>61</v>
      </c>
      <c r="F704" s="2" t="s">
        <v>2180</v>
      </c>
      <c r="G704" s="2" t="s">
        <v>2181</v>
      </c>
      <c r="H704" s="2" t="s">
        <v>688</v>
      </c>
      <c r="I704" s="2"/>
      <c r="J704" s="25" t="s">
        <v>469</v>
      </c>
      <c r="K704" s="25" t="s">
        <v>470</v>
      </c>
      <c r="L704" s="25" t="s">
        <v>1262</v>
      </c>
      <c r="M704" s="25">
        <v>99</v>
      </c>
      <c r="N704" s="25" t="s">
        <v>2182</v>
      </c>
      <c r="O704" s="25">
        <v>87</v>
      </c>
      <c r="P704" s="25">
        <v>2</v>
      </c>
      <c r="Q704" s="25">
        <v>0</v>
      </c>
      <c r="R704" s="25" t="s">
        <v>32</v>
      </c>
      <c r="S704" s="25" t="s">
        <v>33</v>
      </c>
      <c r="T704" s="25" t="s">
        <v>2183</v>
      </c>
      <c r="U704" s="25" t="s">
        <v>4465</v>
      </c>
      <c r="V704" s="25" t="s">
        <v>4466</v>
      </c>
      <c r="W704" s="25" t="s">
        <v>4467</v>
      </c>
      <c r="X704" s="25" t="s">
        <v>4468</v>
      </c>
      <c r="Y704" s="25" t="s">
        <v>4469</v>
      </c>
      <c r="Z704" s="25" t="s">
        <v>4470</v>
      </c>
      <c r="AA704" s="25" t="s">
        <v>4471</v>
      </c>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c r="BK704" s="25"/>
      <c r="BL704" s="25"/>
      <c r="BM704" s="25"/>
      <c r="BN704" s="25"/>
      <c r="BO704" s="25"/>
      <c r="BP704" s="25"/>
      <c r="BQ704" s="25"/>
      <c r="BR704" s="25"/>
      <c r="BS704" s="25"/>
      <c r="BT704" s="25"/>
      <c r="BU704" s="25"/>
      <c r="BV704" s="25"/>
      <c r="BW704" s="25"/>
      <c r="BX704" s="25"/>
      <c r="BY704" s="25"/>
      <c r="BZ704" s="25"/>
      <c r="CA704" s="25"/>
      <c r="CB704" s="25"/>
      <c r="CC704" s="25"/>
      <c r="CD704" s="25"/>
      <c r="CE704" s="25"/>
      <c r="CF704" s="25"/>
      <c r="CG704" s="25"/>
      <c r="CH704" s="25"/>
      <c r="CI704" s="25"/>
      <c r="CJ704" s="25"/>
      <c r="CK704" s="25"/>
      <c r="CL704" s="25"/>
      <c r="CM704" s="25"/>
      <c r="CN704" s="25"/>
      <c r="CO704" s="25"/>
      <c r="CP704" s="25"/>
      <c r="CQ704" s="25"/>
      <c r="CR704" s="25"/>
      <c r="CS704" s="25"/>
      <c r="CT704" s="25"/>
      <c r="CU704" s="25"/>
      <c r="CV704" s="25"/>
      <c r="CW704" s="25"/>
      <c r="CX704" s="25"/>
      <c r="CY704" s="25"/>
      <c r="CZ704" s="25"/>
      <c r="DA704" s="25"/>
      <c r="DB704" s="25"/>
      <c r="DC704" s="25"/>
      <c r="DD704" s="25"/>
      <c r="DE704" s="25"/>
      <c r="DF704" s="25"/>
      <c r="DG704" s="25"/>
      <c r="DH704" s="25"/>
    </row>
    <row r="705" spans="1:112" customFormat="1" ht="68" x14ac:dyDescent="0.2">
      <c r="A705" s="7" t="s">
        <v>5707</v>
      </c>
      <c r="B705" s="7" t="s">
        <v>5708</v>
      </c>
      <c r="C705" s="2" t="s">
        <v>5708</v>
      </c>
      <c r="D705" s="1">
        <v>7</v>
      </c>
      <c r="E705" s="2" t="s">
        <v>61</v>
      </c>
      <c r="F705" s="2" t="s">
        <v>2171</v>
      </c>
      <c r="G705" s="2" t="s">
        <v>2172</v>
      </c>
      <c r="H705" s="2" t="s">
        <v>2173</v>
      </c>
      <c r="I705" s="2"/>
      <c r="J705" s="34" t="s">
        <v>469</v>
      </c>
      <c r="K705" s="34" t="s">
        <v>470</v>
      </c>
      <c r="L705" s="34" t="s">
        <v>1262</v>
      </c>
      <c r="M705" s="34" t="s">
        <v>1094</v>
      </c>
      <c r="N705" s="34" t="s">
        <v>2186</v>
      </c>
      <c r="O705" s="34" t="s">
        <v>214</v>
      </c>
      <c r="P705" s="34" t="s">
        <v>52</v>
      </c>
      <c r="Q705" s="34" t="s">
        <v>41</v>
      </c>
      <c r="R705" s="34" t="s">
        <v>32</v>
      </c>
      <c r="S705" s="34" t="s">
        <v>33</v>
      </c>
      <c r="T705" s="34" t="s">
        <v>2187</v>
      </c>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c r="CA705" s="34"/>
      <c r="CB705" s="34"/>
      <c r="CC705" s="34"/>
      <c r="CD705" s="34"/>
      <c r="CE705" s="34"/>
      <c r="CF705" s="34"/>
      <c r="CG705" s="34"/>
      <c r="CH705" s="34"/>
      <c r="CI705" s="34"/>
      <c r="CJ705" s="34"/>
      <c r="CK705" s="34"/>
      <c r="CL705" s="34"/>
      <c r="CM705" s="34"/>
      <c r="CN705" s="34"/>
      <c r="CO705" s="34"/>
      <c r="CP705" s="34"/>
      <c r="CQ705" s="34"/>
      <c r="CR705" s="34"/>
      <c r="CS705" s="34"/>
      <c r="CT705" s="34"/>
      <c r="CU705" s="34"/>
      <c r="CV705" s="34"/>
      <c r="CW705" s="34"/>
      <c r="CX705" s="34"/>
      <c r="CY705" s="34"/>
      <c r="CZ705" s="34"/>
      <c r="DA705" s="34"/>
      <c r="DB705" s="34"/>
      <c r="DC705" s="34"/>
      <c r="DD705" s="34"/>
      <c r="DE705" s="34"/>
      <c r="DF705" s="34"/>
      <c r="DG705" s="34"/>
      <c r="DH705" s="34"/>
    </row>
    <row r="706" spans="1:112" customFormat="1" ht="68" x14ac:dyDescent="0.2">
      <c r="A706" s="2" t="s">
        <v>2184</v>
      </c>
      <c r="B706" s="2" t="s">
        <v>2185</v>
      </c>
      <c r="C706" s="2" t="s">
        <v>2185</v>
      </c>
      <c r="D706" s="1">
        <v>7</v>
      </c>
      <c r="E706" s="2" t="s">
        <v>61</v>
      </c>
      <c r="F706" s="2" t="s">
        <v>2171</v>
      </c>
      <c r="G706" s="2" t="s">
        <v>2172</v>
      </c>
      <c r="H706" s="2" t="s">
        <v>2173</v>
      </c>
      <c r="I706" s="2"/>
      <c r="J706" s="25" t="s">
        <v>469</v>
      </c>
      <c r="K706" s="25" t="s">
        <v>470</v>
      </c>
      <c r="L706" s="25" t="s">
        <v>1262</v>
      </c>
      <c r="M706" s="25">
        <v>99</v>
      </c>
      <c r="N706" s="25" t="s">
        <v>2186</v>
      </c>
      <c r="O706" s="25">
        <v>87</v>
      </c>
      <c r="P706" s="25">
        <v>3</v>
      </c>
      <c r="Q706" s="25" t="s">
        <v>199</v>
      </c>
      <c r="R706" s="25" t="s">
        <v>32</v>
      </c>
      <c r="S706" s="25" t="s">
        <v>33</v>
      </c>
      <c r="T706" s="25" t="s">
        <v>2187</v>
      </c>
      <c r="U706" s="25" t="s">
        <v>292</v>
      </c>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c r="BK706" s="25"/>
      <c r="BL706" s="25"/>
      <c r="BM706" s="25"/>
      <c r="BN706" s="25"/>
      <c r="BO706" s="25"/>
      <c r="BP706" s="25"/>
      <c r="BQ706" s="25"/>
      <c r="BR706" s="25"/>
      <c r="BS706" s="25"/>
      <c r="BT706" s="25"/>
      <c r="BU706" s="25"/>
      <c r="BV706" s="25"/>
      <c r="BW706" s="25"/>
      <c r="BX706" s="25"/>
      <c r="BY706" s="25"/>
      <c r="BZ706" s="25"/>
      <c r="CA706" s="25"/>
      <c r="CB706" s="25"/>
      <c r="CC706" s="25"/>
      <c r="CD706" s="25"/>
      <c r="CE706" s="25"/>
      <c r="CF706" s="25"/>
      <c r="CG706" s="25"/>
      <c r="CH706" s="25"/>
      <c r="CI706" s="25"/>
      <c r="CJ706" s="25"/>
      <c r="CK706" s="25"/>
      <c r="CL706" s="25"/>
      <c r="CM706" s="25"/>
      <c r="CN706" s="25"/>
      <c r="CO706" s="25"/>
      <c r="CP706" s="25"/>
      <c r="CQ706" s="25"/>
      <c r="CR706" s="25"/>
      <c r="CS706" s="25"/>
      <c r="CT706" s="25"/>
      <c r="CU706" s="25"/>
      <c r="CV706" s="25"/>
      <c r="CW706" s="25"/>
      <c r="CX706" s="25"/>
      <c r="CY706" s="25"/>
      <c r="CZ706" s="25"/>
      <c r="DA706" s="25"/>
      <c r="DB706" s="25"/>
      <c r="DC706" s="25"/>
      <c r="DD706" s="25"/>
      <c r="DE706" s="25"/>
      <c r="DF706" s="25"/>
      <c r="DG706" s="25"/>
      <c r="DH706" s="25"/>
    </row>
    <row r="707" spans="1:112" customFormat="1" ht="136" x14ac:dyDescent="0.2">
      <c r="A707" s="7" t="s">
        <v>5611</v>
      </c>
      <c r="B707" s="7" t="s">
        <v>5612</v>
      </c>
      <c r="C707" s="2" t="s">
        <v>5612</v>
      </c>
      <c r="D707" s="5">
        <v>5</v>
      </c>
      <c r="E707" s="6" t="s">
        <v>23</v>
      </c>
      <c r="F707" s="6"/>
      <c r="G707" s="6" t="s">
        <v>2190</v>
      </c>
      <c r="H707" s="6" t="s">
        <v>6054</v>
      </c>
      <c r="I707" s="2" t="s">
        <v>6803</v>
      </c>
      <c r="J707" s="34" t="s">
        <v>763</v>
      </c>
      <c r="K707" s="34" t="s">
        <v>764</v>
      </c>
      <c r="L707" s="34" t="s">
        <v>2393</v>
      </c>
      <c r="M707" s="34" t="s">
        <v>765</v>
      </c>
      <c r="N707" s="34" t="s">
        <v>5613</v>
      </c>
      <c r="O707" s="34" t="s">
        <v>848</v>
      </c>
      <c r="P707" s="34" t="s">
        <v>1238</v>
      </c>
      <c r="Q707" s="34" t="s">
        <v>41</v>
      </c>
      <c r="R707" s="34" t="s">
        <v>32</v>
      </c>
      <c r="S707" s="34" t="s">
        <v>33</v>
      </c>
      <c r="T707" s="34" t="s">
        <v>5614</v>
      </c>
      <c r="U707" s="34" t="s">
        <v>5615</v>
      </c>
      <c r="V707" s="34" t="s">
        <v>5615</v>
      </c>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c r="CA707" s="34"/>
      <c r="CB707" s="34"/>
      <c r="CC707" s="34"/>
      <c r="CD707" s="34"/>
      <c r="CE707" s="34"/>
      <c r="CF707" s="34"/>
      <c r="CG707" s="34"/>
      <c r="CH707" s="34"/>
      <c r="CI707" s="34"/>
      <c r="CJ707" s="34"/>
      <c r="CK707" s="34"/>
      <c r="CL707" s="34"/>
      <c r="CM707" s="34"/>
      <c r="CN707" s="34"/>
      <c r="CO707" s="34"/>
      <c r="CP707" s="34"/>
      <c r="CQ707" s="34"/>
      <c r="CR707" s="34"/>
      <c r="CS707" s="34"/>
      <c r="CT707" s="34"/>
      <c r="CU707" s="34"/>
      <c r="CV707" s="34"/>
      <c r="CW707" s="34"/>
      <c r="CX707" s="34"/>
      <c r="CY707" s="34"/>
      <c r="CZ707" s="34"/>
      <c r="DA707" s="34"/>
      <c r="DB707" s="34"/>
      <c r="DC707" s="34"/>
      <c r="DD707" s="34"/>
      <c r="DE707" s="34"/>
      <c r="DF707" s="34"/>
      <c r="DG707" s="34"/>
      <c r="DH707" s="34"/>
    </row>
    <row r="708" spans="1:112" customFormat="1" ht="102" x14ac:dyDescent="0.2">
      <c r="A708" s="2" t="s">
        <v>2188</v>
      </c>
      <c r="B708" s="2" t="s">
        <v>2189</v>
      </c>
      <c r="C708" s="2" t="s">
        <v>2189</v>
      </c>
      <c r="D708" s="1">
        <v>5</v>
      </c>
      <c r="E708" s="2" t="s">
        <v>23</v>
      </c>
      <c r="F708" s="2"/>
      <c r="G708" s="2" t="s">
        <v>2190</v>
      </c>
      <c r="H708" s="2" t="s">
        <v>1146</v>
      </c>
      <c r="I708" s="2" t="s">
        <v>699</v>
      </c>
      <c r="J708" s="25" t="s">
        <v>144</v>
      </c>
      <c r="K708" s="25" t="s">
        <v>144</v>
      </c>
      <c r="L708" s="25" t="s">
        <v>700</v>
      </c>
      <c r="M708" s="25" t="s">
        <v>701</v>
      </c>
      <c r="N708" s="25" t="s">
        <v>2191</v>
      </c>
      <c r="O708" s="25" t="s">
        <v>183</v>
      </c>
      <c r="P708" s="25" t="s">
        <v>159</v>
      </c>
      <c r="Q708" s="25" t="s">
        <v>41</v>
      </c>
      <c r="R708" s="25" t="s">
        <v>32</v>
      </c>
      <c r="S708" s="25" t="s">
        <v>33</v>
      </c>
      <c r="T708" s="25" t="s">
        <v>2192</v>
      </c>
      <c r="U708" s="25" t="s">
        <v>4472</v>
      </c>
      <c r="V708" s="25" t="s">
        <v>4473</v>
      </c>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c r="BK708" s="25"/>
      <c r="BL708" s="25"/>
      <c r="BM708" s="25"/>
      <c r="BN708" s="25"/>
      <c r="BO708" s="25"/>
      <c r="BP708" s="25"/>
      <c r="BQ708" s="25"/>
      <c r="BR708" s="25"/>
      <c r="BS708" s="25"/>
      <c r="BT708" s="25"/>
      <c r="BU708" s="25"/>
      <c r="BV708" s="25"/>
      <c r="BW708" s="25"/>
      <c r="BX708" s="25"/>
      <c r="BY708" s="25"/>
      <c r="BZ708" s="25"/>
      <c r="CA708" s="25"/>
      <c r="CB708" s="25"/>
      <c r="CC708" s="25"/>
      <c r="CD708" s="25"/>
      <c r="CE708" s="25"/>
      <c r="CF708" s="25"/>
      <c r="CG708" s="25"/>
      <c r="CH708" s="25"/>
      <c r="CI708" s="25"/>
      <c r="CJ708" s="25"/>
      <c r="CK708" s="25"/>
      <c r="CL708" s="25"/>
      <c r="CM708" s="25"/>
      <c r="CN708" s="25"/>
      <c r="CO708" s="25"/>
      <c r="CP708" s="25"/>
      <c r="CQ708" s="25"/>
      <c r="CR708" s="25"/>
      <c r="CS708" s="25"/>
      <c r="CT708" s="25"/>
      <c r="CU708" s="25"/>
      <c r="CV708" s="25"/>
      <c r="CW708" s="25"/>
      <c r="CX708" s="25"/>
      <c r="CY708" s="25"/>
      <c r="CZ708" s="25"/>
      <c r="DA708" s="25"/>
      <c r="DB708" s="25"/>
      <c r="DC708" s="25"/>
      <c r="DD708" s="25"/>
      <c r="DE708" s="25"/>
      <c r="DF708" s="25"/>
      <c r="DG708" s="25"/>
      <c r="DH708" s="25"/>
    </row>
    <row r="709" spans="1:112" customFormat="1" ht="102" x14ac:dyDescent="0.2">
      <c r="A709" s="2" t="s">
        <v>2193</v>
      </c>
      <c r="B709" s="2" t="s">
        <v>2194</v>
      </c>
      <c r="C709" s="2" t="s">
        <v>2194</v>
      </c>
      <c r="D709" s="1">
        <v>5</v>
      </c>
      <c r="E709" s="2" t="s">
        <v>23</v>
      </c>
      <c r="F709" s="2"/>
      <c r="G709" s="2" t="s">
        <v>2190</v>
      </c>
      <c r="H709" s="2" t="s">
        <v>1146</v>
      </c>
      <c r="I709" s="2" t="s">
        <v>699</v>
      </c>
      <c r="J709" s="25" t="s">
        <v>144</v>
      </c>
      <c r="K709" s="25" t="s">
        <v>144</v>
      </c>
      <c r="L709" s="25" t="s">
        <v>700</v>
      </c>
      <c r="M709" s="25" t="s">
        <v>701</v>
      </c>
      <c r="N709" s="25" t="s">
        <v>2191</v>
      </c>
      <c r="O709" s="25" t="s">
        <v>183</v>
      </c>
      <c r="P709" s="25" t="s">
        <v>159</v>
      </c>
      <c r="Q709" s="25" t="s">
        <v>199</v>
      </c>
      <c r="R709" s="25" t="s">
        <v>32</v>
      </c>
      <c r="S709" s="25" t="s">
        <v>33</v>
      </c>
      <c r="T709" s="25" t="s">
        <v>2192</v>
      </c>
      <c r="U709" s="25" t="s">
        <v>4472</v>
      </c>
      <c r="V709" s="25" t="s">
        <v>4473</v>
      </c>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c r="BK709" s="25"/>
      <c r="BL709" s="25"/>
      <c r="BM709" s="25"/>
      <c r="BN709" s="25"/>
      <c r="BO709" s="25"/>
      <c r="BP709" s="25"/>
      <c r="BQ709" s="25"/>
      <c r="BR709" s="25"/>
      <c r="BS709" s="25"/>
      <c r="BT709" s="25"/>
      <c r="BU709" s="25"/>
      <c r="BV709" s="25"/>
      <c r="BW709" s="25"/>
      <c r="BX709" s="25"/>
      <c r="BY709" s="25"/>
      <c r="BZ709" s="25"/>
      <c r="CA709" s="25"/>
      <c r="CB709" s="25"/>
      <c r="CC709" s="25"/>
      <c r="CD709" s="25"/>
      <c r="CE709" s="25"/>
      <c r="CF709" s="25"/>
      <c r="CG709" s="25"/>
      <c r="CH709" s="25"/>
      <c r="CI709" s="25"/>
      <c r="CJ709" s="25"/>
      <c r="CK709" s="25"/>
      <c r="CL709" s="25"/>
      <c r="CM709" s="25"/>
      <c r="CN709" s="25"/>
      <c r="CO709" s="25"/>
      <c r="CP709" s="25"/>
      <c r="CQ709" s="25"/>
      <c r="CR709" s="25"/>
      <c r="CS709" s="25"/>
      <c r="CT709" s="25"/>
      <c r="CU709" s="25"/>
      <c r="CV709" s="25"/>
      <c r="CW709" s="25"/>
      <c r="CX709" s="25"/>
      <c r="CY709" s="25"/>
      <c r="CZ709" s="25"/>
      <c r="DA709" s="25"/>
      <c r="DB709" s="25"/>
      <c r="DC709" s="25"/>
      <c r="DD709" s="25"/>
      <c r="DE709" s="25"/>
      <c r="DF709" s="25"/>
      <c r="DG709" s="25"/>
      <c r="DH709" s="25"/>
    </row>
    <row r="710" spans="1:112" customFormat="1" ht="102" x14ac:dyDescent="0.2">
      <c r="A710" s="2" t="s">
        <v>2195</v>
      </c>
      <c r="B710" s="2" t="s">
        <v>2196</v>
      </c>
      <c r="C710" s="2" t="s">
        <v>2196</v>
      </c>
      <c r="D710" s="1">
        <v>5</v>
      </c>
      <c r="E710" s="2" t="s">
        <v>971</v>
      </c>
      <c r="F710" s="2"/>
      <c r="G710" s="2" t="s">
        <v>2190</v>
      </c>
      <c r="H710" s="2" t="s">
        <v>410</v>
      </c>
      <c r="I710" s="2" t="s">
        <v>699</v>
      </c>
      <c r="J710" s="25" t="s">
        <v>144</v>
      </c>
      <c r="K710" s="25" t="s">
        <v>144</v>
      </c>
      <c r="L710" s="25" t="s">
        <v>708</v>
      </c>
      <c r="M710" s="25" t="s">
        <v>709</v>
      </c>
      <c r="N710" s="25" t="s">
        <v>2197</v>
      </c>
      <c r="O710" s="25" t="s">
        <v>183</v>
      </c>
      <c r="P710" s="25" t="s">
        <v>540</v>
      </c>
      <c r="Q710" s="25" t="s">
        <v>41</v>
      </c>
      <c r="R710" s="25" t="s">
        <v>32</v>
      </c>
      <c r="S710" s="25" t="s">
        <v>33</v>
      </c>
      <c r="T710" s="25" t="s">
        <v>2198</v>
      </c>
      <c r="U710" s="25" t="s">
        <v>4474</v>
      </c>
      <c r="V710" s="25" t="s">
        <v>4475</v>
      </c>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c r="BK710" s="25"/>
      <c r="BL710" s="25"/>
      <c r="BM710" s="25"/>
      <c r="BN710" s="25"/>
      <c r="BO710" s="25"/>
      <c r="BP710" s="25"/>
      <c r="BQ710" s="25"/>
      <c r="BR710" s="25"/>
      <c r="BS710" s="25"/>
      <c r="BT710" s="25"/>
      <c r="BU710" s="25"/>
      <c r="BV710" s="25"/>
      <c r="BW710" s="25"/>
      <c r="BX710" s="25"/>
      <c r="BY710" s="25"/>
      <c r="BZ710" s="25"/>
      <c r="CA710" s="25"/>
      <c r="CB710" s="25"/>
      <c r="CC710" s="25"/>
      <c r="CD710" s="25"/>
      <c r="CE710" s="25"/>
      <c r="CF710" s="25"/>
      <c r="CG710" s="25"/>
      <c r="CH710" s="25"/>
      <c r="CI710" s="25"/>
      <c r="CJ710" s="25"/>
      <c r="CK710" s="25"/>
      <c r="CL710" s="25"/>
      <c r="CM710" s="25"/>
      <c r="CN710" s="25"/>
      <c r="CO710" s="25"/>
      <c r="CP710" s="25"/>
      <c r="CQ710" s="25"/>
      <c r="CR710" s="25"/>
      <c r="CS710" s="25"/>
      <c r="CT710" s="25"/>
      <c r="CU710" s="25"/>
      <c r="CV710" s="25"/>
      <c r="CW710" s="25"/>
      <c r="CX710" s="25"/>
      <c r="CY710" s="25"/>
      <c r="CZ710" s="25"/>
      <c r="DA710" s="25"/>
      <c r="DB710" s="25"/>
      <c r="DC710" s="25"/>
      <c r="DD710" s="25"/>
      <c r="DE710" s="25"/>
      <c r="DF710" s="25"/>
      <c r="DG710" s="25"/>
      <c r="DH710" s="25"/>
    </row>
    <row r="711" spans="1:112" customFormat="1" ht="102" x14ac:dyDescent="0.2">
      <c r="A711" s="2" t="s">
        <v>2199</v>
      </c>
      <c r="B711" s="2" t="s">
        <v>2200</v>
      </c>
      <c r="C711" s="2" t="s">
        <v>2200</v>
      </c>
      <c r="D711" s="1">
        <v>5</v>
      </c>
      <c r="E711" s="2" t="s">
        <v>971</v>
      </c>
      <c r="F711" s="2"/>
      <c r="G711" s="2" t="s">
        <v>2190</v>
      </c>
      <c r="H711" s="2" t="s">
        <v>410</v>
      </c>
      <c r="I711" s="2" t="s">
        <v>699</v>
      </c>
      <c r="J711" s="25" t="s">
        <v>144</v>
      </c>
      <c r="K711" s="25" t="s">
        <v>144</v>
      </c>
      <c r="L711" s="25" t="s">
        <v>708</v>
      </c>
      <c r="M711" s="25" t="s">
        <v>709</v>
      </c>
      <c r="N711" s="25" t="s">
        <v>2197</v>
      </c>
      <c r="O711" s="25" t="s">
        <v>183</v>
      </c>
      <c r="P711" s="25" t="s">
        <v>540</v>
      </c>
      <c r="Q711" s="25" t="s">
        <v>199</v>
      </c>
      <c r="R711" s="25" t="s">
        <v>32</v>
      </c>
      <c r="S711" s="25" t="s">
        <v>33</v>
      </c>
      <c r="T711" s="25" t="s">
        <v>2198</v>
      </c>
      <c r="U711" s="25" t="s">
        <v>4474</v>
      </c>
      <c r="V711" s="25" t="s">
        <v>4475</v>
      </c>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c r="BK711" s="25"/>
      <c r="BL711" s="25"/>
      <c r="BM711" s="25"/>
      <c r="BN711" s="25"/>
      <c r="BO711" s="25"/>
      <c r="BP711" s="25"/>
      <c r="BQ711" s="25"/>
      <c r="BR711" s="25"/>
      <c r="BS711" s="25"/>
      <c r="BT711" s="25"/>
      <c r="BU711" s="25"/>
      <c r="BV711" s="25"/>
      <c r="BW711" s="25"/>
      <c r="BX711" s="25"/>
      <c r="BY711" s="25"/>
      <c r="BZ711" s="25"/>
      <c r="CA711" s="25"/>
      <c r="CB711" s="25"/>
      <c r="CC711" s="25"/>
      <c r="CD711" s="25"/>
      <c r="CE711" s="25"/>
      <c r="CF711" s="25"/>
      <c r="CG711" s="25"/>
      <c r="CH711" s="25"/>
      <c r="CI711" s="25"/>
      <c r="CJ711" s="25"/>
      <c r="CK711" s="25"/>
      <c r="CL711" s="25"/>
      <c r="CM711" s="25"/>
      <c r="CN711" s="25"/>
      <c r="CO711" s="25"/>
      <c r="CP711" s="25"/>
      <c r="CQ711" s="25"/>
      <c r="CR711" s="25"/>
      <c r="CS711" s="25"/>
      <c r="CT711" s="25"/>
      <c r="CU711" s="25"/>
      <c r="CV711" s="25"/>
      <c r="CW711" s="25"/>
      <c r="CX711" s="25"/>
      <c r="CY711" s="25"/>
      <c r="CZ711" s="25"/>
      <c r="DA711" s="25"/>
      <c r="DB711" s="25"/>
      <c r="DC711" s="25"/>
      <c r="DD711" s="25"/>
      <c r="DE711" s="25"/>
      <c r="DF711" s="25"/>
      <c r="DG711" s="25"/>
      <c r="DH711" s="25"/>
    </row>
    <row r="712" spans="1:112" customFormat="1" ht="85" x14ac:dyDescent="0.2">
      <c r="A712" s="2" t="s">
        <v>2201</v>
      </c>
      <c r="B712" s="2" t="s">
        <v>2202</v>
      </c>
      <c r="C712" s="2" t="s">
        <v>2202</v>
      </c>
      <c r="D712" s="1">
        <v>5</v>
      </c>
      <c r="E712" s="2" t="s">
        <v>2203</v>
      </c>
      <c r="F712" s="2" t="s">
        <v>2204</v>
      </c>
      <c r="G712" s="2" t="s">
        <v>2190</v>
      </c>
      <c r="H712" s="2" t="s">
        <v>492</v>
      </c>
      <c r="I712" s="2" t="s">
        <v>2205</v>
      </c>
      <c r="J712" s="25" t="s">
        <v>469</v>
      </c>
      <c r="K712" s="25" t="s">
        <v>470</v>
      </c>
      <c r="L712" s="25" t="s">
        <v>1781</v>
      </c>
      <c r="M712" s="25" t="s">
        <v>1782</v>
      </c>
      <c r="N712" s="25" t="s">
        <v>2206</v>
      </c>
      <c r="O712" s="25" t="s">
        <v>1782</v>
      </c>
      <c r="P712" s="25" t="s">
        <v>68</v>
      </c>
      <c r="Q712" s="25" t="s">
        <v>41</v>
      </c>
      <c r="R712" s="25" t="s">
        <v>32</v>
      </c>
      <c r="S712" s="25" t="s">
        <v>33</v>
      </c>
      <c r="T712" s="25" t="s">
        <v>2207</v>
      </c>
      <c r="U712" s="25" t="s">
        <v>2208</v>
      </c>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c r="BK712" s="25"/>
      <c r="BL712" s="25"/>
      <c r="BM712" s="25"/>
      <c r="BN712" s="25"/>
      <c r="BO712" s="25"/>
      <c r="BP712" s="25"/>
      <c r="BQ712" s="25"/>
      <c r="BR712" s="25"/>
      <c r="BS712" s="25"/>
      <c r="BT712" s="25"/>
      <c r="BU712" s="25"/>
      <c r="BV712" s="25"/>
      <c r="BW712" s="25"/>
      <c r="BX712" s="25"/>
      <c r="BY712" s="25"/>
      <c r="BZ712" s="25"/>
      <c r="CA712" s="25"/>
      <c r="CB712" s="25"/>
      <c r="CC712" s="25"/>
      <c r="CD712" s="25"/>
      <c r="CE712" s="25"/>
      <c r="CF712" s="25"/>
      <c r="CG712" s="25"/>
      <c r="CH712" s="25"/>
      <c r="CI712" s="25"/>
      <c r="CJ712" s="25"/>
      <c r="CK712" s="25"/>
      <c r="CL712" s="25"/>
      <c r="CM712" s="25"/>
      <c r="CN712" s="25"/>
      <c r="CO712" s="25"/>
      <c r="CP712" s="25"/>
      <c r="CQ712" s="25"/>
      <c r="CR712" s="25"/>
      <c r="CS712" s="25"/>
      <c r="CT712" s="25"/>
      <c r="CU712" s="25"/>
      <c r="CV712" s="25"/>
      <c r="CW712" s="25"/>
      <c r="CX712" s="25"/>
      <c r="CY712" s="25"/>
      <c r="CZ712" s="25"/>
      <c r="DA712" s="25"/>
      <c r="DB712" s="25"/>
      <c r="DC712" s="25"/>
      <c r="DD712" s="25"/>
      <c r="DE712" s="25"/>
      <c r="DF712" s="25"/>
      <c r="DG712" s="25"/>
      <c r="DH712" s="25"/>
    </row>
    <row r="713" spans="1:112" customFormat="1" ht="85" x14ac:dyDescent="0.2">
      <c r="A713" s="2" t="s">
        <v>2209</v>
      </c>
      <c r="B713" s="2" t="s">
        <v>2210</v>
      </c>
      <c r="C713" s="2" t="s">
        <v>2210</v>
      </c>
      <c r="D713" s="1">
        <v>5</v>
      </c>
      <c r="E713" s="2" t="s">
        <v>2203</v>
      </c>
      <c r="F713" s="2" t="s">
        <v>2204</v>
      </c>
      <c r="G713" s="2" t="s">
        <v>2190</v>
      </c>
      <c r="H713" s="2" t="s">
        <v>492</v>
      </c>
      <c r="I713" s="2" t="s">
        <v>2205</v>
      </c>
      <c r="J713" s="25" t="s">
        <v>469</v>
      </c>
      <c r="K713" s="25" t="s">
        <v>470</v>
      </c>
      <c r="L713" s="25" t="s">
        <v>1781</v>
      </c>
      <c r="M713" s="25" t="s">
        <v>1782</v>
      </c>
      <c r="N713" s="25" t="s">
        <v>2211</v>
      </c>
      <c r="O713" s="25" t="s">
        <v>1782</v>
      </c>
      <c r="P713" s="25" t="s">
        <v>177</v>
      </c>
      <c r="Q713" s="25" t="s">
        <v>41</v>
      </c>
      <c r="R713" s="25" t="s">
        <v>32</v>
      </c>
      <c r="S713" s="25" t="s">
        <v>33</v>
      </c>
      <c r="T713" s="25" t="s">
        <v>2212</v>
      </c>
      <c r="U713" s="25" t="s">
        <v>2213</v>
      </c>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c r="BK713" s="25"/>
      <c r="BL713" s="25"/>
      <c r="BM713" s="25"/>
      <c r="BN713" s="25"/>
      <c r="BO713" s="25"/>
      <c r="BP713" s="25"/>
      <c r="BQ713" s="25"/>
      <c r="BR713" s="25"/>
      <c r="BS713" s="25"/>
      <c r="BT713" s="25"/>
      <c r="BU713" s="25"/>
      <c r="BV713" s="25"/>
      <c r="BW713" s="25"/>
      <c r="BX713" s="25"/>
      <c r="BY713" s="25"/>
      <c r="BZ713" s="25"/>
      <c r="CA713" s="25"/>
      <c r="CB713" s="25"/>
      <c r="CC713" s="25"/>
      <c r="CD713" s="25"/>
      <c r="CE713" s="25"/>
      <c r="CF713" s="25"/>
      <c r="CG713" s="25"/>
      <c r="CH713" s="25"/>
      <c r="CI713" s="25"/>
      <c r="CJ713" s="25"/>
      <c r="CK713" s="25"/>
      <c r="CL713" s="25"/>
      <c r="CM713" s="25"/>
      <c r="CN713" s="25"/>
      <c r="CO713" s="25"/>
      <c r="CP713" s="25"/>
      <c r="CQ713" s="25"/>
      <c r="CR713" s="25"/>
      <c r="CS713" s="25"/>
      <c r="CT713" s="25"/>
      <c r="CU713" s="25"/>
      <c r="CV713" s="25"/>
      <c r="CW713" s="25"/>
      <c r="CX713" s="25"/>
      <c r="CY713" s="25"/>
      <c r="CZ713" s="25"/>
      <c r="DA713" s="25"/>
      <c r="DB713" s="25"/>
      <c r="DC713" s="25"/>
      <c r="DD713" s="25"/>
      <c r="DE713" s="25"/>
      <c r="DF713" s="25"/>
      <c r="DG713" s="25"/>
      <c r="DH713" s="25"/>
    </row>
    <row r="714" spans="1:112" customFormat="1" ht="102" x14ac:dyDescent="0.2">
      <c r="A714" s="2" t="s">
        <v>2214</v>
      </c>
      <c r="B714" s="2" t="s">
        <v>2215</v>
      </c>
      <c r="C714" s="2" t="s">
        <v>2215</v>
      </c>
      <c r="D714" s="1">
        <v>5</v>
      </c>
      <c r="E714" s="2" t="s">
        <v>23</v>
      </c>
      <c r="F714" s="2"/>
      <c r="G714" s="2" t="s">
        <v>2190</v>
      </c>
      <c r="H714" s="2" t="s">
        <v>1146</v>
      </c>
      <c r="I714" s="2" t="s">
        <v>2216</v>
      </c>
      <c r="J714" s="25" t="s">
        <v>1761</v>
      </c>
      <c r="K714" s="25" t="s">
        <v>1819</v>
      </c>
      <c r="L714" s="25" t="s">
        <v>1819</v>
      </c>
      <c r="M714" s="25" t="s">
        <v>1820</v>
      </c>
      <c r="N714" s="25" t="s">
        <v>2217</v>
      </c>
      <c r="O714" s="25" t="s">
        <v>2218</v>
      </c>
      <c r="P714" s="25" t="s">
        <v>30</v>
      </c>
      <c r="Q714" s="25" t="s">
        <v>41</v>
      </c>
      <c r="R714" s="25" t="s">
        <v>32</v>
      </c>
      <c r="S714" s="25" t="s">
        <v>33</v>
      </c>
      <c r="T714" s="25" t="s">
        <v>2219</v>
      </c>
      <c r="U714" s="25" t="s">
        <v>4476</v>
      </c>
      <c r="V714" s="25" t="s">
        <v>4477</v>
      </c>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c r="BK714" s="25"/>
      <c r="BL714" s="25"/>
      <c r="BM714" s="25"/>
      <c r="BN714" s="25"/>
      <c r="BO714" s="25"/>
      <c r="BP714" s="25"/>
      <c r="BQ714" s="25"/>
      <c r="BR714" s="25"/>
      <c r="BS714" s="25"/>
      <c r="BT714" s="25"/>
      <c r="BU714" s="25"/>
      <c r="BV714" s="25"/>
      <c r="BW714" s="25"/>
      <c r="BX714" s="25"/>
      <c r="BY714" s="25"/>
      <c r="BZ714" s="25"/>
      <c r="CA714" s="25"/>
      <c r="CB714" s="25"/>
      <c r="CC714" s="25"/>
      <c r="CD714" s="25"/>
      <c r="CE714" s="25"/>
      <c r="CF714" s="25"/>
      <c r="CG714" s="25"/>
      <c r="CH714" s="25"/>
      <c r="CI714" s="25"/>
      <c r="CJ714" s="25"/>
      <c r="CK714" s="25"/>
      <c r="CL714" s="25"/>
      <c r="CM714" s="25"/>
      <c r="CN714" s="25"/>
      <c r="CO714" s="25"/>
      <c r="CP714" s="25"/>
      <c r="CQ714" s="25"/>
      <c r="CR714" s="25"/>
      <c r="CS714" s="25"/>
      <c r="CT714" s="25"/>
      <c r="CU714" s="25"/>
      <c r="CV714" s="25"/>
      <c r="CW714" s="25"/>
      <c r="CX714" s="25"/>
      <c r="CY714" s="25"/>
      <c r="CZ714" s="25"/>
      <c r="DA714" s="25"/>
      <c r="DB714" s="25"/>
      <c r="DC714" s="25"/>
      <c r="DD714" s="25"/>
      <c r="DE714" s="25"/>
      <c r="DF714" s="25"/>
      <c r="DG714" s="25"/>
      <c r="DH714" s="25"/>
    </row>
    <row r="715" spans="1:112" customFormat="1" ht="102" x14ac:dyDescent="0.2">
      <c r="A715" s="2" t="s">
        <v>2220</v>
      </c>
      <c r="B715" s="2" t="s">
        <v>2221</v>
      </c>
      <c r="C715" s="2" t="s">
        <v>2221</v>
      </c>
      <c r="D715" s="1">
        <v>5</v>
      </c>
      <c r="E715" s="2" t="s">
        <v>23</v>
      </c>
      <c r="F715" s="2"/>
      <c r="G715" s="2" t="s">
        <v>2190</v>
      </c>
      <c r="H715" s="2" t="s">
        <v>1146</v>
      </c>
      <c r="I715" s="2" t="s">
        <v>2216</v>
      </c>
      <c r="J715" s="25" t="s">
        <v>1761</v>
      </c>
      <c r="K715" s="25" t="s">
        <v>1819</v>
      </c>
      <c r="L715" s="25" t="s">
        <v>1819</v>
      </c>
      <c r="M715" s="25" t="s">
        <v>1820</v>
      </c>
      <c r="N715" s="25" t="s">
        <v>2217</v>
      </c>
      <c r="O715" s="25" t="s">
        <v>2218</v>
      </c>
      <c r="P715" s="25" t="s">
        <v>30</v>
      </c>
      <c r="Q715" s="25" t="s">
        <v>199</v>
      </c>
      <c r="R715" s="25" t="s">
        <v>32</v>
      </c>
      <c r="S715" s="25" t="s">
        <v>33</v>
      </c>
      <c r="T715" s="25" t="s">
        <v>2219</v>
      </c>
      <c r="U715" s="25" t="s">
        <v>4476</v>
      </c>
      <c r="V715" s="25" t="s">
        <v>4477</v>
      </c>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c r="BK715" s="25"/>
      <c r="BL715" s="25"/>
      <c r="BM715" s="25"/>
      <c r="BN715" s="25"/>
      <c r="BO715" s="25"/>
      <c r="BP715" s="25"/>
      <c r="BQ715" s="25"/>
      <c r="BR715" s="25"/>
      <c r="BS715" s="25"/>
      <c r="BT715" s="25"/>
      <c r="BU715" s="25"/>
      <c r="BV715" s="25"/>
      <c r="BW715" s="25"/>
      <c r="BX715" s="25"/>
      <c r="BY715" s="25"/>
      <c r="BZ715" s="25"/>
      <c r="CA715" s="25"/>
      <c r="CB715" s="25"/>
      <c r="CC715" s="25"/>
      <c r="CD715" s="25"/>
      <c r="CE715" s="25"/>
      <c r="CF715" s="25"/>
      <c r="CG715" s="25"/>
      <c r="CH715" s="25"/>
      <c r="CI715" s="25"/>
      <c r="CJ715" s="25"/>
      <c r="CK715" s="25"/>
      <c r="CL715" s="25"/>
      <c r="CM715" s="25"/>
      <c r="CN715" s="25"/>
      <c r="CO715" s="25"/>
      <c r="CP715" s="25"/>
      <c r="CQ715" s="25"/>
      <c r="CR715" s="25"/>
      <c r="CS715" s="25"/>
      <c r="CT715" s="25"/>
      <c r="CU715" s="25"/>
      <c r="CV715" s="25"/>
      <c r="CW715" s="25"/>
      <c r="CX715" s="25"/>
      <c r="CY715" s="25"/>
      <c r="CZ715" s="25"/>
      <c r="DA715" s="25"/>
      <c r="DB715" s="25"/>
      <c r="DC715" s="25"/>
      <c r="DD715" s="25"/>
      <c r="DE715" s="25"/>
      <c r="DF715" s="25"/>
      <c r="DG715" s="25"/>
      <c r="DH715" s="25"/>
    </row>
    <row r="716" spans="1:112" customFormat="1" ht="102" x14ac:dyDescent="0.2">
      <c r="A716" s="2" t="s">
        <v>2222</v>
      </c>
      <c r="B716" s="2" t="s">
        <v>2223</v>
      </c>
      <c r="C716" s="2" t="s">
        <v>2224</v>
      </c>
      <c r="D716" s="1">
        <v>5</v>
      </c>
      <c r="E716" s="2" t="s">
        <v>23</v>
      </c>
      <c r="F716" s="2"/>
      <c r="G716" s="2" t="s">
        <v>2190</v>
      </c>
      <c r="H716" s="2" t="s">
        <v>1146</v>
      </c>
      <c r="I716" s="2" t="s">
        <v>2216</v>
      </c>
      <c r="J716" s="25" t="s">
        <v>1007</v>
      </c>
      <c r="K716" s="25" t="s">
        <v>1008</v>
      </c>
      <c r="L716" s="25" t="s">
        <v>1008</v>
      </c>
      <c r="M716" s="25" t="s">
        <v>1827</v>
      </c>
      <c r="N716" s="25" t="s">
        <v>2225</v>
      </c>
      <c r="O716" s="25" t="s">
        <v>2218</v>
      </c>
      <c r="P716" s="25" t="s">
        <v>40</v>
      </c>
      <c r="Q716" s="25" t="s">
        <v>41</v>
      </c>
      <c r="R716" s="25" t="s">
        <v>32</v>
      </c>
      <c r="S716" s="25" t="s">
        <v>33</v>
      </c>
      <c r="T716" s="25" t="s">
        <v>2226</v>
      </c>
      <c r="U716" s="25" t="s">
        <v>4478</v>
      </c>
      <c r="V716" s="25" t="s">
        <v>4479</v>
      </c>
      <c r="W716" s="25" t="s">
        <v>4480</v>
      </c>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c r="BK716" s="25"/>
      <c r="BL716" s="25"/>
      <c r="BM716" s="25"/>
      <c r="BN716" s="25"/>
      <c r="BO716" s="25"/>
      <c r="BP716" s="25"/>
      <c r="BQ716" s="25"/>
      <c r="BR716" s="25"/>
      <c r="BS716" s="25"/>
      <c r="BT716" s="25"/>
      <c r="BU716" s="25"/>
      <c r="BV716" s="25"/>
      <c r="BW716" s="25"/>
      <c r="BX716" s="25"/>
      <c r="BY716" s="25"/>
      <c r="BZ716" s="25"/>
      <c r="CA716" s="25"/>
      <c r="CB716" s="25"/>
      <c r="CC716" s="25"/>
      <c r="CD716" s="25"/>
      <c r="CE716" s="25"/>
      <c r="CF716" s="25"/>
      <c r="CG716" s="25"/>
      <c r="CH716" s="25"/>
      <c r="CI716" s="25"/>
      <c r="CJ716" s="25"/>
      <c r="CK716" s="25"/>
      <c r="CL716" s="25"/>
      <c r="CM716" s="25"/>
      <c r="CN716" s="25"/>
      <c r="CO716" s="25"/>
      <c r="CP716" s="25"/>
      <c r="CQ716" s="25"/>
      <c r="CR716" s="25"/>
      <c r="CS716" s="25"/>
      <c r="CT716" s="25"/>
      <c r="CU716" s="25"/>
      <c r="CV716" s="25"/>
      <c r="CW716" s="25"/>
      <c r="CX716" s="25"/>
      <c r="CY716" s="25"/>
      <c r="CZ716" s="25"/>
      <c r="DA716" s="25"/>
      <c r="DB716" s="25"/>
      <c r="DC716" s="25"/>
      <c r="DD716" s="25"/>
      <c r="DE716" s="25"/>
      <c r="DF716" s="25"/>
      <c r="DG716" s="25"/>
      <c r="DH716" s="25"/>
    </row>
    <row r="717" spans="1:112" customFormat="1" ht="102" x14ac:dyDescent="0.2">
      <c r="A717" s="2" t="s">
        <v>2227</v>
      </c>
      <c r="B717" s="2" t="s">
        <v>2228</v>
      </c>
      <c r="C717" s="2" t="s">
        <v>2229</v>
      </c>
      <c r="D717" s="1">
        <v>5</v>
      </c>
      <c r="E717" s="2" t="s">
        <v>23</v>
      </c>
      <c r="F717" s="2"/>
      <c r="G717" s="2" t="s">
        <v>2190</v>
      </c>
      <c r="H717" s="2" t="s">
        <v>1146</v>
      </c>
      <c r="I717" s="25" t="s">
        <v>2216</v>
      </c>
      <c r="J717" s="25" t="s">
        <v>1007</v>
      </c>
      <c r="K717" s="25" t="s">
        <v>1008</v>
      </c>
      <c r="L717" s="25" t="s">
        <v>1008</v>
      </c>
      <c r="M717" s="25" t="s">
        <v>1827</v>
      </c>
      <c r="N717" s="25" t="s">
        <v>2225</v>
      </c>
      <c r="O717" s="25" t="s">
        <v>2218</v>
      </c>
      <c r="P717" s="25" t="s">
        <v>40</v>
      </c>
      <c r="Q717" s="25" t="s">
        <v>199</v>
      </c>
      <c r="R717" s="25" t="s">
        <v>32</v>
      </c>
      <c r="S717" s="25" t="s">
        <v>33</v>
      </c>
      <c r="T717" s="25" t="s">
        <v>2226</v>
      </c>
      <c r="U717" s="25" t="s">
        <v>4478</v>
      </c>
      <c r="V717" s="25" t="s">
        <v>4479</v>
      </c>
      <c r="W717" s="25" t="s">
        <v>4480</v>
      </c>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c r="BK717" s="25"/>
      <c r="BL717" s="25"/>
      <c r="BM717" s="25"/>
      <c r="BN717" s="25"/>
      <c r="BO717" s="25"/>
      <c r="BP717" s="25"/>
      <c r="BQ717" s="25"/>
      <c r="BR717" s="25"/>
      <c r="BS717" s="25"/>
      <c r="BT717" s="25"/>
      <c r="BU717" s="25"/>
      <c r="BV717" s="25"/>
      <c r="BW717" s="25"/>
      <c r="BX717" s="25"/>
      <c r="BY717" s="25"/>
      <c r="BZ717" s="25"/>
      <c r="CA717" s="25"/>
      <c r="CB717" s="25"/>
      <c r="CC717" s="25"/>
      <c r="CD717" s="25"/>
      <c r="CE717" s="25"/>
      <c r="CF717" s="25"/>
      <c r="CG717" s="25"/>
      <c r="CH717" s="25"/>
      <c r="CI717" s="25"/>
      <c r="CJ717" s="25"/>
      <c r="CK717" s="25"/>
      <c r="CL717" s="25"/>
      <c r="CM717" s="25"/>
      <c r="CN717" s="25"/>
      <c r="CO717" s="25"/>
      <c r="CP717" s="25"/>
      <c r="CQ717" s="25"/>
      <c r="CR717" s="25"/>
      <c r="CS717" s="25"/>
      <c r="CT717" s="25"/>
      <c r="CU717" s="25"/>
      <c r="CV717" s="25"/>
      <c r="CW717" s="25"/>
      <c r="CX717" s="25"/>
      <c r="CY717" s="25"/>
      <c r="CZ717" s="25"/>
      <c r="DA717" s="25"/>
      <c r="DB717" s="25"/>
      <c r="DC717" s="25"/>
      <c r="DD717" s="25"/>
      <c r="DE717" s="25"/>
      <c r="DF717" s="25"/>
      <c r="DG717" s="25"/>
      <c r="DH717" s="25"/>
    </row>
    <row r="718" spans="1:112" customFormat="1" ht="85" x14ac:dyDescent="0.2">
      <c r="A718" s="2" t="s">
        <v>2230</v>
      </c>
      <c r="B718" s="2" t="s">
        <v>2231</v>
      </c>
      <c r="C718" s="2" t="s">
        <v>2231</v>
      </c>
      <c r="D718" s="1">
        <v>5</v>
      </c>
      <c r="E718" s="2" t="s">
        <v>2232</v>
      </c>
      <c r="F718" s="2" t="s">
        <v>2233</v>
      </c>
      <c r="G718" s="2" t="s">
        <v>2234</v>
      </c>
      <c r="H718" s="2" t="s">
        <v>492</v>
      </c>
      <c r="I718" s="2" t="s">
        <v>2235</v>
      </c>
      <c r="J718" s="25" t="s">
        <v>469</v>
      </c>
      <c r="K718" s="25" t="s">
        <v>470</v>
      </c>
      <c r="L718" s="25" t="s">
        <v>2236</v>
      </c>
      <c r="M718" s="25" t="s">
        <v>2237</v>
      </c>
      <c r="N718" s="25" t="s">
        <v>2238</v>
      </c>
      <c r="O718" s="25" t="s">
        <v>2237</v>
      </c>
      <c r="P718" s="25" t="s">
        <v>40</v>
      </c>
      <c r="Q718" s="25" t="s">
        <v>41</v>
      </c>
      <c r="R718" s="25" t="s">
        <v>32</v>
      </c>
      <c r="S718" s="25" t="s">
        <v>33</v>
      </c>
      <c r="T718" s="25" t="s">
        <v>2239</v>
      </c>
      <c r="U718" s="25" t="s">
        <v>4481</v>
      </c>
      <c r="V718" s="25" t="s">
        <v>4482</v>
      </c>
      <c r="W718" s="25" t="s">
        <v>4483</v>
      </c>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c r="BK718" s="25"/>
      <c r="BL718" s="25"/>
      <c r="BM718" s="25"/>
      <c r="BN718" s="25"/>
      <c r="BO718" s="25"/>
      <c r="BP718" s="25"/>
      <c r="BQ718" s="25"/>
      <c r="BR718" s="25"/>
      <c r="BS718" s="25"/>
      <c r="BT718" s="25"/>
      <c r="BU718" s="25"/>
      <c r="BV718" s="25"/>
      <c r="BW718" s="25"/>
      <c r="BX718" s="25"/>
      <c r="BY718" s="25"/>
      <c r="BZ718" s="25"/>
      <c r="CA718" s="25"/>
      <c r="CB718" s="25"/>
      <c r="CC718" s="25"/>
      <c r="CD718" s="25"/>
      <c r="CE718" s="25"/>
      <c r="CF718" s="25"/>
      <c r="CG718" s="25"/>
      <c r="CH718" s="25"/>
      <c r="CI718" s="25"/>
      <c r="CJ718" s="25"/>
      <c r="CK718" s="25"/>
      <c r="CL718" s="25"/>
      <c r="CM718" s="25"/>
      <c r="CN718" s="25"/>
      <c r="CO718" s="25"/>
      <c r="CP718" s="25"/>
      <c r="CQ718" s="25"/>
      <c r="CR718" s="25"/>
      <c r="CS718" s="25"/>
      <c r="CT718" s="25"/>
      <c r="CU718" s="25"/>
      <c r="CV718" s="25"/>
      <c r="CW718" s="25"/>
      <c r="CX718" s="25"/>
      <c r="CY718" s="25"/>
      <c r="CZ718" s="25"/>
      <c r="DA718" s="25"/>
      <c r="DB718" s="25"/>
      <c r="DC718" s="25"/>
      <c r="DD718" s="25"/>
      <c r="DE718" s="25"/>
      <c r="DF718" s="25"/>
      <c r="DG718" s="25"/>
      <c r="DH718" s="25"/>
    </row>
    <row r="719" spans="1:112" customFormat="1" ht="102" x14ac:dyDescent="0.2">
      <c r="A719" s="2" t="s">
        <v>2240</v>
      </c>
      <c r="B719" s="2" t="s">
        <v>2241</v>
      </c>
      <c r="C719" s="2" t="s">
        <v>2241</v>
      </c>
      <c r="D719" s="1">
        <v>5</v>
      </c>
      <c r="E719" s="2" t="s">
        <v>23</v>
      </c>
      <c r="F719" s="2"/>
      <c r="G719" s="2" t="s">
        <v>2190</v>
      </c>
      <c r="H719" s="2" t="s">
        <v>25</v>
      </c>
      <c r="I719" s="2" t="s">
        <v>2242</v>
      </c>
      <c r="J719" s="25" t="s">
        <v>1026</v>
      </c>
      <c r="K719" s="25" t="s">
        <v>1027</v>
      </c>
      <c r="L719" s="25" t="s">
        <v>2243</v>
      </c>
      <c r="M719" s="25" t="s">
        <v>2244</v>
      </c>
      <c r="N719" s="25" t="s">
        <v>2245</v>
      </c>
      <c r="O719" s="25" t="s">
        <v>1031</v>
      </c>
      <c r="P719" s="25" t="s">
        <v>40</v>
      </c>
      <c r="Q719" s="25" t="s">
        <v>41</v>
      </c>
      <c r="R719" s="25" t="s">
        <v>32</v>
      </c>
      <c r="S719" s="25" t="s">
        <v>33</v>
      </c>
      <c r="T719" s="25" t="s">
        <v>2246</v>
      </c>
      <c r="U719" s="25" t="s">
        <v>4484</v>
      </c>
      <c r="V719" s="25" t="s">
        <v>4485</v>
      </c>
      <c r="W719" s="25" t="s">
        <v>4486</v>
      </c>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c r="BK719" s="25"/>
      <c r="BL719" s="25"/>
      <c r="BM719" s="25"/>
      <c r="BN719" s="25"/>
      <c r="BO719" s="25"/>
      <c r="BP719" s="25"/>
      <c r="BQ719" s="25"/>
      <c r="BR719" s="25"/>
      <c r="BS719" s="25"/>
      <c r="BT719" s="25"/>
      <c r="BU719" s="25"/>
      <c r="BV719" s="25"/>
      <c r="BW719" s="25"/>
      <c r="BX719" s="25"/>
      <c r="BY719" s="25"/>
      <c r="BZ719" s="25"/>
      <c r="CA719" s="25"/>
      <c r="CB719" s="25"/>
      <c r="CC719" s="25"/>
      <c r="CD719" s="25"/>
      <c r="CE719" s="25"/>
      <c r="CF719" s="25"/>
      <c r="CG719" s="25"/>
      <c r="CH719" s="25"/>
      <c r="CI719" s="25"/>
      <c r="CJ719" s="25"/>
      <c r="CK719" s="25"/>
      <c r="CL719" s="25"/>
      <c r="CM719" s="25"/>
      <c r="CN719" s="25"/>
      <c r="CO719" s="25"/>
      <c r="CP719" s="25"/>
      <c r="CQ719" s="25"/>
      <c r="CR719" s="25"/>
      <c r="CS719" s="25"/>
      <c r="CT719" s="25"/>
      <c r="CU719" s="25"/>
      <c r="CV719" s="25"/>
      <c r="CW719" s="25"/>
      <c r="CX719" s="25"/>
      <c r="CY719" s="25"/>
      <c r="CZ719" s="25"/>
      <c r="DA719" s="25"/>
      <c r="DB719" s="25"/>
      <c r="DC719" s="25"/>
      <c r="DD719" s="25"/>
      <c r="DE719" s="25"/>
      <c r="DF719" s="25"/>
      <c r="DG719" s="25"/>
      <c r="DH719" s="25"/>
    </row>
    <row r="720" spans="1:112" customFormat="1" ht="102" x14ac:dyDescent="0.2">
      <c r="A720" s="2" t="s">
        <v>2247</v>
      </c>
      <c r="B720" s="2" t="s">
        <v>2248</v>
      </c>
      <c r="C720" s="2" t="s">
        <v>2248</v>
      </c>
      <c r="D720" s="1">
        <v>5</v>
      </c>
      <c r="E720" s="2" t="s">
        <v>23</v>
      </c>
      <c r="F720" s="2"/>
      <c r="G720" s="2" t="s">
        <v>2190</v>
      </c>
      <c r="H720" s="2" t="s">
        <v>25</v>
      </c>
      <c r="I720" s="2" t="s">
        <v>2242</v>
      </c>
      <c r="J720" s="25" t="s">
        <v>1026</v>
      </c>
      <c r="K720" s="25" t="s">
        <v>1027</v>
      </c>
      <c r="L720" s="25" t="s">
        <v>2243</v>
      </c>
      <c r="M720" s="25" t="s">
        <v>2244</v>
      </c>
      <c r="N720" s="25" t="s">
        <v>2245</v>
      </c>
      <c r="O720" s="25" t="s">
        <v>1031</v>
      </c>
      <c r="P720" s="25" t="s">
        <v>40</v>
      </c>
      <c r="Q720" s="25" t="s">
        <v>199</v>
      </c>
      <c r="R720" s="25" t="s">
        <v>32</v>
      </c>
      <c r="S720" s="25" t="s">
        <v>33</v>
      </c>
      <c r="T720" s="25" t="s">
        <v>2246</v>
      </c>
      <c r="U720" s="25" t="s">
        <v>2249</v>
      </c>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c r="BK720" s="25"/>
      <c r="BL720" s="25"/>
      <c r="BM720" s="25"/>
      <c r="BN720" s="25"/>
      <c r="BO720" s="25"/>
      <c r="BP720" s="25"/>
      <c r="BQ720" s="25"/>
      <c r="BR720" s="25"/>
      <c r="BS720" s="25"/>
      <c r="BT720" s="25"/>
      <c r="BU720" s="25"/>
      <c r="BV720" s="25"/>
      <c r="BW720" s="25"/>
      <c r="BX720" s="25"/>
      <c r="BY720" s="25"/>
      <c r="BZ720" s="25"/>
      <c r="CA720" s="25"/>
      <c r="CB720" s="25"/>
      <c r="CC720" s="25"/>
      <c r="CD720" s="25"/>
      <c r="CE720" s="25"/>
      <c r="CF720" s="25"/>
      <c r="CG720" s="25"/>
      <c r="CH720" s="25"/>
      <c r="CI720" s="25"/>
      <c r="CJ720" s="25"/>
      <c r="CK720" s="25"/>
      <c r="CL720" s="25"/>
      <c r="CM720" s="25"/>
      <c r="CN720" s="25"/>
      <c r="CO720" s="25"/>
      <c r="CP720" s="25"/>
      <c r="CQ720" s="25"/>
      <c r="CR720" s="25"/>
      <c r="CS720" s="25"/>
      <c r="CT720" s="25"/>
      <c r="CU720" s="25"/>
      <c r="CV720" s="25"/>
      <c r="CW720" s="25"/>
      <c r="CX720" s="25"/>
      <c r="CY720" s="25"/>
      <c r="CZ720" s="25"/>
      <c r="DA720" s="25"/>
      <c r="DB720" s="25"/>
      <c r="DC720" s="25"/>
      <c r="DD720" s="25"/>
      <c r="DE720" s="25"/>
      <c r="DF720" s="25"/>
      <c r="DG720" s="25"/>
      <c r="DH720" s="25"/>
    </row>
    <row r="721" spans="1:112" customFormat="1" ht="119" x14ac:dyDescent="0.2">
      <c r="A721" s="2" t="s">
        <v>2250</v>
      </c>
      <c r="B721" s="2" t="s">
        <v>2251</v>
      </c>
      <c r="C721" s="2" t="s">
        <v>2251</v>
      </c>
      <c r="D721" s="1">
        <v>5</v>
      </c>
      <c r="E721" s="2" t="s">
        <v>23</v>
      </c>
      <c r="F721" s="2"/>
      <c r="G721" s="2" t="s">
        <v>2190</v>
      </c>
      <c r="H721" s="2" t="s">
        <v>369</v>
      </c>
      <c r="I721" s="2" t="s">
        <v>1486</v>
      </c>
      <c r="J721" s="25" t="s">
        <v>645</v>
      </c>
      <c r="K721" s="25" t="s">
        <v>646</v>
      </c>
      <c r="L721" s="25" t="s">
        <v>647</v>
      </c>
      <c r="M721" s="25" t="s">
        <v>648</v>
      </c>
      <c r="N721" s="25" t="s">
        <v>2252</v>
      </c>
      <c r="O721" s="25" t="s">
        <v>648</v>
      </c>
      <c r="P721" s="25" t="s">
        <v>123</v>
      </c>
      <c r="Q721" s="25" t="s">
        <v>41</v>
      </c>
      <c r="R721" s="25" t="s">
        <v>32</v>
      </c>
      <c r="S721" s="25" t="s">
        <v>33</v>
      </c>
      <c r="T721" s="25" t="s">
        <v>2253</v>
      </c>
      <c r="U721" s="25" t="s">
        <v>4487</v>
      </c>
      <c r="V721" s="25" t="s">
        <v>4488</v>
      </c>
      <c r="W721" s="25" t="s">
        <v>4489</v>
      </c>
      <c r="X721" s="25" t="s">
        <v>4490</v>
      </c>
      <c r="Y721" s="25" t="s">
        <v>4491</v>
      </c>
      <c r="Z721" s="25" t="s">
        <v>4492</v>
      </c>
      <c r="AA721" s="25" t="s">
        <v>4493</v>
      </c>
      <c r="AB721" s="25" t="s">
        <v>4494</v>
      </c>
      <c r="AC721" s="25" t="s">
        <v>4495</v>
      </c>
      <c r="AD721" s="25" t="s">
        <v>4496</v>
      </c>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c r="BF721" s="25"/>
      <c r="BG721" s="25"/>
      <c r="BH721" s="25"/>
      <c r="BI721" s="25"/>
      <c r="BJ721" s="25"/>
      <c r="BK721" s="25"/>
      <c r="BL721" s="25"/>
      <c r="BM721" s="25"/>
      <c r="BN721" s="25"/>
      <c r="BO721" s="25"/>
      <c r="BP721" s="25"/>
      <c r="BQ721" s="25"/>
      <c r="BR721" s="25"/>
      <c r="BS721" s="25"/>
      <c r="BT721" s="25"/>
      <c r="BU721" s="25"/>
      <c r="BV721" s="25"/>
      <c r="BW721" s="25"/>
      <c r="BX721" s="25"/>
      <c r="BY721" s="25"/>
      <c r="BZ721" s="25"/>
      <c r="CA721" s="25"/>
      <c r="CB721" s="25"/>
      <c r="CC721" s="25"/>
      <c r="CD721" s="25"/>
      <c r="CE721" s="25"/>
      <c r="CF721" s="25"/>
      <c r="CG721" s="25"/>
      <c r="CH721" s="25"/>
      <c r="CI721" s="25"/>
      <c r="CJ721" s="25"/>
      <c r="CK721" s="25"/>
      <c r="CL721" s="25"/>
      <c r="CM721" s="25"/>
      <c r="CN721" s="25"/>
      <c r="CO721" s="25"/>
      <c r="CP721" s="25"/>
      <c r="CQ721" s="25"/>
      <c r="CR721" s="25"/>
      <c r="CS721" s="25"/>
      <c r="CT721" s="25"/>
      <c r="CU721" s="25"/>
      <c r="CV721" s="25"/>
      <c r="CW721" s="25"/>
      <c r="CX721" s="25"/>
      <c r="CY721" s="25"/>
      <c r="CZ721" s="25"/>
      <c r="DA721" s="25"/>
      <c r="DB721" s="25"/>
      <c r="DC721" s="25"/>
      <c r="DD721" s="25"/>
      <c r="DE721" s="25"/>
      <c r="DF721" s="25"/>
      <c r="DG721" s="25"/>
      <c r="DH721" s="25"/>
    </row>
    <row r="722" spans="1:112" customFormat="1" ht="204" x14ac:dyDescent="0.2">
      <c r="A722" s="2" t="s">
        <v>2254</v>
      </c>
      <c r="B722" s="2" t="s">
        <v>2255</v>
      </c>
      <c r="C722" s="2" t="s">
        <v>2255</v>
      </c>
      <c r="D722" s="1">
        <v>5</v>
      </c>
      <c r="E722" s="2" t="s">
        <v>61</v>
      </c>
      <c r="F722" s="2" t="s">
        <v>2256</v>
      </c>
      <c r="G722" s="2" t="s">
        <v>2190</v>
      </c>
      <c r="H722" s="2" t="s">
        <v>2257</v>
      </c>
      <c r="I722" s="2" t="s">
        <v>2258</v>
      </c>
      <c r="J722" s="25" t="s">
        <v>645</v>
      </c>
      <c r="K722" s="25" t="s">
        <v>646</v>
      </c>
      <c r="L722" s="25" t="s">
        <v>647</v>
      </c>
      <c r="M722" s="25" t="s">
        <v>648</v>
      </c>
      <c r="N722" s="25" t="s">
        <v>2259</v>
      </c>
      <c r="O722" s="25" t="s">
        <v>648</v>
      </c>
      <c r="P722" s="25" t="s">
        <v>227</v>
      </c>
      <c r="Q722" s="25" t="s">
        <v>41</v>
      </c>
      <c r="R722" s="25" t="s">
        <v>32</v>
      </c>
      <c r="S722" s="25" t="s">
        <v>33</v>
      </c>
      <c r="T722" s="25" t="s">
        <v>456</v>
      </c>
      <c r="U722" s="25" t="s">
        <v>4497</v>
      </c>
      <c r="V722" s="25" t="s">
        <v>4498</v>
      </c>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c r="BF722" s="25"/>
      <c r="BG722" s="25"/>
      <c r="BH722" s="25"/>
      <c r="BI722" s="25"/>
      <c r="BJ722" s="25"/>
      <c r="BK722" s="25"/>
      <c r="BL722" s="25"/>
      <c r="BM722" s="25"/>
      <c r="BN722" s="25"/>
      <c r="BO722" s="25"/>
      <c r="BP722" s="25"/>
      <c r="BQ722" s="25"/>
      <c r="BR722" s="25"/>
      <c r="BS722" s="25"/>
      <c r="BT722" s="25"/>
      <c r="BU722" s="25"/>
      <c r="BV722" s="25"/>
      <c r="BW722" s="25"/>
      <c r="BX722" s="25"/>
      <c r="BY722" s="25"/>
      <c r="BZ722" s="25"/>
      <c r="CA722" s="25"/>
      <c r="CB722" s="25"/>
      <c r="CC722" s="25"/>
      <c r="CD722" s="25"/>
      <c r="CE722" s="25"/>
      <c r="CF722" s="25"/>
      <c r="CG722" s="25"/>
      <c r="CH722" s="25"/>
      <c r="CI722" s="25"/>
      <c r="CJ722" s="25"/>
      <c r="CK722" s="25"/>
      <c r="CL722" s="25"/>
      <c r="CM722" s="25"/>
      <c r="CN722" s="25"/>
      <c r="CO722" s="25"/>
      <c r="CP722" s="25"/>
      <c r="CQ722" s="25"/>
      <c r="CR722" s="25"/>
      <c r="CS722" s="25"/>
      <c r="CT722" s="25"/>
      <c r="CU722" s="25"/>
      <c r="CV722" s="25"/>
      <c r="CW722" s="25"/>
      <c r="CX722" s="25"/>
      <c r="CY722" s="25"/>
      <c r="CZ722" s="25"/>
      <c r="DA722" s="25"/>
      <c r="DB722" s="25"/>
      <c r="DC722" s="25"/>
      <c r="DD722" s="25"/>
      <c r="DE722" s="25"/>
      <c r="DF722" s="25"/>
      <c r="DG722" s="25"/>
      <c r="DH722" s="25"/>
    </row>
    <row r="723" spans="1:112" customFormat="1" ht="204" x14ac:dyDescent="0.2">
      <c r="A723" s="2" t="s">
        <v>2260</v>
      </c>
      <c r="B723" s="2" t="s">
        <v>2261</v>
      </c>
      <c r="C723" s="2" t="s">
        <v>2261</v>
      </c>
      <c r="D723" s="1">
        <v>5</v>
      </c>
      <c r="E723" s="2" t="s">
        <v>61</v>
      </c>
      <c r="F723" s="2" t="s">
        <v>2256</v>
      </c>
      <c r="G723" s="2" t="s">
        <v>2190</v>
      </c>
      <c r="H723" s="2" t="s">
        <v>2257</v>
      </c>
      <c r="I723" s="2" t="s">
        <v>2258</v>
      </c>
      <c r="J723" s="25" t="s">
        <v>645</v>
      </c>
      <c r="K723" s="25" t="s">
        <v>646</v>
      </c>
      <c r="L723" s="25" t="s">
        <v>647</v>
      </c>
      <c r="M723" s="25" t="s">
        <v>648</v>
      </c>
      <c r="N723" s="25" t="s">
        <v>2262</v>
      </c>
      <c r="O723" s="25" t="s">
        <v>648</v>
      </c>
      <c r="P723" s="25" t="s">
        <v>192</v>
      </c>
      <c r="Q723" s="25" t="s">
        <v>41</v>
      </c>
      <c r="R723" s="25" t="s">
        <v>32</v>
      </c>
      <c r="S723" s="25" t="s">
        <v>33</v>
      </c>
      <c r="T723" s="25" t="s">
        <v>2263</v>
      </c>
      <c r="U723" s="25" t="s">
        <v>4499</v>
      </c>
      <c r="V723" s="25" t="s">
        <v>4500</v>
      </c>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5"/>
      <c r="BI723" s="25"/>
      <c r="BJ723" s="25"/>
      <c r="BK723" s="25"/>
      <c r="BL723" s="25"/>
      <c r="BM723" s="25"/>
      <c r="BN723" s="25"/>
      <c r="BO723" s="25"/>
      <c r="BP723" s="25"/>
      <c r="BQ723" s="25"/>
      <c r="BR723" s="25"/>
      <c r="BS723" s="25"/>
      <c r="BT723" s="25"/>
      <c r="BU723" s="25"/>
      <c r="BV723" s="25"/>
      <c r="BW723" s="25"/>
      <c r="BX723" s="25"/>
      <c r="BY723" s="25"/>
      <c r="BZ723" s="25"/>
      <c r="CA723" s="25"/>
      <c r="CB723" s="25"/>
      <c r="CC723" s="25"/>
      <c r="CD723" s="25"/>
      <c r="CE723" s="25"/>
      <c r="CF723" s="25"/>
      <c r="CG723" s="25"/>
      <c r="CH723" s="25"/>
      <c r="CI723" s="25"/>
      <c r="CJ723" s="25"/>
      <c r="CK723" s="25"/>
      <c r="CL723" s="25"/>
      <c r="CM723" s="25"/>
      <c r="CN723" s="25"/>
      <c r="CO723" s="25"/>
      <c r="CP723" s="25"/>
      <c r="CQ723" s="25"/>
      <c r="CR723" s="25"/>
      <c r="CS723" s="25"/>
      <c r="CT723" s="25"/>
      <c r="CU723" s="25"/>
      <c r="CV723" s="25"/>
      <c r="CW723" s="25"/>
      <c r="CX723" s="25"/>
      <c r="CY723" s="25"/>
      <c r="CZ723" s="25"/>
      <c r="DA723" s="25"/>
      <c r="DB723" s="25"/>
      <c r="DC723" s="25"/>
      <c r="DD723" s="25"/>
      <c r="DE723" s="25"/>
      <c r="DF723" s="25"/>
      <c r="DG723" s="25"/>
      <c r="DH723" s="25"/>
    </row>
    <row r="724" spans="1:112" customFormat="1" ht="204" x14ac:dyDescent="0.2">
      <c r="A724" s="2" t="s">
        <v>2264</v>
      </c>
      <c r="B724" s="2" t="s">
        <v>2265</v>
      </c>
      <c r="C724" s="2" t="s">
        <v>2265</v>
      </c>
      <c r="D724" s="1">
        <v>5</v>
      </c>
      <c r="E724" s="2" t="s">
        <v>61</v>
      </c>
      <c r="F724" s="2" t="s">
        <v>2256</v>
      </c>
      <c r="G724" s="2" t="s">
        <v>2190</v>
      </c>
      <c r="H724" s="2" t="s">
        <v>2257</v>
      </c>
      <c r="I724" s="2" t="s">
        <v>2258</v>
      </c>
      <c r="J724" s="25" t="s">
        <v>645</v>
      </c>
      <c r="K724" s="25" t="s">
        <v>646</v>
      </c>
      <c r="L724" s="25" t="s">
        <v>647</v>
      </c>
      <c r="M724" s="25" t="s">
        <v>648</v>
      </c>
      <c r="N724" s="25" t="s">
        <v>2266</v>
      </c>
      <c r="O724" s="25" t="s">
        <v>648</v>
      </c>
      <c r="P724" s="25" t="s">
        <v>257</v>
      </c>
      <c r="Q724" s="25" t="s">
        <v>41</v>
      </c>
      <c r="R724" s="25" t="s">
        <v>32</v>
      </c>
      <c r="S724" s="25" t="s">
        <v>33</v>
      </c>
      <c r="T724" s="25" t="s">
        <v>2267</v>
      </c>
      <c r="U724" s="25" t="s">
        <v>4501</v>
      </c>
      <c r="V724" s="25" t="s">
        <v>4502</v>
      </c>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c r="BK724" s="25"/>
      <c r="BL724" s="25"/>
      <c r="BM724" s="25"/>
      <c r="BN724" s="25"/>
      <c r="BO724" s="25"/>
      <c r="BP724" s="25"/>
      <c r="BQ724" s="25"/>
      <c r="BR724" s="25"/>
      <c r="BS724" s="25"/>
      <c r="BT724" s="25"/>
      <c r="BU724" s="25"/>
      <c r="BV724" s="25"/>
      <c r="BW724" s="25"/>
      <c r="BX724" s="25"/>
      <c r="BY724" s="25"/>
      <c r="BZ724" s="25"/>
      <c r="CA724" s="25"/>
      <c r="CB724" s="25"/>
      <c r="CC724" s="25"/>
      <c r="CD724" s="25"/>
      <c r="CE724" s="25"/>
      <c r="CF724" s="25"/>
      <c r="CG724" s="25"/>
      <c r="CH724" s="25"/>
      <c r="CI724" s="25"/>
      <c r="CJ724" s="25"/>
      <c r="CK724" s="25"/>
      <c r="CL724" s="25"/>
      <c r="CM724" s="25"/>
      <c r="CN724" s="25"/>
      <c r="CO724" s="25"/>
      <c r="CP724" s="25"/>
      <c r="CQ724" s="25"/>
      <c r="CR724" s="25"/>
      <c r="CS724" s="25"/>
      <c r="CT724" s="25"/>
      <c r="CU724" s="25"/>
      <c r="CV724" s="25"/>
      <c r="CW724" s="25"/>
      <c r="CX724" s="25"/>
      <c r="CY724" s="25"/>
      <c r="CZ724" s="25"/>
      <c r="DA724" s="25"/>
      <c r="DB724" s="25"/>
      <c r="DC724" s="25"/>
      <c r="DD724" s="25"/>
      <c r="DE724" s="25"/>
      <c r="DF724" s="25"/>
      <c r="DG724" s="25"/>
      <c r="DH724" s="25"/>
    </row>
    <row r="725" spans="1:112" customFormat="1" ht="204" x14ac:dyDescent="0.2">
      <c r="A725" s="7" t="s">
        <v>5335</v>
      </c>
      <c r="B725" s="7" t="s">
        <v>5336</v>
      </c>
      <c r="C725" s="2" t="s">
        <v>5336</v>
      </c>
      <c r="D725" s="1">
        <v>5</v>
      </c>
      <c r="E725" s="2" t="s">
        <v>61</v>
      </c>
      <c r="F725" s="2" t="s">
        <v>2256</v>
      </c>
      <c r="G725" s="2" t="s">
        <v>2190</v>
      </c>
      <c r="H725" s="2" t="s">
        <v>2257</v>
      </c>
      <c r="I725" s="2" t="s">
        <v>2258</v>
      </c>
      <c r="J725" s="34" t="s">
        <v>645</v>
      </c>
      <c r="K725" s="34" t="s">
        <v>646</v>
      </c>
      <c r="L725" s="34" t="s">
        <v>647</v>
      </c>
      <c r="M725" s="34" t="s">
        <v>648</v>
      </c>
      <c r="N725" s="34" t="s">
        <v>5337</v>
      </c>
      <c r="O725" s="34" t="s">
        <v>648</v>
      </c>
      <c r="P725" s="34" t="s">
        <v>540</v>
      </c>
      <c r="Q725" s="34" t="s">
        <v>41</v>
      </c>
      <c r="R725" s="34" t="s">
        <v>32</v>
      </c>
      <c r="S725" s="34" t="s">
        <v>33</v>
      </c>
      <c r="T725" s="34" t="s">
        <v>5338</v>
      </c>
      <c r="U725" s="34" t="s">
        <v>5339</v>
      </c>
      <c r="V725" s="34" t="s">
        <v>5339</v>
      </c>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c r="CA725" s="34"/>
      <c r="CB725" s="34"/>
      <c r="CC725" s="34"/>
      <c r="CD725" s="34"/>
      <c r="CE725" s="34"/>
      <c r="CF725" s="34"/>
      <c r="CG725" s="34"/>
      <c r="CH725" s="34"/>
      <c r="CI725" s="34"/>
      <c r="CJ725" s="34"/>
      <c r="CK725" s="34"/>
      <c r="CL725" s="34"/>
      <c r="CM725" s="34"/>
      <c r="CN725" s="34"/>
      <c r="CO725" s="34"/>
      <c r="CP725" s="34"/>
      <c r="CQ725" s="34"/>
      <c r="CR725" s="34"/>
      <c r="CS725" s="34"/>
      <c r="CT725" s="34"/>
      <c r="CU725" s="34"/>
      <c r="CV725" s="34"/>
      <c r="CW725" s="34"/>
      <c r="CX725" s="34"/>
      <c r="CY725" s="34"/>
      <c r="CZ725" s="34"/>
      <c r="DA725" s="34"/>
      <c r="DB725" s="34"/>
      <c r="DC725" s="34"/>
      <c r="DD725" s="34"/>
      <c r="DE725" s="34"/>
      <c r="DF725" s="34"/>
      <c r="DG725" s="34"/>
      <c r="DH725" s="34"/>
    </row>
    <row r="726" spans="1:112" customFormat="1" ht="204" x14ac:dyDescent="0.2">
      <c r="A726" s="7" t="s">
        <v>5340</v>
      </c>
      <c r="B726" s="7" t="s">
        <v>5341</v>
      </c>
      <c r="C726" s="2" t="s">
        <v>5341</v>
      </c>
      <c r="D726" s="1">
        <v>5</v>
      </c>
      <c r="E726" s="2" t="s">
        <v>61</v>
      </c>
      <c r="F726" s="2" t="s">
        <v>2256</v>
      </c>
      <c r="G726" s="2" t="s">
        <v>2190</v>
      </c>
      <c r="H726" s="2" t="s">
        <v>2257</v>
      </c>
      <c r="I726" s="2" t="s">
        <v>2258</v>
      </c>
      <c r="J726" s="34" t="s">
        <v>645</v>
      </c>
      <c r="K726" s="34" t="s">
        <v>646</v>
      </c>
      <c r="L726" s="34" t="s">
        <v>647</v>
      </c>
      <c r="M726" s="34" t="s">
        <v>648</v>
      </c>
      <c r="N726" s="34" t="s">
        <v>5342</v>
      </c>
      <c r="O726" s="34" t="s">
        <v>648</v>
      </c>
      <c r="P726" s="34" t="s">
        <v>948</v>
      </c>
      <c r="Q726" s="34" t="s">
        <v>41</v>
      </c>
      <c r="R726" s="34" t="s">
        <v>32</v>
      </c>
      <c r="S726" s="34" t="s">
        <v>33</v>
      </c>
      <c r="T726" s="34" t="s">
        <v>5343</v>
      </c>
      <c r="U726" s="34" t="s">
        <v>5344</v>
      </c>
      <c r="V726" s="34" t="s">
        <v>5344</v>
      </c>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c r="CA726" s="34"/>
      <c r="CB726" s="34"/>
      <c r="CC726" s="34"/>
      <c r="CD726" s="34"/>
      <c r="CE726" s="34"/>
      <c r="CF726" s="34"/>
      <c r="CG726" s="34"/>
      <c r="CH726" s="34"/>
      <c r="CI726" s="34"/>
      <c r="CJ726" s="34"/>
      <c r="CK726" s="34"/>
      <c r="CL726" s="34"/>
      <c r="CM726" s="34"/>
      <c r="CN726" s="34"/>
      <c r="CO726" s="34"/>
      <c r="CP726" s="34"/>
      <c r="CQ726" s="34"/>
      <c r="CR726" s="34"/>
      <c r="CS726" s="34"/>
      <c r="CT726" s="34"/>
      <c r="CU726" s="34"/>
      <c r="CV726" s="34"/>
      <c r="CW726" s="34"/>
      <c r="CX726" s="34"/>
      <c r="CY726" s="34"/>
      <c r="CZ726" s="34"/>
      <c r="DA726" s="34"/>
      <c r="DB726" s="34"/>
      <c r="DC726" s="34"/>
      <c r="DD726" s="34"/>
      <c r="DE726" s="34"/>
      <c r="DF726" s="34"/>
      <c r="DG726" s="34"/>
      <c r="DH726" s="34"/>
    </row>
    <row r="727" spans="1:112" customFormat="1" ht="119" x14ac:dyDescent="0.2">
      <c r="A727" s="2" t="s">
        <v>2268</v>
      </c>
      <c r="B727" s="2" t="s">
        <v>2269</v>
      </c>
      <c r="C727" s="2" t="s">
        <v>2269</v>
      </c>
      <c r="D727" s="1">
        <v>5</v>
      </c>
      <c r="E727" s="2" t="s">
        <v>23</v>
      </c>
      <c r="F727" s="2"/>
      <c r="G727" s="2" t="s">
        <v>2190</v>
      </c>
      <c r="H727" s="2" t="s">
        <v>369</v>
      </c>
      <c r="I727" s="2" t="s">
        <v>2270</v>
      </c>
      <c r="J727" s="25" t="s">
        <v>645</v>
      </c>
      <c r="K727" s="25" t="s">
        <v>646</v>
      </c>
      <c r="L727" s="25" t="s">
        <v>647</v>
      </c>
      <c r="M727" s="25" t="s">
        <v>648</v>
      </c>
      <c r="N727" s="25" t="s">
        <v>2271</v>
      </c>
      <c r="O727" s="25" t="s">
        <v>648</v>
      </c>
      <c r="P727" s="25" t="s">
        <v>1782</v>
      </c>
      <c r="Q727" s="25" t="s">
        <v>41</v>
      </c>
      <c r="R727" s="25" t="s">
        <v>32</v>
      </c>
      <c r="S727" s="25" t="s">
        <v>33</v>
      </c>
      <c r="T727" s="25" t="s">
        <v>2272</v>
      </c>
      <c r="U727" s="25" t="s">
        <v>2273</v>
      </c>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c r="BK727" s="25"/>
      <c r="BL727" s="25"/>
      <c r="BM727" s="25"/>
      <c r="BN727" s="25"/>
      <c r="BO727" s="25"/>
      <c r="BP727" s="25"/>
      <c r="BQ727" s="25"/>
      <c r="BR727" s="25"/>
      <c r="BS727" s="25"/>
      <c r="BT727" s="25"/>
      <c r="BU727" s="25"/>
      <c r="BV727" s="25"/>
      <c r="BW727" s="25"/>
      <c r="BX727" s="25"/>
      <c r="BY727" s="25"/>
      <c r="BZ727" s="25"/>
      <c r="CA727" s="25"/>
      <c r="CB727" s="25"/>
      <c r="CC727" s="25"/>
      <c r="CD727" s="25"/>
      <c r="CE727" s="25"/>
      <c r="CF727" s="25"/>
      <c r="CG727" s="25"/>
      <c r="CH727" s="25"/>
      <c r="CI727" s="25"/>
      <c r="CJ727" s="25"/>
      <c r="CK727" s="25"/>
      <c r="CL727" s="25"/>
      <c r="CM727" s="25"/>
      <c r="CN727" s="25"/>
      <c r="CO727" s="25"/>
      <c r="CP727" s="25"/>
      <c r="CQ727" s="25"/>
      <c r="CR727" s="25"/>
      <c r="CS727" s="25"/>
      <c r="CT727" s="25"/>
      <c r="CU727" s="25"/>
      <c r="CV727" s="25"/>
      <c r="CW727" s="25"/>
      <c r="CX727" s="25"/>
      <c r="CY727" s="25"/>
      <c r="CZ727" s="25"/>
      <c r="DA727" s="25"/>
      <c r="DB727" s="25"/>
      <c r="DC727" s="25"/>
      <c r="DD727" s="25"/>
      <c r="DE727" s="25"/>
      <c r="DF727" s="25"/>
      <c r="DG727" s="25"/>
      <c r="DH727" s="25"/>
    </row>
    <row r="728" spans="1:112" customFormat="1" ht="119" x14ac:dyDescent="0.2">
      <c r="A728" s="2" t="s">
        <v>2274</v>
      </c>
      <c r="B728" s="2" t="s">
        <v>2275</v>
      </c>
      <c r="C728" s="2" t="s">
        <v>2275</v>
      </c>
      <c r="D728" s="1">
        <v>5</v>
      </c>
      <c r="E728" s="2" t="s">
        <v>23</v>
      </c>
      <c r="F728" s="2"/>
      <c r="G728" s="2" t="s">
        <v>2190</v>
      </c>
      <c r="H728" s="2" t="s">
        <v>369</v>
      </c>
      <c r="I728" s="2" t="s">
        <v>2270</v>
      </c>
      <c r="J728" s="25" t="s">
        <v>645</v>
      </c>
      <c r="K728" s="25" t="s">
        <v>646</v>
      </c>
      <c r="L728" s="25" t="s">
        <v>647</v>
      </c>
      <c r="M728" s="25" t="s">
        <v>648</v>
      </c>
      <c r="N728" s="25" t="s">
        <v>2276</v>
      </c>
      <c r="O728" s="25" t="s">
        <v>648</v>
      </c>
      <c r="P728" s="25" t="s">
        <v>810</v>
      </c>
      <c r="Q728" s="25" t="s">
        <v>41</v>
      </c>
      <c r="R728" s="25" t="s">
        <v>32</v>
      </c>
      <c r="S728" s="25" t="s">
        <v>33</v>
      </c>
      <c r="T728" s="25" t="s">
        <v>2277</v>
      </c>
      <c r="U728" s="25" t="s">
        <v>4503</v>
      </c>
      <c r="V728" s="25" t="s">
        <v>4504</v>
      </c>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c r="BK728" s="25"/>
      <c r="BL728" s="25"/>
      <c r="BM728" s="25"/>
      <c r="BN728" s="25"/>
      <c r="BO728" s="25"/>
      <c r="BP728" s="25"/>
      <c r="BQ728" s="25"/>
      <c r="BR728" s="25"/>
      <c r="BS728" s="25"/>
      <c r="BT728" s="25"/>
      <c r="BU728" s="25"/>
      <c r="BV728" s="25"/>
      <c r="BW728" s="25"/>
      <c r="BX728" s="25"/>
      <c r="BY728" s="25"/>
      <c r="BZ728" s="25"/>
      <c r="CA728" s="25"/>
      <c r="CB728" s="25"/>
      <c r="CC728" s="25"/>
      <c r="CD728" s="25"/>
      <c r="CE728" s="25"/>
      <c r="CF728" s="25"/>
      <c r="CG728" s="25"/>
      <c r="CH728" s="25"/>
      <c r="CI728" s="25"/>
      <c r="CJ728" s="25"/>
      <c r="CK728" s="25"/>
      <c r="CL728" s="25"/>
      <c r="CM728" s="25"/>
      <c r="CN728" s="25"/>
      <c r="CO728" s="25"/>
      <c r="CP728" s="25"/>
      <c r="CQ728" s="25"/>
      <c r="CR728" s="25"/>
      <c r="CS728" s="25"/>
      <c r="CT728" s="25"/>
      <c r="CU728" s="25"/>
      <c r="CV728" s="25"/>
      <c r="CW728" s="25"/>
      <c r="CX728" s="25"/>
      <c r="CY728" s="25"/>
      <c r="CZ728" s="25"/>
      <c r="DA728" s="25"/>
      <c r="DB728" s="25"/>
      <c r="DC728" s="25"/>
      <c r="DD728" s="25"/>
      <c r="DE728" s="25"/>
      <c r="DF728" s="25"/>
      <c r="DG728" s="25"/>
      <c r="DH728" s="25"/>
    </row>
    <row r="729" spans="1:112" customFormat="1" ht="204" x14ac:dyDescent="0.2">
      <c r="A729" s="2" t="s">
        <v>2278</v>
      </c>
      <c r="B729" s="2" t="s">
        <v>2279</v>
      </c>
      <c r="C729" s="2" t="s">
        <v>2279</v>
      </c>
      <c r="D729" s="1">
        <v>5</v>
      </c>
      <c r="E729" s="2" t="s">
        <v>61</v>
      </c>
      <c r="F729" s="2" t="s">
        <v>2256</v>
      </c>
      <c r="G729" s="2" t="s">
        <v>2190</v>
      </c>
      <c r="H729" s="2" t="s">
        <v>2257</v>
      </c>
      <c r="I729" s="2" t="s">
        <v>2258</v>
      </c>
      <c r="J729" s="25" t="s">
        <v>645</v>
      </c>
      <c r="K729" s="25" t="s">
        <v>646</v>
      </c>
      <c r="L729" s="25" t="s">
        <v>647</v>
      </c>
      <c r="M729" s="25" t="s">
        <v>648</v>
      </c>
      <c r="N729" s="25" t="s">
        <v>2280</v>
      </c>
      <c r="O729" s="25" t="s">
        <v>648</v>
      </c>
      <c r="P729" s="25" t="s">
        <v>2281</v>
      </c>
      <c r="Q729" s="25" t="s">
        <v>41</v>
      </c>
      <c r="R729" s="25" t="s">
        <v>32</v>
      </c>
      <c r="S729" s="25" t="s">
        <v>33</v>
      </c>
      <c r="T729" s="25" t="s">
        <v>2282</v>
      </c>
      <c r="U729" s="25" t="s">
        <v>4505</v>
      </c>
      <c r="V729" s="25" t="s">
        <v>4506</v>
      </c>
      <c r="W729" s="25" t="s">
        <v>4507</v>
      </c>
      <c r="X729" s="25" t="s">
        <v>4508</v>
      </c>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c r="BK729" s="25"/>
      <c r="BL729" s="25"/>
      <c r="BM729" s="25"/>
      <c r="BN729" s="25"/>
      <c r="BO729" s="25"/>
      <c r="BP729" s="25"/>
      <c r="BQ729" s="25"/>
      <c r="BR729" s="25"/>
      <c r="BS729" s="25"/>
      <c r="BT729" s="25"/>
      <c r="BU729" s="25"/>
      <c r="BV729" s="25"/>
      <c r="BW729" s="25"/>
      <c r="BX729" s="25"/>
      <c r="BY729" s="25"/>
      <c r="BZ729" s="25"/>
      <c r="CA729" s="25"/>
      <c r="CB729" s="25"/>
      <c r="CC729" s="25"/>
      <c r="CD729" s="25"/>
      <c r="CE729" s="25"/>
      <c r="CF729" s="25"/>
      <c r="CG729" s="25"/>
      <c r="CH729" s="25"/>
      <c r="CI729" s="25"/>
      <c r="CJ729" s="25"/>
      <c r="CK729" s="25"/>
      <c r="CL729" s="25"/>
      <c r="CM729" s="25"/>
      <c r="CN729" s="25"/>
      <c r="CO729" s="25"/>
      <c r="CP729" s="25"/>
      <c r="CQ729" s="25"/>
      <c r="CR729" s="25"/>
      <c r="CS729" s="25"/>
      <c r="CT729" s="25"/>
      <c r="CU729" s="25"/>
      <c r="CV729" s="25"/>
      <c r="CW729" s="25"/>
      <c r="CX729" s="25"/>
      <c r="CY729" s="25"/>
      <c r="CZ729" s="25"/>
      <c r="DA729" s="25"/>
      <c r="DB729" s="25"/>
      <c r="DC729" s="25"/>
      <c r="DD729" s="25"/>
      <c r="DE729" s="25"/>
      <c r="DF729" s="25"/>
      <c r="DG729" s="25"/>
      <c r="DH729" s="25"/>
    </row>
    <row r="730" spans="1:112" customFormat="1" ht="204" x14ac:dyDescent="0.2">
      <c r="A730" s="2" t="s">
        <v>2283</v>
      </c>
      <c r="B730" s="2" t="s">
        <v>2284</v>
      </c>
      <c r="C730" s="2" t="s">
        <v>2284</v>
      </c>
      <c r="D730" s="1">
        <v>5</v>
      </c>
      <c r="E730" s="2" t="s">
        <v>61</v>
      </c>
      <c r="F730" s="2" t="s">
        <v>2256</v>
      </c>
      <c r="G730" s="2" t="s">
        <v>2190</v>
      </c>
      <c r="H730" s="2" t="s">
        <v>2257</v>
      </c>
      <c r="I730" s="2" t="s">
        <v>2258</v>
      </c>
      <c r="J730" s="25" t="s">
        <v>645</v>
      </c>
      <c r="K730" s="25" t="s">
        <v>646</v>
      </c>
      <c r="L730" s="25" t="s">
        <v>647</v>
      </c>
      <c r="M730" s="25" t="s">
        <v>648</v>
      </c>
      <c r="N730" s="25" t="s">
        <v>2285</v>
      </c>
      <c r="O730" s="25" t="s">
        <v>648</v>
      </c>
      <c r="P730" s="25" t="s">
        <v>2286</v>
      </c>
      <c r="Q730" s="25" t="s">
        <v>41</v>
      </c>
      <c r="R730" s="25" t="s">
        <v>32</v>
      </c>
      <c r="S730" s="25" t="s">
        <v>33</v>
      </c>
      <c r="T730" s="25" t="s">
        <v>2287</v>
      </c>
      <c r="U730" s="25" t="s">
        <v>4509</v>
      </c>
      <c r="V730" s="25" t="s">
        <v>4510</v>
      </c>
      <c r="W730" s="25" t="s">
        <v>4511</v>
      </c>
      <c r="X730" s="25" t="s">
        <v>4512</v>
      </c>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c r="BK730" s="25"/>
      <c r="BL730" s="25"/>
      <c r="BM730" s="25"/>
      <c r="BN730" s="25"/>
      <c r="BO730" s="25"/>
      <c r="BP730" s="25"/>
      <c r="BQ730" s="25"/>
      <c r="BR730" s="25"/>
      <c r="BS730" s="25"/>
      <c r="BT730" s="25"/>
      <c r="BU730" s="25"/>
      <c r="BV730" s="25"/>
      <c r="BW730" s="25"/>
      <c r="BX730" s="25"/>
      <c r="BY730" s="25"/>
      <c r="BZ730" s="25"/>
      <c r="CA730" s="25"/>
      <c r="CB730" s="25"/>
      <c r="CC730" s="25"/>
      <c r="CD730" s="25"/>
      <c r="CE730" s="25"/>
      <c r="CF730" s="25"/>
      <c r="CG730" s="25"/>
      <c r="CH730" s="25"/>
      <c r="CI730" s="25"/>
      <c r="CJ730" s="25"/>
      <c r="CK730" s="25"/>
      <c r="CL730" s="25"/>
      <c r="CM730" s="25"/>
      <c r="CN730" s="25"/>
      <c r="CO730" s="25"/>
      <c r="CP730" s="25"/>
      <c r="CQ730" s="25"/>
      <c r="CR730" s="25"/>
      <c r="CS730" s="25"/>
      <c r="CT730" s="25"/>
      <c r="CU730" s="25"/>
      <c r="CV730" s="25"/>
      <c r="CW730" s="25"/>
      <c r="CX730" s="25"/>
      <c r="CY730" s="25"/>
      <c r="CZ730" s="25"/>
      <c r="DA730" s="25"/>
      <c r="DB730" s="25"/>
      <c r="DC730" s="25"/>
      <c r="DD730" s="25"/>
      <c r="DE730" s="25"/>
      <c r="DF730" s="25"/>
      <c r="DG730" s="25"/>
      <c r="DH730" s="25"/>
    </row>
    <row r="731" spans="1:112" customFormat="1" ht="204" x14ac:dyDescent="0.2">
      <c r="A731" s="2" t="s">
        <v>2288</v>
      </c>
      <c r="B731" s="2" t="s">
        <v>2289</v>
      </c>
      <c r="C731" s="2" t="s">
        <v>2289</v>
      </c>
      <c r="D731" s="1">
        <v>5</v>
      </c>
      <c r="E731" s="2" t="s">
        <v>61</v>
      </c>
      <c r="F731" s="2" t="s">
        <v>2256</v>
      </c>
      <c r="G731" s="2" t="s">
        <v>2190</v>
      </c>
      <c r="H731" s="2" t="s">
        <v>2257</v>
      </c>
      <c r="I731" s="2" t="s">
        <v>2258</v>
      </c>
      <c r="J731" s="25" t="s">
        <v>645</v>
      </c>
      <c r="K731" s="25" t="s">
        <v>646</v>
      </c>
      <c r="L731" s="25" t="s">
        <v>647</v>
      </c>
      <c r="M731" s="25" t="s">
        <v>648</v>
      </c>
      <c r="N731" s="25" t="s">
        <v>2290</v>
      </c>
      <c r="O731" s="25" t="s">
        <v>648</v>
      </c>
      <c r="P731" s="25" t="s">
        <v>1820</v>
      </c>
      <c r="Q731" s="25" t="s">
        <v>41</v>
      </c>
      <c r="R731" s="25" t="s">
        <v>32</v>
      </c>
      <c r="S731" s="25" t="s">
        <v>33</v>
      </c>
      <c r="T731" s="25" t="s">
        <v>2291</v>
      </c>
      <c r="U731" s="25" t="s">
        <v>4513</v>
      </c>
      <c r="V731" s="25" t="s">
        <v>4514</v>
      </c>
      <c r="W731" s="25" t="s">
        <v>4515</v>
      </c>
      <c r="X731" s="25" t="s">
        <v>4516</v>
      </c>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c r="BK731" s="25"/>
      <c r="BL731" s="25"/>
      <c r="BM731" s="25"/>
      <c r="BN731" s="25"/>
      <c r="BO731" s="25"/>
      <c r="BP731" s="25"/>
      <c r="BQ731" s="25"/>
      <c r="BR731" s="25"/>
      <c r="BS731" s="25"/>
      <c r="BT731" s="25"/>
      <c r="BU731" s="25"/>
      <c r="BV731" s="25"/>
      <c r="BW731" s="25"/>
      <c r="BX731" s="25"/>
      <c r="BY731" s="25"/>
      <c r="BZ731" s="25"/>
      <c r="CA731" s="25"/>
      <c r="CB731" s="25"/>
      <c r="CC731" s="25"/>
      <c r="CD731" s="25"/>
      <c r="CE731" s="25"/>
      <c r="CF731" s="25"/>
      <c r="CG731" s="25"/>
      <c r="CH731" s="25"/>
      <c r="CI731" s="25"/>
      <c r="CJ731" s="25"/>
      <c r="CK731" s="25"/>
      <c r="CL731" s="25"/>
      <c r="CM731" s="25"/>
      <c r="CN731" s="25"/>
      <c r="CO731" s="25"/>
      <c r="CP731" s="25"/>
      <c r="CQ731" s="25"/>
      <c r="CR731" s="25"/>
      <c r="CS731" s="25"/>
      <c r="CT731" s="25"/>
      <c r="CU731" s="25"/>
      <c r="CV731" s="25"/>
      <c r="CW731" s="25"/>
      <c r="CX731" s="25"/>
      <c r="CY731" s="25"/>
      <c r="CZ731" s="25"/>
      <c r="DA731" s="25"/>
      <c r="DB731" s="25"/>
      <c r="DC731" s="25"/>
      <c r="DD731" s="25"/>
      <c r="DE731" s="25"/>
      <c r="DF731" s="25"/>
      <c r="DG731" s="25"/>
      <c r="DH731" s="25"/>
    </row>
    <row r="732" spans="1:112" customFormat="1" ht="119" x14ac:dyDescent="0.2">
      <c r="A732" s="2" t="s">
        <v>2292</v>
      </c>
      <c r="B732" s="2" t="s">
        <v>2293</v>
      </c>
      <c r="C732" s="2" t="s">
        <v>2293</v>
      </c>
      <c r="D732" s="1">
        <v>5</v>
      </c>
      <c r="E732" s="2" t="s">
        <v>23</v>
      </c>
      <c r="F732" s="2"/>
      <c r="G732" s="2" t="s">
        <v>2190</v>
      </c>
      <c r="H732" s="2" t="s">
        <v>369</v>
      </c>
      <c r="I732" s="2" t="s">
        <v>2294</v>
      </c>
      <c r="J732" s="25" t="s">
        <v>645</v>
      </c>
      <c r="K732" s="25" t="s">
        <v>646</v>
      </c>
      <c r="L732" s="25" t="s">
        <v>647</v>
      </c>
      <c r="M732" s="25" t="s">
        <v>648</v>
      </c>
      <c r="N732" s="25" t="s">
        <v>2295</v>
      </c>
      <c r="O732" s="25" t="s">
        <v>648</v>
      </c>
      <c r="P732" s="25" t="s">
        <v>208</v>
      </c>
      <c r="Q732" s="25" t="s">
        <v>41</v>
      </c>
      <c r="R732" s="25" t="s">
        <v>32</v>
      </c>
      <c r="S732" s="25" t="s">
        <v>33</v>
      </c>
      <c r="T732" s="25" t="s">
        <v>2296</v>
      </c>
      <c r="U732" s="25" t="s">
        <v>2297</v>
      </c>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c r="BK732" s="25"/>
      <c r="BL732" s="25"/>
      <c r="BM732" s="25"/>
      <c r="BN732" s="25"/>
      <c r="BO732" s="25"/>
      <c r="BP732" s="25"/>
      <c r="BQ732" s="25"/>
      <c r="BR732" s="25"/>
      <c r="BS732" s="25"/>
      <c r="BT732" s="25"/>
      <c r="BU732" s="25"/>
      <c r="BV732" s="25"/>
      <c r="BW732" s="25"/>
      <c r="BX732" s="25"/>
      <c r="BY732" s="25"/>
      <c r="BZ732" s="25"/>
      <c r="CA732" s="25"/>
      <c r="CB732" s="25"/>
      <c r="CC732" s="25"/>
      <c r="CD732" s="25"/>
      <c r="CE732" s="25"/>
      <c r="CF732" s="25"/>
      <c r="CG732" s="25"/>
      <c r="CH732" s="25"/>
      <c r="CI732" s="25"/>
      <c r="CJ732" s="25"/>
      <c r="CK732" s="25"/>
      <c r="CL732" s="25"/>
      <c r="CM732" s="25"/>
      <c r="CN732" s="25"/>
      <c r="CO732" s="25"/>
      <c r="CP732" s="25"/>
      <c r="CQ732" s="25"/>
      <c r="CR732" s="25"/>
      <c r="CS732" s="25"/>
      <c r="CT732" s="25"/>
      <c r="CU732" s="25"/>
      <c r="CV732" s="25"/>
      <c r="CW732" s="25"/>
      <c r="CX732" s="25"/>
      <c r="CY732" s="25"/>
      <c r="CZ732" s="25"/>
      <c r="DA732" s="25"/>
      <c r="DB732" s="25"/>
      <c r="DC732" s="25"/>
      <c r="DD732" s="25"/>
      <c r="DE732" s="25"/>
      <c r="DF732" s="25"/>
      <c r="DG732" s="25"/>
      <c r="DH732" s="25"/>
    </row>
    <row r="733" spans="1:112" customFormat="1" ht="119" x14ac:dyDescent="0.2">
      <c r="A733" s="7" t="s">
        <v>5355</v>
      </c>
      <c r="B733" s="7" t="s">
        <v>5356</v>
      </c>
      <c r="C733" s="2" t="s">
        <v>5356</v>
      </c>
      <c r="D733" s="1">
        <v>5</v>
      </c>
      <c r="E733" s="2" t="s">
        <v>23</v>
      </c>
      <c r="F733" s="2"/>
      <c r="G733" s="2" t="s">
        <v>2190</v>
      </c>
      <c r="H733" s="2" t="s">
        <v>369</v>
      </c>
      <c r="I733" s="2" t="s">
        <v>2294</v>
      </c>
      <c r="J733" s="34" t="s">
        <v>645</v>
      </c>
      <c r="K733" s="34" t="s">
        <v>646</v>
      </c>
      <c r="L733" s="34" t="s">
        <v>647</v>
      </c>
      <c r="M733" s="34" t="s">
        <v>648</v>
      </c>
      <c r="N733" s="34" t="s">
        <v>5357</v>
      </c>
      <c r="O733" s="34" t="s">
        <v>648</v>
      </c>
      <c r="P733" s="34" t="s">
        <v>214</v>
      </c>
      <c r="Q733" s="34" t="s">
        <v>41</v>
      </c>
      <c r="R733" s="34" t="s">
        <v>32</v>
      </c>
      <c r="S733" s="34" t="s">
        <v>33</v>
      </c>
      <c r="T733" s="34" t="s">
        <v>2296</v>
      </c>
      <c r="U733" s="34" t="s">
        <v>5358</v>
      </c>
      <c r="V733" s="34" t="s">
        <v>5358</v>
      </c>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c r="CA733" s="34"/>
      <c r="CB733" s="34"/>
      <c r="CC733" s="34"/>
      <c r="CD733" s="34"/>
      <c r="CE733" s="34"/>
      <c r="CF733" s="34"/>
      <c r="CG733" s="34"/>
      <c r="CH733" s="34"/>
      <c r="CI733" s="34"/>
      <c r="CJ733" s="34"/>
      <c r="CK733" s="34"/>
      <c r="CL733" s="34"/>
      <c r="CM733" s="34"/>
      <c r="CN733" s="34"/>
      <c r="CO733" s="34"/>
      <c r="CP733" s="34"/>
      <c r="CQ733" s="34"/>
      <c r="CR733" s="34"/>
      <c r="CS733" s="34"/>
      <c r="CT733" s="34"/>
      <c r="CU733" s="34"/>
      <c r="CV733" s="34"/>
      <c r="CW733" s="34"/>
      <c r="CX733" s="34"/>
      <c r="CY733" s="34"/>
      <c r="CZ733" s="34"/>
      <c r="DA733" s="34"/>
      <c r="DB733" s="34"/>
      <c r="DC733" s="34"/>
      <c r="DD733" s="34"/>
      <c r="DE733" s="34"/>
      <c r="DF733" s="34"/>
      <c r="DG733" s="34"/>
      <c r="DH733" s="34"/>
    </row>
    <row r="734" spans="1:112" customFormat="1" ht="34" x14ac:dyDescent="0.2">
      <c r="A734" s="7" t="s">
        <v>5475</v>
      </c>
      <c r="B734" s="7" t="s">
        <v>5476</v>
      </c>
      <c r="C734" s="2" t="s">
        <v>5476</v>
      </c>
      <c r="D734" s="5">
        <v>5</v>
      </c>
      <c r="E734" s="6"/>
      <c r="F734" s="6" t="s">
        <v>6049</v>
      </c>
      <c r="G734" s="6"/>
      <c r="H734" s="6" t="s">
        <v>537</v>
      </c>
      <c r="I734" s="6"/>
      <c r="J734" s="34" t="s">
        <v>103</v>
      </c>
      <c r="K734" s="34" t="s">
        <v>190</v>
      </c>
      <c r="L734" s="34" t="s">
        <v>5477</v>
      </c>
      <c r="M734" s="34" t="s">
        <v>5478</v>
      </c>
      <c r="N734" s="34" t="s">
        <v>5479</v>
      </c>
      <c r="O734" s="34" t="s">
        <v>220</v>
      </c>
      <c r="P734" s="34" t="s">
        <v>52</v>
      </c>
      <c r="Q734" s="34" t="s">
        <v>41</v>
      </c>
      <c r="R734" s="34" t="s">
        <v>32</v>
      </c>
      <c r="S734" s="34" t="s">
        <v>33</v>
      </c>
      <c r="T734" s="34" t="s">
        <v>5480</v>
      </c>
      <c r="U734" s="34" t="s">
        <v>5481</v>
      </c>
      <c r="V734" s="34" t="s">
        <v>5481</v>
      </c>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c r="CA734" s="34"/>
      <c r="CB734" s="34"/>
      <c r="CC734" s="34"/>
      <c r="CD734" s="34"/>
      <c r="CE734" s="34"/>
      <c r="CF734" s="34"/>
      <c r="CG734" s="34"/>
      <c r="CH734" s="34"/>
      <c r="CI734" s="34"/>
      <c r="CJ734" s="34"/>
      <c r="CK734" s="34"/>
      <c r="CL734" s="34"/>
      <c r="CM734" s="34"/>
      <c r="CN734" s="34"/>
      <c r="CO734" s="34"/>
      <c r="CP734" s="34"/>
      <c r="CQ734" s="34"/>
      <c r="CR734" s="34"/>
      <c r="CS734" s="34"/>
      <c r="CT734" s="34"/>
      <c r="CU734" s="34"/>
      <c r="CV734" s="34"/>
      <c r="CW734" s="34"/>
      <c r="CX734" s="34"/>
      <c r="CY734" s="34"/>
      <c r="CZ734" s="34"/>
      <c r="DA734" s="34"/>
      <c r="DB734" s="34"/>
      <c r="DC734" s="34"/>
      <c r="DD734" s="34"/>
      <c r="DE734" s="34"/>
      <c r="DF734" s="34"/>
      <c r="DG734" s="34"/>
      <c r="DH734" s="34"/>
    </row>
    <row r="735" spans="1:112" customFormat="1" ht="119" x14ac:dyDescent="0.2">
      <c r="A735" s="2" t="s">
        <v>2298</v>
      </c>
      <c r="B735" s="2" t="s">
        <v>2299</v>
      </c>
      <c r="C735" s="2" t="s">
        <v>2300</v>
      </c>
      <c r="D735" s="1">
        <v>5</v>
      </c>
      <c r="E735" s="2" t="s">
        <v>23</v>
      </c>
      <c r="F735" s="2"/>
      <c r="G735" s="2" t="s">
        <v>2190</v>
      </c>
      <c r="H735" s="2" t="s">
        <v>1871</v>
      </c>
      <c r="I735" s="2" t="s">
        <v>2270</v>
      </c>
      <c r="J735" s="25" t="s">
        <v>27</v>
      </c>
      <c r="K735" s="25" t="s">
        <v>1121</v>
      </c>
      <c r="L735" s="25" t="s">
        <v>1996</v>
      </c>
      <c r="M735" s="25" t="s">
        <v>1997</v>
      </c>
      <c r="N735" s="25" t="s">
        <v>2301</v>
      </c>
      <c r="O735" s="25" t="s">
        <v>183</v>
      </c>
      <c r="P735" s="25" t="s">
        <v>617</v>
      </c>
      <c r="Q735" s="25" t="s">
        <v>41</v>
      </c>
      <c r="R735" s="25" t="s">
        <v>32</v>
      </c>
      <c r="S735" s="25" t="s">
        <v>33</v>
      </c>
      <c r="T735" s="25" t="s">
        <v>2302</v>
      </c>
      <c r="U735" s="25" t="s">
        <v>2303</v>
      </c>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c r="BK735" s="25"/>
      <c r="BL735" s="25"/>
      <c r="BM735" s="25"/>
      <c r="BN735" s="25"/>
      <c r="BO735" s="25"/>
      <c r="BP735" s="25"/>
      <c r="BQ735" s="25"/>
      <c r="BR735" s="25"/>
      <c r="BS735" s="25"/>
      <c r="BT735" s="25"/>
      <c r="BU735" s="25"/>
      <c r="BV735" s="25"/>
      <c r="BW735" s="25"/>
      <c r="BX735" s="25"/>
      <c r="BY735" s="25"/>
      <c r="BZ735" s="25"/>
      <c r="CA735" s="25"/>
      <c r="CB735" s="25"/>
      <c r="CC735" s="25"/>
      <c r="CD735" s="25"/>
      <c r="CE735" s="25"/>
      <c r="CF735" s="25"/>
      <c r="CG735" s="25"/>
      <c r="CH735" s="25"/>
      <c r="CI735" s="25"/>
      <c r="CJ735" s="25"/>
      <c r="CK735" s="25"/>
      <c r="CL735" s="25"/>
      <c r="CM735" s="25"/>
      <c r="CN735" s="25"/>
      <c r="CO735" s="25"/>
      <c r="CP735" s="25"/>
      <c r="CQ735" s="25"/>
      <c r="CR735" s="25"/>
      <c r="CS735" s="25"/>
      <c r="CT735" s="25"/>
      <c r="CU735" s="25"/>
      <c r="CV735" s="25"/>
      <c r="CW735" s="25"/>
      <c r="CX735" s="25"/>
      <c r="CY735" s="25"/>
      <c r="CZ735" s="25"/>
      <c r="DA735" s="25"/>
      <c r="DB735" s="25"/>
      <c r="DC735" s="25"/>
      <c r="DD735" s="25"/>
      <c r="DE735" s="25"/>
      <c r="DF735" s="25"/>
      <c r="DG735" s="25"/>
      <c r="DH735" s="25"/>
    </row>
    <row r="736" spans="1:112" customFormat="1" ht="119" x14ac:dyDescent="0.2">
      <c r="A736" s="2" t="s">
        <v>2304</v>
      </c>
      <c r="B736" s="2" t="s">
        <v>2305</v>
      </c>
      <c r="C736" s="2" t="s">
        <v>2305</v>
      </c>
      <c r="D736" s="1">
        <v>5</v>
      </c>
      <c r="E736" s="2" t="s">
        <v>23</v>
      </c>
      <c r="F736" s="2"/>
      <c r="G736" s="2" t="s">
        <v>2190</v>
      </c>
      <c r="H736" s="2" t="s">
        <v>680</v>
      </c>
      <c r="I736" s="2" t="s">
        <v>1120</v>
      </c>
      <c r="J736" s="25" t="s">
        <v>27</v>
      </c>
      <c r="K736" s="25" t="s">
        <v>1121</v>
      </c>
      <c r="L736" s="25" t="s">
        <v>1996</v>
      </c>
      <c r="M736" s="25" t="s">
        <v>1997</v>
      </c>
      <c r="N736" s="25" t="s">
        <v>2306</v>
      </c>
      <c r="O736" s="25" t="s">
        <v>183</v>
      </c>
      <c r="P736" s="25" t="s">
        <v>792</v>
      </c>
      <c r="Q736" s="25" t="s">
        <v>41</v>
      </c>
      <c r="R736" s="25" t="s">
        <v>32</v>
      </c>
      <c r="S736" s="25" t="s">
        <v>33</v>
      </c>
      <c r="T736" s="25" t="s">
        <v>2307</v>
      </c>
      <c r="U736" s="25" t="s">
        <v>2308</v>
      </c>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c r="BK736" s="25"/>
      <c r="BL736" s="25"/>
      <c r="BM736" s="25"/>
      <c r="BN736" s="25"/>
      <c r="BO736" s="25"/>
      <c r="BP736" s="25"/>
      <c r="BQ736" s="25"/>
      <c r="BR736" s="25"/>
      <c r="BS736" s="25"/>
      <c r="BT736" s="25"/>
      <c r="BU736" s="25"/>
      <c r="BV736" s="25"/>
      <c r="BW736" s="25"/>
      <c r="BX736" s="25"/>
      <c r="BY736" s="25"/>
      <c r="BZ736" s="25"/>
      <c r="CA736" s="25"/>
      <c r="CB736" s="25"/>
      <c r="CC736" s="25"/>
      <c r="CD736" s="25"/>
      <c r="CE736" s="25"/>
      <c r="CF736" s="25"/>
      <c r="CG736" s="25"/>
      <c r="CH736" s="25"/>
      <c r="CI736" s="25"/>
      <c r="CJ736" s="25"/>
      <c r="CK736" s="25"/>
      <c r="CL736" s="25"/>
      <c r="CM736" s="25"/>
      <c r="CN736" s="25"/>
      <c r="CO736" s="25"/>
      <c r="CP736" s="25"/>
      <c r="CQ736" s="25"/>
      <c r="CR736" s="25"/>
      <c r="CS736" s="25"/>
      <c r="CT736" s="25"/>
      <c r="CU736" s="25"/>
      <c r="CV736" s="25"/>
      <c r="CW736" s="25"/>
      <c r="CX736" s="25"/>
      <c r="CY736" s="25"/>
      <c r="CZ736" s="25"/>
      <c r="DA736" s="25"/>
      <c r="DB736" s="25"/>
      <c r="DC736" s="25"/>
      <c r="DD736" s="25"/>
      <c r="DE736" s="25"/>
      <c r="DF736" s="25"/>
      <c r="DG736" s="25"/>
      <c r="DH736" s="25"/>
    </row>
    <row r="737" spans="1:112" customFormat="1" ht="92" customHeight="1" x14ac:dyDescent="0.2">
      <c r="A737" s="2" t="s">
        <v>2309</v>
      </c>
      <c r="B737" s="2" t="s">
        <v>2310</v>
      </c>
      <c r="C737" s="2" t="s">
        <v>2310</v>
      </c>
      <c r="D737" s="1">
        <v>5</v>
      </c>
      <c r="E737" s="2" t="s">
        <v>23</v>
      </c>
      <c r="F737" s="2"/>
      <c r="G737" s="2" t="s">
        <v>2190</v>
      </c>
      <c r="H737" s="2" t="s">
        <v>680</v>
      </c>
      <c r="I737" s="2" t="s">
        <v>1120</v>
      </c>
      <c r="J737" s="25" t="s">
        <v>27</v>
      </c>
      <c r="K737" s="25" t="s">
        <v>1121</v>
      </c>
      <c r="L737" s="25" t="s">
        <v>1996</v>
      </c>
      <c r="M737" s="25" t="s">
        <v>1997</v>
      </c>
      <c r="N737" s="25" t="s">
        <v>2306</v>
      </c>
      <c r="O737" s="25" t="s">
        <v>183</v>
      </c>
      <c r="P737" s="25" t="s">
        <v>792</v>
      </c>
      <c r="Q737" s="25" t="s">
        <v>199</v>
      </c>
      <c r="R737" s="25" t="s">
        <v>32</v>
      </c>
      <c r="S737" s="25" t="s">
        <v>33</v>
      </c>
      <c r="T737" s="25" t="s">
        <v>2307</v>
      </c>
      <c r="U737" s="25" t="s">
        <v>2308</v>
      </c>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c r="BK737" s="25"/>
      <c r="BL737" s="25"/>
      <c r="BM737" s="25"/>
      <c r="BN737" s="25"/>
      <c r="BO737" s="25"/>
      <c r="BP737" s="25"/>
      <c r="BQ737" s="25"/>
      <c r="BR737" s="25"/>
      <c r="BS737" s="25"/>
      <c r="BT737" s="25"/>
      <c r="BU737" s="25"/>
      <c r="BV737" s="25"/>
      <c r="BW737" s="25"/>
      <c r="BX737" s="25"/>
      <c r="BY737" s="25"/>
      <c r="BZ737" s="25"/>
      <c r="CA737" s="25"/>
      <c r="CB737" s="25"/>
      <c r="CC737" s="25"/>
      <c r="CD737" s="25"/>
      <c r="CE737" s="25"/>
      <c r="CF737" s="25"/>
      <c r="CG737" s="25"/>
      <c r="CH737" s="25"/>
      <c r="CI737" s="25"/>
      <c r="CJ737" s="25"/>
      <c r="CK737" s="25"/>
      <c r="CL737" s="25"/>
      <c r="CM737" s="25"/>
      <c r="CN737" s="25"/>
      <c r="CO737" s="25"/>
      <c r="CP737" s="25"/>
      <c r="CQ737" s="25"/>
      <c r="CR737" s="25"/>
      <c r="CS737" s="25"/>
      <c r="CT737" s="25"/>
      <c r="CU737" s="25"/>
      <c r="CV737" s="25"/>
      <c r="CW737" s="25"/>
      <c r="CX737" s="25"/>
      <c r="CY737" s="25"/>
      <c r="CZ737" s="25"/>
      <c r="DA737" s="25"/>
      <c r="DB737" s="25"/>
      <c r="DC737" s="25"/>
      <c r="DD737" s="25"/>
      <c r="DE737" s="25"/>
      <c r="DF737" s="25"/>
      <c r="DG737" s="25"/>
      <c r="DH737" s="25"/>
    </row>
    <row r="738" spans="1:112" customFormat="1" ht="119" x14ac:dyDescent="0.2">
      <c r="A738" s="2" t="s">
        <v>2311</v>
      </c>
      <c r="B738" s="2" t="s">
        <v>2312</v>
      </c>
      <c r="C738" s="2" t="s">
        <v>2313</v>
      </c>
      <c r="D738" s="1">
        <v>5</v>
      </c>
      <c r="E738" s="2" t="s">
        <v>23</v>
      </c>
      <c r="F738" s="2"/>
      <c r="G738" s="2" t="s">
        <v>2190</v>
      </c>
      <c r="H738" s="2" t="s">
        <v>1871</v>
      </c>
      <c r="I738" s="2" t="s">
        <v>2270</v>
      </c>
      <c r="J738" s="25" t="s">
        <v>27</v>
      </c>
      <c r="K738" s="25" t="s">
        <v>1121</v>
      </c>
      <c r="L738" s="25" t="s">
        <v>1996</v>
      </c>
      <c r="M738" s="25" t="s">
        <v>1997</v>
      </c>
      <c r="N738" s="25" t="s">
        <v>2314</v>
      </c>
      <c r="O738" s="25" t="s">
        <v>183</v>
      </c>
      <c r="P738" s="25" t="s">
        <v>629</v>
      </c>
      <c r="Q738" s="25" t="s">
        <v>41</v>
      </c>
      <c r="R738" s="25" t="s">
        <v>32</v>
      </c>
      <c r="S738" s="25" t="s">
        <v>33</v>
      </c>
      <c r="T738" s="25" t="s">
        <v>2315</v>
      </c>
      <c r="U738" s="25" t="s">
        <v>4517</v>
      </c>
      <c r="V738" s="25" t="s">
        <v>4518</v>
      </c>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c r="BK738" s="25"/>
      <c r="BL738" s="25"/>
      <c r="BM738" s="25"/>
      <c r="BN738" s="25"/>
      <c r="BO738" s="25"/>
      <c r="BP738" s="25"/>
      <c r="BQ738" s="25"/>
      <c r="BR738" s="25"/>
      <c r="BS738" s="25"/>
      <c r="BT738" s="25"/>
      <c r="BU738" s="25"/>
      <c r="BV738" s="25"/>
      <c r="BW738" s="25"/>
      <c r="BX738" s="25"/>
      <c r="BY738" s="25"/>
      <c r="BZ738" s="25"/>
      <c r="CA738" s="25"/>
      <c r="CB738" s="25"/>
      <c r="CC738" s="25"/>
      <c r="CD738" s="25"/>
      <c r="CE738" s="25"/>
      <c r="CF738" s="25"/>
      <c r="CG738" s="25"/>
      <c r="CH738" s="25"/>
      <c r="CI738" s="25"/>
      <c r="CJ738" s="25"/>
      <c r="CK738" s="25"/>
      <c r="CL738" s="25"/>
      <c r="CM738" s="25"/>
      <c r="CN738" s="25"/>
      <c r="CO738" s="25"/>
      <c r="CP738" s="25"/>
      <c r="CQ738" s="25"/>
      <c r="CR738" s="25"/>
      <c r="CS738" s="25"/>
      <c r="CT738" s="25"/>
      <c r="CU738" s="25"/>
      <c r="CV738" s="25"/>
      <c r="CW738" s="25"/>
      <c r="CX738" s="25"/>
      <c r="CY738" s="25"/>
      <c r="CZ738" s="25"/>
      <c r="DA738" s="25"/>
      <c r="DB738" s="25"/>
      <c r="DC738" s="25"/>
      <c r="DD738" s="25"/>
      <c r="DE738" s="25"/>
      <c r="DF738" s="25"/>
      <c r="DG738" s="25"/>
      <c r="DH738" s="25"/>
    </row>
    <row r="739" spans="1:112" customFormat="1" ht="119" x14ac:dyDescent="0.2">
      <c r="A739" s="7" t="s">
        <v>5482</v>
      </c>
      <c r="B739" s="7" t="s">
        <v>5483</v>
      </c>
      <c r="C739" s="2" t="s">
        <v>5484</v>
      </c>
      <c r="D739" s="1">
        <v>5</v>
      </c>
      <c r="E739" s="2" t="s">
        <v>23</v>
      </c>
      <c r="F739" s="2"/>
      <c r="G739" s="2" t="s">
        <v>2190</v>
      </c>
      <c r="H739" s="2" t="s">
        <v>1871</v>
      </c>
      <c r="I739" s="2" t="s">
        <v>2270</v>
      </c>
      <c r="J739" s="34" t="s">
        <v>27</v>
      </c>
      <c r="K739" s="34" t="s">
        <v>1121</v>
      </c>
      <c r="L739" s="34" t="s">
        <v>1996</v>
      </c>
      <c r="M739" s="34" t="s">
        <v>1997</v>
      </c>
      <c r="N739" s="34" t="s">
        <v>2314</v>
      </c>
      <c r="O739" s="34" t="s">
        <v>183</v>
      </c>
      <c r="P739" s="34" t="s">
        <v>629</v>
      </c>
      <c r="Q739" s="34" t="s">
        <v>199</v>
      </c>
      <c r="R739" s="34" t="s">
        <v>32</v>
      </c>
      <c r="S739" s="34" t="s">
        <v>33</v>
      </c>
      <c r="T739" s="34" t="s">
        <v>2315</v>
      </c>
      <c r="U739" s="34" t="s">
        <v>5485</v>
      </c>
      <c r="V739" s="34" t="s">
        <v>5486</v>
      </c>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c r="CA739" s="34"/>
      <c r="CB739" s="34"/>
      <c r="CC739" s="34"/>
      <c r="CD739" s="34"/>
      <c r="CE739" s="34"/>
      <c r="CF739" s="34"/>
      <c r="CG739" s="34"/>
      <c r="CH739" s="34"/>
      <c r="CI739" s="34"/>
      <c r="CJ739" s="34"/>
      <c r="CK739" s="34"/>
      <c r="CL739" s="34"/>
      <c r="CM739" s="34"/>
      <c r="CN739" s="34"/>
      <c r="CO739" s="34"/>
      <c r="CP739" s="34"/>
      <c r="CQ739" s="34"/>
      <c r="CR739" s="34"/>
      <c r="CS739" s="34"/>
      <c r="CT739" s="34"/>
      <c r="CU739" s="34"/>
      <c r="CV739" s="34"/>
      <c r="CW739" s="34"/>
      <c r="CX739" s="34"/>
      <c r="CY739" s="34"/>
      <c r="CZ739" s="34"/>
      <c r="DA739" s="34"/>
      <c r="DB739" s="34"/>
      <c r="DC739" s="34"/>
      <c r="DD739" s="34"/>
      <c r="DE739" s="34"/>
      <c r="DF739" s="34"/>
      <c r="DG739" s="34"/>
      <c r="DH739" s="34"/>
    </row>
    <row r="740" spans="1:112" customFormat="1" ht="102" x14ac:dyDescent="0.2">
      <c r="A740" s="7" t="s">
        <v>5536</v>
      </c>
      <c r="B740" s="7" t="s">
        <v>5537</v>
      </c>
      <c r="C740" s="2" t="s">
        <v>5537</v>
      </c>
      <c r="D740" s="1">
        <v>5</v>
      </c>
      <c r="E740" s="2" t="s">
        <v>23</v>
      </c>
      <c r="F740" s="2"/>
      <c r="G740" s="2" t="s">
        <v>2190</v>
      </c>
      <c r="H740" s="2" t="s">
        <v>370</v>
      </c>
      <c r="I740" s="2" t="s">
        <v>790</v>
      </c>
      <c r="J740" s="34" t="s">
        <v>763</v>
      </c>
      <c r="K740" s="34" t="s">
        <v>764</v>
      </c>
      <c r="L740" s="34" t="s">
        <v>764</v>
      </c>
      <c r="M740" s="34" t="s">
        <v>765</v>
      </c>
      <c r="N740" s="34" t="s">
        <v>5538</v>
      </c>
      <c r="O740" s="34" t="s">
        <v>2737</v>
      </c>
      <c r="P740" s="34" t="s">
        <v>2570</v>
      </c>
      <c r="Q740" s="34" t="s">
        <v>41</v>
      </c>
      <c r="R740" s="34" t="s">
        <v>32</v>
      </c>
      <c r="S740" s="34" t="s">
        <v>33</v>
      </c>
      <c r="T740" s="34" t="s">
        <v>5539</v>
      </c>
      <c r="U740" s="34" t="s">
        <v>5540</v>
      </c>
      <c r="V740" s="34" t="s">
        <v>5540</v>
      </c>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c r="CA740" s="34"/>
      <c r="CB740" s="34"/>
      <c r="CC740" s="34"/>
      <c r="CD740" s="34"/>
      <c r="CE740" s="34"/>
      <c r="CF740" s="34"/>
      <c r="CG740" s="34"/>
      <c r="CH740" s="34"/>
      <c r="CI740" s="34"/>
      <c r="CJ740" s="34"/>
      <c r="CK740" s="34"/>
      <c r="CL740" s="34"/>
      <c r="CM740" s="34"/>
      <c r="CN740" s="34"/>
      <c r="CO740" s="34"/>
      <c r="CP740" s="34"/>
      <c r="CQ740" s="34"/>
      <c r="CR740" s="34"/>
      <c r="CS740" s="34"/>
      <c r="CT740" s="34"/>
      <c r="CU740" s="34"/>
      <c r="CV740" s="34"/>
      <c r="CW740" s="34"/>
      <c r="CX740" s="34"/>
      <c r="CY740" s="34"/>
      <c r="CZ740" s="34"/>
      <c r="DA740" s="34"/>
      <c r="DB740" s="34"/>
      <c r="DC740" s="34"/>
      <c r="DD740" s="34"/>
      <c r="DE740" s="34"/>
      <c r="DF740" s="34"/>
      <c r="DG740" s="34"/>
      <c r="DH740" s="34"/>
    </row>
    <row r="741" spans="1:112" customFormat="1" ht="102" x14ac:dyDescent="0.2">
      <c r="A741" s="7" t="s">
        <v>5541</v>
      </c>
      <c r="B741" s="7" t="s">
        <v>5542</v>
      </c>
      <c r="C741" s="2" t="s">
        <v>5542</v>
      </c>
      <c r="D741" s="1">
        <v>5</v>
      </c>
      <c r="E741" s="2" t="s">
        <v>23</v>
      </c>
      <c r="F741" s="2"/>
      <c r="G741" s="2" t="s">
        <v>2190</v>
      </c>
      <c r="H741" s="2" t="s">
        <v>370</v>
      </c>
      <c r="I741" s="2" t="s">
        <v>790</v>
      </c>
      <c r="J741" s="34" t="s">
        <v>763</v>
      </c>
      <c r="K741" s="34" t="s">
        <v>764</v>
      </c>
      <c r="L741" s="34" t="s">
        <v>764</v>
      </c>
      <c r="M741" s="34" t="s">
        <v>765</v>
      </c>
      <c r="N741" s="34" t="s">
        <v>5538</v>
      </c>
      <c r="O741" s="34" t="s">
        <v>2737</v>
      </c>
      <c r="P741" s="34" t="s">
        <v>2570</v>
      </c>
      <c r="Q741" s="34" t="s">
        <v>199</v>
      </c>
      <c r="R741" s="34" t="s">
        <v>32</v>
      </c>
      <c r="S741" s="34" t="s">
        <v>33</v>
      </c>
      <c r="T741" s="34" t="s">
        <v>5539</v>
      </c>
      <c r="U741" s="34" t="s">
        <v>5540</v>
      </c>
      <c r="V741" s="34" t="s">
        <v>5540</v>
      </c>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c r="CA741" s="34"/>
      <c r="CB741" s="34"/>
      <c r="CC741" s="34"/>
      <c r="CD741" s="34"/>
      <c r="CE741" s="34"/>
      <c r="CF741" s="34"/>
      <c r="CG741" s="34"/>
      <c r="CH741" s="34"/>
      <c r="CI741" s="34"/>
      <c r="CJ741" s="34"/>
      <c r="CK741" s="34"/>
      <c r="CL741" s="34"/>
      <c r="CM741" s="34"/>
      <c r="CN741" s="34"/>
      <c r="CO741" s="34"/>
      <c r="CP741" s="34"/>
      <c r="CQ741" s="34"/>
      <c r="CR741" s="34"/>
      <c r="CS741" s="34"/>
      <c r="CT741" s="34"/>
      <c r="CU741" s="34"/>
      <c r="CV741" s="34"/>
      <c r="CW741" s="34"/>
      <c r="CX741" s="34"/>
      <c r="CY741" s="34"/>
      <c r="CZ741" s="34"/>
      <c r="DA741" s="34"/>
      <c r="DB741" s="34"/>
      <c r="DC741" s="34"/>
      <c r="DD741" s="34"/>
      <c r="DE741" s="34"/>
      <c r="DF741" s="34"/>
      <c r="DG741" s="34"/>
      <c r="DH741" s="34"/>
    </row>
    <row r="742" spans="1:112" customFormat="1" ht="102" x14ac:dyDescent="0.2">
      <c r="A742" s="2" t="s">
        <v>2323</v>
      </c>
      <c r="B742" s="2" t="s">
        <v>2324</v>
      </c>
      <c r="C742" s="2" t="s">
        <v>2324</v>
      </c>
      <c r="D742" s="1">
        <v>5</v>
      </c>
      <c r="E742" s="2" t="s">
        <v>23</v>
      </c>
      <c r="F742" s="2"/>
      <c r="G742" s="2" t="s">
        <v>2190</v>
      </c>
      <c r="H742" s="2" t="s">
        <v>370</v>
      </c>
      <c r="I742" s="2" t="s">
        <v>790</v>
      </c>
      <c r="J742" s="25" t="s">
        <v>763</v>
      </c>
      <c r="K742" s="25" t="s">
        <v>764</v>
      </c>
      <c r="L742" s="25" t="s">
        <v>764</v>
      </c>
      <c r="M742" s="25" t="s">
        <v>765</v>
      </c>
      <c r="N742" s="25" t="s">
        <v>2325</v>
      </c>
      <c r="O742" s="25" t="s">
        <v>767</v>
      </c>
      <c r="P742" s="25" t="s">
        <v>2326</v>
      </c>
      <c r="Q742" s="25" t="s">
        <v>41</v>
      </c>
      <c r="R742" s="25" t="s">
        <v>32</v>
      </c>
      <c r="S742" s="25" t="s">
        <v>33</v>
      </c>
      <c r="T742" s="25" t="s">
        <v>793</v>
      </c>
      <c r="U742" s="25" t="s">
        <v>4519</v>
      </c>
      <c r="V742" s="25" t="s">
        <v>4520</v>
      </c>
      <c r="W742" s="25" t="s">
        <v>4521</v>
      </c>
      <c r="X742" s="25" t="s">
        <v>4522</v>
      </c>
      <c r="Y742" s="25" t="s">
        <v>4523</v>
      </c>
      <c r="Z742" s="25" t="s">
        <v>4524</v>
      </c>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c r="BK742" s="25"/>
      <c r="BL742" s="25"/>
      <c r="BM742" s="25"/>
      <c r="BN742" s="25"/>
      <c r="BO742" s="25"/>
      <c r="BP742" s="25"/>
      <c r="BQ742" s="25"/>
      <c r="BR742" s="25"/>
      <c r="BS742" s="25"/>
      <c r="BT742" s="25"/>
      <c r="BU742" s="25"/>
      <c r="BV742" s="25"/>
      <c r="BW742" s="25"/>
      <c r="BX742" s="25"/>
      <c r="BY742" s="25"/>
      <c r="BZ742" s="25"/>
      <c r="CA742" s="25"/>
      <c r="CB742" s="25"/>
      <c r="CC742" s="25"/>
      <c r="CD742" s="25"/>
      <c r="CE742" s="25"/>
      <c r="CF742" s="25"/>
      <c r="CG742" s="25"/>
      <c r="CH742" s="25"/>
      <c r="CI742" s="25"/>
      <c r="CJ742" s="25"/>
      <c r="CK742" s="25"/>
      <c r="CL742" s="25"/>
      <c r="CM742" s="25"/>
      <c r="CN742" s="25"/>
      <c r="CO742" s="25"/>
      <c r="CP742" s="25"/>
      <c r="CQ742" s="25"/>
      <c r="CR742" s="25"/>
      <c r="CS742" s="25"/>
      <c r="CT742" s="25"/>
      <c r="CU742" s="25"/>
      <c r="CV742" s="25"/>
      <c r="CW742" s="25"/>
      <c r="CX742" s="25"/>
      <c r="CY742" s="25"/>
      <c r="CZ742" s="25"/>
      <c r="DA742" s="25"/>
      <c r="DB742" s="25"/>
      <c r="DC742" s="25"/>
      <c r="DD742" s="25"/>
      <c r="DE742" s="25"/>
      <c r="DF742" s="25"/>
      <c r="DG742" s="25"/>
      <c r="DH742" s="25"/>
    </row>
    <row r="743" spans="1:112" customFormat="1" ht="102" x14ac:dyDescent="0.2">
      <c r="A743" s="2" t="s">
        <v>2327</v>
      </c>
      <c r="B743" s="2" t="s">
        <v>2328</v>
      </c>
      <c r="C743" s="2" t="s">
        <v>2328</v>
      </c>
      <c r="D743" s="1">
        <v>5</v>
      </c>
      <c r="E743" s="2" t="s">
        <v>23</v>
      </c>
      <c r="F743" s="2"/>
      <c r="G743" s="2" t="s">
        <v>2190</v>
      </c>
      <c r="H743" s="2" t="s">
        <v>370</v>
      </c>
      <c r="I743" s="2" t="s">
        <v>790</v>
      </c>
      <c r="J743" s="25" t="s">
        <v>763</v>
      </c>
      <c r="K743" s="25" t="s">
        <v>764</v>
      </c>
      <c r="L743" s="25" t="s">
        <v>764</v>
      </c>
      <c r="M743" s="25" t="s">
        <v>765</v>
      </c>
      <c r="N743" s="25" t="s">
        <v>2329</v>
      </c>
      <c r="O743" s="25" t="s">
        <v>767</v>
      </c>
      <c r="P743" s="25" t="s">
        <v>1478</v>
      </c>
      <c r="Q743" s="25" t="s">
        <v>41</v>
      </c>
      <c r="R743" s="25" t="s">
        <v>32</v>
      </c>
      <c r="S743" s="25" t="s">
        <v>33</v>
      </c>
      <c r="T743" s="25" t="s">
        <v>2330</v>
      </c>
      <c r="U743" s="25" t="s">
        <v>4525</v>
      </c>
      <c r="V743" s="25" t="s">
        <v>4526</v>
      </c>
      <c r="W743" s="25" t="s">
        <v>4527</v>
      </c>
      <c r="X743" s="25" t="s">
        <v>4528</v>
      </c>
      <c r="Y743" s="25" t="s">
        <v>4529</v>
      </c>
      <c r="Z743" s="25" t="s">
        <v>4530</v>
      </c>
      <c r="AA743" s="25" t="s">
        <v>4531</v>
      </c>
      <c r="AB743" s="25" t="s">
        <v>4532</v>
      </c>
      <c r="AC743" s="25" t="s">
        <v>4533</v>
      </c>
      <c r="AD743" s="25" t="s">
        <v>4534</v>
      </c>
      <c r="AE743" s="25" t="s">
        <v>4535</v>
      </c>
      <c r="AF743" s="25" t="s">
        <v>4536</v>
      </c>
      <c r="AG743" s="25" t="s">
        <v>4537</v>
      </c>
      <c r="AH743" s="25" t="s">
        <v>4538</v>
      </c>
      <c r="AI743" s="25" t="s">
        <v>4539</v>
      </c>
      <c r="AJ743" s="25" t="s">
        <v>4540</v>
      </c>
      <c r="AK743" s="25" t="s">
        <v>4541</v>
      </c>
      <c r="AL743" s="25" t="s">
        <v>4542</v>
      </c>
      <c r="AM743" s="25" t="s">
        <v>4543</v>
      </c>
      <c r="AN743" s="25" t="s">
        <v>4544</v>
      </c>
      <c r="AO743" s="25" t="s">
        <v>4545</v>
      </c>
      <c r="AP743" s="25"/>
      <c r="AQ743" s="25"/>
      <c r="AR743" s="25"/>
      <c r="AS743" s="25"/>
      <c r="AT743" s="25"/>
      <c r="AU743" s="25"/>
      <c r="AV743" s="25"/>
      <c r="AW743" s="25"/>
      <c r="AX743" s="25"/>
      <c r="AY743" s="25"/>
      <c r="AZ743" s="25"/>
      <c r="BA743" s="25"/>
      <c r="BB743" s="25"/>
      <c r="BC743" s="25"/>
      <c r="BD743" s="25"/>
      <c r="BE743" s="25"/>
      <c r="BF743" s="25"/>
      <c r="BG743" s="25"/>
      <c r="BH743" s="25"/>
      <c r="BI743" s="25"/>
      <c r="BJ743" s="25"/>
      <c r="BK743" s="25"/>
      <c r="BL743" s="25"/>
      <c r="BM743" s="25"/>
      <c r="BN743" s="25"/>
      <c r="BO743" s="25"/>
      <c r="BP743" s="25"/>
      <c r="BQ743" s="25"/>
      <c r="BR743" s="25"/>
      <c r="BS743" s="25"/>
      <c r="BT743" s="25"/>
      <c r="BU743" s="25"/>
      <c r="BV743" s="25"/>
      <c r="BW743" s="25"/>
      <c r="BX743" s="25"/>
      <c r="BY743" s="25"/>
      <c r="BZ743" s="25"/>
      <c r="CA743" s="25"/>
      <c r="CB743" s="25"/>
      <c r="CC743" s="25"/>
      <c r="CD743" s="25"/>
      <c r="CE743" s="25"/>
      <c r="CF743" s="25"/>
      <c r="CG743" s="25"/>
      <c r="CH743" s="25"/>
      <c r="CI743" s="25"/>
      <c r="CJ743" s="25"/>
      <c r="CK743" s="25"/>
      <c r="CL743" s="25"/>
      <c r="CM743" s="25"/>
      <c r="CN743" s="25"/>
      <c r="CO743" s="25"/>
      <c r="CP743" s="25"/>
      <c r="CQ743" s="25"/>
      <c r="CR743" s="25"/>
      <c r="CS743" s="25"/>
      <c r="CT743" s="25"/>
      <c r="CU743" s="25"/>
      <c r="CV743" s="25"/>
      <c r="CW743" s="25"/>
      <c r="CX743" s="25"/>
      <c r="CY743" s="25"/>
      <c r="CZ743" s="25"/>
      <c r="DA743" s="25"/>
      <c r="DB743" s="25"/>
      <c r="DC743" s="25"/>
      <c r="DD743" s="25"/>
      <c r="DE743" s="25"/>
      <c r="DF743" s="25"/>
      <c r="DG743" s="25"/>
      <c r="DH743" s="25"/>
    </row>
    <row r="744" spans="1:112" customFormat="1" ht="102" x14ac:dyDescent="0.2">
      <c r="A744" s="2" t="s">
        <v>2331</v>
      </c>
      <c r="B744" s="2" t="s">
        <v>2332</v>
      </c>
      <c r="C744" s="2" t="s">
        <v>2332</v>
      </c>
      <c r="D744" s="1">
        <v>5</v>
      </c>
      <c r="E744" s="2" t="s">
        <v>23</v>
      </c>
      <c r="F744" s="2"/>
      <c r="G744" s="2" t="s">
        <v>2190</v>
      </c>
      <c r="H744" s="2" t="s">
        <v>370</v>
      </c>
      <c r="I744" s="2" t="s">
        <v>790</v>
      </c>
      <c r="J744" s="25" t="s">
        <v>763</v>
      </c>
      <c r="K744" s="25" t="s">
        <v>764</v>
      </c>
      <c r="L744" s="25" t="s">
        <v>764</v>
      </c>
      <c r="M744" s="25" t="s">
        <v>765</v>
      </c>
      <c r="N744" s="25" t="s">
        <v>2333</v>
      </c>
      <c r="O744" s="25" t="s">
        <v>767</v>
      </c>
      <c r="P744" s="25" t="s">
        <v>2334</v>
      </c>
      <c r="Q744" s="25" t="s">
        <v>41</v>
      </c>
      <c r="R744" s="25" t="s">
        <v>32</v>
      </c>
      <c r="S744" s="25" t="s">
        <v>33</v>
      </c>
      <c r="T744" s="25" t="s">
        <v>2335</v>
      </c>
      <c r="U744" s="25" t="s">
        <v>2336</v>
      </c>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c r="BK744" s="25"/>
      <c r="BL744" s="25"/>
      <c r="BM744" s="25"/>
      <c r="BN744" s="25"/>
      <c r="BO744" s="25"/>
      <c r="BP744" s="25"/>
      <c r="BQ744" s="25"/>
      <c r="BR744" s="25"/>
      <c r="BS744" s="25"/>
      <c r="BT744" s="25"/>
      <c r="BU744" s="25"/>
      <c r="BV744" s="25"/>
      <c r="BW744" s="25"/>
      <c r="BX744" s="25"/>
      <c r="BY744" s="25"/>
      <c r="BZ744" s="25"/>
      <c r="CA744" s="25"/>
      <c r="CB744" s="25"/>
      <c r="CC744" s="25"/>
      <c r="CD744" s="25"/>
      <c r="CE744" s="25"/>
      <c r="CF744" s="25"/>
      <c r="CG744" s="25"/>
      <c r="CH744" s="25"/>
      <c r="CI744" s="25"/>
      <c r="CJ744" s="25"/>
      <c r="CK744" s="25"/>
      <c r="CL744" s="25"/>
      <c r="CM744" s="25"/>
      <c r="CN744" s="25"/>
      <c r="CO744" s="25"/>
      <c r="CP744" s="25"/>
      <c r="CQ744" s="25"/>
      <c r="CR744" s="25"/>
      <c r="CS744" s="25"/>
      <c r="CT744" s="25"/>
      <c r="CU744" s="25"/>
      <c r="CV744" s="25"/>
      <c r="CW744" s="25"/>
      <c r="CX744" s="25"/>
      <c r="CY744" s="25"/>
      <c r="CZ744" s="25"/>
      <c r="DA744" s="25"/>
      <c r="DB744" s="25"/>
      <c r="DC744" s="25"/>
      <c r="DD744" s="25"/>
      <c r="DE744" s="25"/>
      <c r="DF744" s="25"/>
      <c r="DG744" s="25"/>
      <c r="DH744" s="25"/>
    </row>
    <row r="745" spans="1:112" customFormat="1" ht="102" x14ac:dyDescent="0.2">
      <c r="A745" s="2" t="s">
        <v>2337</v>
      </c>
      <c r="B745" s="2" t="s">
        <v>2338</v>
      </c>
      <c r="C745" s="2" t="s">
        <v>2338</v>
      </c>
      <c r="D745" s="1">
        <v>5</v>
      </c>
      <c r="E745" s="2" t="s">
        <v>23</v>
      </c>
      <c r="F745" s="2"/>
      <c r="G745" s="2" t="s">
        <v>2190</v>
      </c>
      <c r="H745" s="2" t="s">
        <v>370</v>
      </c>
      <c r="I745" s="2" t="s">
        <v>790</v>
      </c>
      <c r="J745" s="25" t="s">
        <v>763</v>
      </c>
      <c r="K745" s="25" t="s">
        <v>764</v>
      </c>
      <c r="L745" s="25" t="s">
        <v>764</v>
      </c>
      <c r="M745" s="25" t="s">
        <v>765</v>
      </c>
      <c r="N745" s="25" t="s">
        <v>2339</v>
      </c>
      <c r="O745" s="25" t="s">
        <v>767</v>
      </c>
      <c r="P745" s="25" t="s">
        <v>2281</v>
      </c>
      <c r="Q745" s="25" t="s">
        <v>41</v>
      </c>
      <c r="R745" s="25" t="s">
        <v>32</v>
      </c>
      <c r="S745" s="25" t="s">
        <v>33</v>
      </c>
      <c r="T745" s="25" t="s">
        <v>793</v>
      </c>
      <c r="U745" s="25" t="s">
        <v>4546</v>
      </c>
      <c r="V745" s="25" t="s">
        <v>4547</v>
      </c>
      <c r="W745" s="25" t="s">
        <v>4548</v>
      </c>
      <c r="X745" s="25" t="s">
        <v>4549</v>
      </c>
      <c r="Y745" s="25" t="s">
        <v>4550</v>
      </c>
      <c r="Z745" s="25" t="s">
        <v>4551</v>
      </c>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c r="BK745" s="25"/>
      <c r="BL745" s="25"/>
      <c r="BM745" s="25"/>
      <c r="BN745" s="25"/>
      <c r="BO745" s="25"/>
      <c r="BP745" s="25"/>
      <c r="BQ745" s="25"/>
      <c r="BR745" s="25"/>
      <c r="BS745" s="25"/>
      <c r="BT745" s="25"/>
      <c r="BU745" s="25"/>
      <c r="BV745" s="25"/>
      <c r="BW745" s="25"/>
      <c r="BX745" s="25"/>
      <c r="BY745" s="25"/>
      <c r="BZ745" s="25"/>
      <c r="CA745" s="25"/>
      <c r="CB745" s="25"/>
      <c r="CC745" s="25"/>
      <c r="CD745" s="25"/>
      <c r="CE745" s="25"/>
      <c r="CF745" s="25"/>
      <c r="CG745" s="25"/>
      <c r="CH745" s="25"/>
      <c r="CI745" s="25"/>
      <c r="CJ745" s="25"/>
      <c r="CK745" s="25"/>
      <c r="CL745" s="25"/>
      <c r="CM745" s="25"/>
      <c r="CN745" s="25"/>
      <c r="CO745" s="25"/>
      <c r="CP745" s="25"/>
      <c r="CQ745" s="25"/>
      <c r="CR745" s="25"/>
      <c r="CS745" s="25"/>
      <c r="CT745" s="25"/>
      <c r="CU745" s="25"/>
      <c r="CV745" s="25"/>
      <c r="CW745" s="25"/>
      <c r="CX745" s="25"/>
      <c r="CY745" s="25"/>
      <c r="CZ745" s="25"/>
      <c r="DA745" s="25"/>
      <c r="DB745" s="25"/>
      <c r="DC745" s="25"/>
      <c r="DD745" s="25"/>
      <c r="DE745" s="25"/>
      <c r="DF745" s="25"/>
      <c r="DG745" s="25"/>
      <c r="DH745" s="25"/>
    </row>
    <row r="746" spans="1:112" customFormat="1" ht="102" x14ac:dyDescent="0.2">
      <c r="A746" s="2" t="s">
        <v>2340</v>
      </c>
      <c r="B746" s="2" t="s">
        <v>2341</v>
      </c>
      <c r="C746" s="2" t="s">
        <v>2341</v>
      </c>
      <c r="D746" s="1">
        <v>5</v>
      </c>
      <c r="E746" s="2" t="s">
        <v>23</v>
      </c>
      <c r="F746" s="2"/>
      <c r="G746" s="2" t="s">
        <v>2190</v>
      </c>
      <c r="H746" s="2" t="s">
        <v>370</v>
      </c>
      <c r="I746" s="2" t="s">
        <v>790</v>
      </c>
      <c r="J746" s="25" t="s">
        <v>763</v>
      </c>
      <c r="K746" s="25" t="s">
        <v>764</v>
      </c>
      <c r="L746" s="25" t="s">
        <v>764</v>
      </c>
      <c r="M746" s="25" t="s">
        <v>765</v>
      </c>
      <c r="N746" s="25" t="s">
        <v>2342</v>
      </c>
      <c r="O746" s="25" t="s">
        <v>767</v>
      </c>
      <c r="P746" s="25" t="s">
        <v>2286</v>
      </c>
      <c r="Q746" s="25" t="s">
        <v>41</v>
      </c>
      <c r="R746" s="25" t="s">
        <v>32</v>
      </c>
      <c r="S746" s="25" t="s">
        <v>392</v>
      </c>
      <c r="T746" s="25" t="s">
        <v>2343</v>
      </c>
      <c r="U746" s="25" t="s">
        <v>4552</v>
      </c>
      <c r="V746" s="25" t="s">
        <v>4553</v>
      </c>
      <c r="W746" s="25" t="s">
        <v>4554</v>
      </c>
      <c r="X746" s="25" t="s">
        <v>4555</v>
      </c>
      <c r="Y746" s="25" t="s">
        <v>4556</v>
      </c>
      <c r="Z746" s="25" t="s">
        <v>4557</v>
      </c>
      <c r="AA746" s="25" t="s">
        <v>4558</v>
      </c>
      <c r="AB746" s="25" t="s">
        <v>4559</v>
      </c>
      <c r="AC746" s="25" t="s">
        <v>4560</v>
      </c>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c r="BK746" s="25"/>
      <c r="BL746" s="25"/>
      <c r="BM746" s="25"/>
      <c r="BN746" s="25"/>
      <c r="BO746" s="25"/>
      <c r="BP746" s="25"/>
      <c r="BQ746" s="25"/>
      <c r="BR746" s="25"/>
      <c r="BS746" s="25"/>
      <c r="BT746" s="25"/>
      <c r="BU746" s="25"/>
      <c r="BV746" s="25"/>
      <c r="BW746" s="25"/>
      <c r="BX746" s="25"/>
      <c r="BY746" s="25"/>
      <c r="BZ746" s="25"/>
      <c r="CA746" s="25"/>
      <c r="CB746" s="25"/>
      <c r="CC746" s="25"/>
      <c r="CD746" s="25"/>
      <c r="CE746" s="25"/>
      <c r="CF746" s="25"/>
      <c r="CG746" s="25"/>
      <c r="CH746" s="25"/>
      <c r="CI746" s="25"/>
      <c r="CJ746" s="25"/>
      <c r="CK746" s="25"/>
      <c r="CL746" s="25"/>
      <c r="CM746" s="25"/>
      <c r="CN746" s="25"/>
      <c r="CO746" s="25"/>
      <c r="CP746" s="25"/>
      <c r="CQ746" s="25"/>
      <c r="CR746" s="25"/>
      <c r="CS746" s="25"/>
      <c r="CT746" s="25"/>
      <c r="CU746" s="25"/>
      <c r="CV746" s="25"/>
      <c r="CW746" s="25"/>
      <c r="CX746" s="25"/>
      <c r="CY746" s="25"/>
      <c r="CZ746" s="25"/>
      <c r="DA746" s="25"/>
      <c r="DB746" s="25"/>
      <c r="DC746" s="25"/>
      <c r="DD746" s="25"/>
      <c r="DE746" s="25"/>
      <c r="DF746" s="25"/>
      <c r="DG746" s="25"/>
      <c r="DH746" s="25"/>
    </row>
    <row r="747" spans="1:112" customFormat="1" ht="102" x14ac:dyDescent="0.2">
      <c r="A747" s="2" t="s">
        <v>2344</v>
      </c>
      <c r="B747" s="2" t="s">
        <v>2345</v>
      </c>
      <c r="C747" s="2" t="s">
        <v>2345</v>
      </c>
      <c r="D747" s="1">
        <v>5</v>
      </c>
      <c r="E747" s="2" t="s">
        <v>23</v>
      </c>
      <c r="F747" s="2"/>
      <c r="G747" s="2" t="s">
        <v>2190</v>
      </c>
      <c r="H747" s="2" t="s">
        <v>370</v>
      </c>
      <c r="I747" s="2" t="s">
        <v>790</v>
      </c>
      <c r="J747" s="25" t="s">
        <v>763</v>
      </c>
      <c r="K747" s="25" t="s">
        <v>764</v>
      </c>
      <c r="L747" s="25" t="s">
        <v>764</v>
      </c>
      <c r="M747" s="25" t="s">
        <v>765</v>
      </c>
      <c r="N747" s="25" t="s">
        <v>2346</v>
      </c>
      <c r="O747" s="25" t="s">
        <v>767</v>
      </c>
      <c r="P747" s="25" t="s">
        <v>1820</v>
      </c>
      <c r="Q747" s="25" t="s">
        <v>41</v>
      </c>
      <c r="R747" s="25" t="s">
        <v>32</v>
      </c>
      <c r="S747" s="25" t="s">
        <v>33</v>
      </c>
      <c r="T747" s="25" t="s">
        <v>793</v>
      </c>
      <c r="U747" s="25" t="s">
        <v>4561</v>
      </c>
      <c r="V747" s="25" t="s">
        <v>4562</v>
      </c>
      <c r="W747" s="25" t="s">
        <v>4563</v>
      </c>
      <c r="X747" s="25" t="s">
        <v>4564</v>
      </c>
      <c r="Y747" s="25" t="s">
        <v>4565</v>
      </c>
      <c r="Z747" s="25" t="s">
        <v>4566</v>
      </c>
      <c r="AA747" s="25" t="s">
        <v>4567</v>
      </c>
      <c r="AB747" s="25" t="s">
        <v>4568</v>
      </c>
      <c r="AC747" s="25" t="s">
        <v>4569</v>
      </c>
      <c r="AD747" s="25" t="s">
        <v>4570</v>
      </c>
      <c r="AE747" s="25" t="s">
        <v>4571</v>
      </c>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c r="BK747" s="25"/>
      <c r="BL747" s="25"/>
      <c r="BM747" s="25"/>
      <c r="BN747" s="25"/>
      <c r="BO747" s="25"/>
      <c r="BP747" s="25"/>
      <c r="BQ747" s="25"/>
      <c r="BR747" s="25"/>
      <c r="BS747" s="25"/>
      <c r="BT747" s="25"/>
      <c r="BU747" s="25"/>
      <c r="BV747" s="25"/>
      <c r="BW747" s="25"/>
      <c r="BX747" s="25"/>
      <c r="BY747" s="25"/>
      <c r="BZ747" s="25"/>
      <c r="CA747" s="25"/>
      <c r="CB747" s="25"/>
      <c r="CC747" s="25"/>
      <c r="CD747" s="25"/>
      <c r="CE747" s="25"/>
      <c r="CF747" s="25"/>
      <c r="CG747" s="25"/>
      <c r="CH747" s="25"/>
      <c r="CI747" s="25"/>
      <c r="CJ747" s="25"/>
      <c r="CK747" s="25"/>
      <c r="CL747" s="25"/>
      <c r="CM747" s="25"/>
      <c r="CN747" s="25"/>
      <c r="CO747" s="25"/>
      <c r="CP747" s="25"/>
      <c r="CQ747" s="25"/>
      <c r="CR747" s="25"/>
      <c r="CS747" s="25"/>
      <c r="CT747" s="25"/>
      <c r="CU747" s="25"/>
      <c r="CV747" s="25"/>
      <c r="CW747" s="25"/>
      <c r="CX747" s="25"/>
      <c r="CY747" s="25"/>
      <c r="CZ747" s="25"/>
      <c r="DA747" s="25"/>
      <c r="DB747" s="25"/>
      <c r="DC747" s="25"/>
      <c r="DD747" s="25"/>
      <c r="DE747" s="25"/>
      <c r="DF747" s="25"/>
      <c r="DG747" s="25"/>
      <c r="DH747" s="25"/>
    </row>
    <row r="748" spans="1:112" customFormat="1" ht="102" x14ac:dyDescent="0.2">
      <c r="A748" s="2" t="s">
        <v>2347</v>
      </c>
      <c r="B748" s="2" t="s">
        <v>2348</v>
      </c>
      <c r="C748" s="2" t="s">
        <v>2348</v>
      </c>
      <c r="D748" s="1">
        <v>5</v>
      </c>
      <c r="E748" s="2" t="s">
        <v>23</v>
      </c>
      <c r="F748" s="2"/>
      <c r="G748" s="2" t="s">
        <v>2190</v>
      </c>
      <c r="H748" s="2" t="s">
        <v>370</v>
      </c>
      <c r="I748" s="2" t="s">
        <v>790</v>
      </c>
      <c r="J748" s="25" t="s">
        <v>763</v>
      </c>
      <c r="K748" s="25" t="s">
        <v>764</v>
      </c>
      <c r="L748" s="25" t="s">
        <v>764</v>
      </c>
      <c r="M748" s="25" t="s">
        <v>765</v>
      </c>
      <c r="N748" s="25" t="s">
        <v>2349</v>
      </c>
      <c r="O748" s="25" t="s">
        <v>767</v>
      </c>
      <c r="P748" s="25" t="s">
        <v>1827</v>
      </c>
      <c r="Q748" s="25" t="s">
        <v>41</v>
      </c>
      <c r="R748" s="25" t="s">
        <v>32</v>
      </c>
      <c r="S748" s="25" t="s">
        <v>33</v>
      </c>
      <c r="T748" s="25" t="s">
        <v>793</v>
      </c>
      <c r="U748" s="25" t="s">
        <v>292</v>
      </c>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c r="BK748" s="25"/>
      <c r="BL748" s="25"/>
      <c r="BM748" s="25"/>
      <c r="BN748" s="25"/>
      <c r="BO748" s="25"/>
      <c r="BP748" s="25"/>
      <c r="BQ748" s="25"/>
      <c r="BR748" s="25"/>
      <c r="BS748" s="25"/>
      <c r="BT748" s="25"/>
      <c r="BU748" s="25"/>
      <c r="BV748" s="25"/>
      <c r="BW748" s="25"/>
      <c r="BX748" s="25"/>
      <c r="BY748" s="25"/>
      <c r="BZ748" s="25"/>
      <c r="CA748" s="25"/>
      <c r="CB748" s="25"/>
      <c r="CC748" s="25"/>
      <c r="CD748" s="25"/>
      <c r="CE748" s="25"/>
      <c r="CF748" s="25"/>
      <c r="CG748" s="25"/>
      <c r="CH748" s="25"/>
      <c r="CI748" s="25"/>
      <c r="CJ748" s="25"/>
      <c r="CK748" s="25"/>
      <c r="CL748" s="25"/>
      <c r="CM748" s="25"/>
      <c r="CN748" s="25"/>
      <c r="CO748" s="25"/>
      <c r="CP748" s="25"/>
      <c r="CQ748" s="25"/>
      <c r="CR748" s="25"/>
      <c r="CS748" s="25"/>
      <c r="CT748" s="25"/>
      <c r="CU748" s="25"/>
      <c r="CV748" s="25"/>
      <c r="CW748" s="25"/>
      <c r="CX748" s="25"/>
      <c r="CY748" s="25"/>
      <c r="CZ748" s="25"/>
      <c r="DA748" s="25"/>
      <c r="DB748" s="25"/>
      <c r="DC748" s="25"/>
      <c r="DD748" s="25"/>
      <c r="DE748" s="25"/>
      <c r="DF748" s="25"/>
      <c r="DG748" s="25"/>
      <c r="DH748" s="25"/>
    </row>
    <row r="749" spans="1:112" customFormat="1" ht="102" x14ac:dyDescent="0.2">
      <c r="A749" s="2" t="s">
        <v>2350</v>
      </c>
      <c r="B749" s="2" t="s">
        <v>2351</v>
      </c>
      <c r="C749" s="2" t="s">
        <v>2351</v>
      </c>
      <c r="D749" s="1">
        <v>5</v>
      </c>
      <c r="E749" s="2" t="s">
        <v>23</v>
      </c>
      <c r="F749" s="2"/>
      <c r="G749" s="2" t="s">
        <v>2190</v>
      </c>
      <c r="H749" s="2" t="s">
        <v>370</v>
      </c>
      <c r="I749" s="2" t="s">
        <v>790</v>
      </c>
      <c r="J749" s="25" t="s">
        <v>763</v>
      </c>
      <c r="K749" s="25" t="s">
        <v>764</v>
      </c>
      <c r="L749" s="25" t="s">
        <v>764</v>
      </c>
      <c r="M749" s="25" t="s">
        <v>765</v>
      </c>
      <c r="N749" s="25" t="s">
        <v>2352</v>
      </c>
      <c r="O749" s="25" t="s">
        <v>767</v>
      </c>
      <c r="P749" s="25" t="s">
        <v>1238</v>
      </c>
      <c r="Q749" s="25" t="s">
        <v>41</v>
      </c>
      <c r="R749" s="25" t="s">
        <v>32</v>
      </c>
      <c r="S749" s="25" t="s">
        <v>33</v>
      </c>
      <c r="T749" s="25" t="s">
        <v>815</v>
      </c>
      <c r="U749" s="25" t="s">
        <v>4572</v>
      </c>
      <c r="V749" s="25" t="s">
        <v>4573</v>
      </c>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c r="BK749" s="25"/>
      <c r="BL749" s="25"/>
      <c r="BM749" s="25"/>
      <c r="BN749" s="25"/>
      <c r="BO749" s="25"/>
      <c r="BP749" s="25"/>
      <c r="BQ749" s="25"/>
      <c r="BR749" s="25"/>
      <c r="BS749" s="25"/>
      <c r="BT749" s="25"/>
      <c r="BU749" s="25"/>
      <c r="BV749" s="25"/>
      <c r="BW749" s="25"/>
      <c r="BX749" s="25"/>
      <c r="BY749" s="25"/>
      <c r="BZ749" s="25"/>
      <c r="CA749" s="25"/>
      <c r="CB749" s="25"/>
      <c r="CC749" s="25"/>
      <c r="CD749" s="25"/>
      <c r="CE749" s="25"/>
      <c r="CF749" s="25"/>
      <c r="CG749" s="25"/>
      <c r="CH749" s="25"/>
      <c r="CI749" s="25"/>
      <c r="CJ749" s="25"/>
      <c r="CK749" s="25"/>
      <c r="CL749" s="25"/>
      <c r="CM749" s="25"/>
      <c r="CN749" s="25"/>
      <c r="CO749" s="25"/>
      <c r="CP749" s="25"/>
      <c r="CQ749" s="25"/>
      <c r="CR749" s="25"/>
      <c r="CS749" s="25"/>
      <c r="CT749" s="25"/>
      <c r="CU749" s="25"/>
      <c r="CV749" s="25"/>
      <c r="CW749" s="25"/>
      <c r="CX749" s="25"/>
      <c r="CY749" s="25"/>
      <c r="CZ749" s="25"/>
      <c r="DA749" s="25"/>
      <c r="DB749" s="25"/>
      <c r="DC749" s="25"/>
      <c r="DD749" s="25"/>
      <c r="DE749" s="25"/>
      <c r="DF749" s="25"/>
      <c r="DG749" s="25"/>
      <c r="DH749" s="25"/>
    </row>
    <row r="750" spans="1:112" customFormat="1" ht="102" x14ac:dyDescent="0.2">
      <c r="A750" s="2" t="s">
        <v>2364</v>
      </c>
      <c r="B750" s="2" t="s">
        <v>2365</v>
      </c>
      <c r="C750" s="2" t="s">
        <v>2365</v>
      </c>
      <c r="D750" s="1">
        <v>5</v>
      </c>
      <c r="E750" s="2" t="s">
        <v>23</v>
      </c>
      <c r="F750" s="2"/>
      <c r="G750" s="2" t="s">
        <v>2190</v>
      </c>
      <c r="H750" s="2" t="s">
        <v>370</v>
      </c>
      <c r="I750" s="2" t="s">
        <v>790</v>
      </c>
      <c r="J750" s="25" t="s">
        <v>763</v>
      </c>
      <c r="K750" s="25" t="s">
        <v>764</v>
      </c>
      <c r="L750" s="25" t="s">
        <v>764</v>
      </c>
      <c r="M750" s="25" t="s">
        <v>765</v>
      </c>
      <c r="N750" s="25" t="s">
        <v>2366</v>
      </c>
      <c r="O750" s="25" t="s">
        <v>767</v>
      </c>
      <c r="P750" s="25" t="s">
        <v>146</v>
      </c>
      <c r="Q750" s="25" t="s">
        <v>41</v>
      </c>
      <c r="R750" s="25" t="s">
        <v>32</v>
      </c>
      <c r="S750" s="25" t="s">
        <v>33</v>
      </c>
      <c r="T750" s="25" t="s">
        <v>2330</v>
      </c>
      <c r="U750" s="25" t="s">
        <v>4574</v>
      </c>
      <c r="V750" s="25" t="s">
        <v>4575</v>
      </c>
      <c r="W750" s="25" t="s">
        <v>4576</v>
      </c>
      <c r="X750" s="25" t="s">
        <v>4577</v>
      </c>
      <c r="Y750" s="25" t="s">
        <v>4578</v>
      </c>
      <c r="Z750" s="25" t="s">
        <v>4579</v>
      </c>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c r="BK750" s="25"/>
      <c r="BL750" s="25"/>
      <c r="BM750" s="25"/>
      <c r="BN750" s="25"/>
      <c r="BO750" s="25"/>
      <c r="BP750" s="25"/>
      <c r="BQ750" s="25"/>
      <c r="BR750" s="25"/>
      <c r="BS750" s="25"/>
      <c r="BT750" s="25"/>
      <c r="BU750" s="25"/>
      <c r="BV750" s="25"/>
      <c r="BW750" s="25"/>
      <c r="BX750" s="25"/>
      <c r="BY750" s="25"/>
      <c r="BZ750" s="25"/>
      <c r="CA750" s="25"/>
      <c r="CB750" s="25"/>
      <c r="CC750" s="25"/>
      <c r="CD750" s="25"/>
      <c r="CE750" s="25"/>
      <c r="CF750" s="25"/>
      <c r="CG750" s="25"/>
      <c r="CH750" s="25"/>
      <c r="CI750" s="25"/>
      <c r="CJ750" s="25"/>
      <c r="CK750" s="25"/>
      <c r="CL750" s="25"/>
      <c r="CM750" s="25"/>
      <c r="CN750" s="25"/>
      <c r="CO750" s="25"/>
      <c r="CP750" s="25"/>
      <c r="CQ750" s="25"/>
      <c r="CR750" s="25"/>
      <c r="CS750" s="25"/>
      <c r="CT750" s="25"/>
      <c r="CU750" s="25"/>
      <c r="CV750" s="25"/>
      <c r="CW750" s="25"/>
      <c r="CX750" s="25"/>
      <c r="CY750" s="25"/>
      <c r="CZ750" s="25"/>
      <c r="DA750" s="25"/>
      <c r="DB750" s="25"/>
      <c r="DC750" s="25"/>
      <c r="DD750" s="25"/>
      <c r="DE750" s="25"/>
      <c r="DF750" s="25"/>
      <c r="DG750" s="25"/>
      <c r="DH750" s="25"/>
    </row>
    <row r="751" spans="1:112" customFormat="1" ht="102" x14ac:dyDescent="0.2">
      <c r="A751" s="2" t="s">
        <v>2367</v>
      </c>
      <c r="B751" s="2" t="s">
        <v>2368</v>
      </c>
      <c r="C751" s="2" t="s">
        <v>2368</v>
      </c>
      <c r="D751" s="1">
        <v>5</v>
      </c>
      <c r="E751" s="2" t="s">
        <v>23</v>
      </c>
      <c r="F751" s="2"/>
      <c r="G751" s="2" t="s">
        <v>2190</v>
      </c>
      <c r="H751" s="2" t="s">
        <v>370</v>
      </c>
      <c r="I751" s="2" t="s">
        <v>790</v>
      </c>
      <c r="J751" s="25" t="s">
        <v>763</v>
      </c>
      <c r="K751" s="25" t="s">
        <v>764</v>
      </c>
      <c r="L751" s="25" t="s">
        <v>764</v>
      </c>
      <c r="M751" s="25" t="s">
        <v>765</v>
      </c>
      <c r="N751" s="25" t="s">
        <v>2366</v>
      </c>
      <c r="O751" s="25" t="s">
        <v>767</v>
      </c>
      <c r="P751" s="25" t="s">
        <v>146</v>
      </c>
      <c r="Q751" s="25" t="s">
        <v>199</v>
      </c>
      <c r="R751" s="25" t="s">
        <v>32</v>
      </c>
      <c r="S751" s="25" t="s">
        <v>33</v>
      </c>
      <c r="T751" s="25" t="s">
        <v>2330</v>
      </c>
      <c r="U751" s="25" t="s">
        <v>4574</v>
      </c>
      <c r="V751" s="25" t="s">
        <v>4575</v>
      </c>
      <c r="W751" s="25" t="s">
        <v>4576</v>
      </c>
      <c r="X751" s="25" t="s">
        <v>4577</v>
      </c>
      <c r="Y751" s="25" t="s">
        <v>4578</v>
      </c>
      <c r="Z751" s="25" t="s">
        <v>4579</v>
      </c>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c r="BK751" s="25"/>
      <c r="BL751" s="25"/>
      <c r="BM751" s="25"/>
      <c r="BN751" s="25"/>
      <c r="BO751" s="25"/>
      <c r="BP751" s="25"/>
      <c r="BQ751" s="25"/>
      <c r="BR751" s="25"/>
      <c r="BS751" s="25"/>
      <c r="BT751" s="25"/>
      <c r="BU751" s="25"/>
      <c r="BV751" s="25"/>
      <c r="BW751" s="25"/>
      <c r="BX751" s="25"/>
      <c r="BY751" s="25"/>
      <c r="BZ751" s="25"/>
      <c r="CA751" s="25"/>
      <c r="CB751" s="25"/>
      <c r="CC751" s="25"/>
      <c r="CD751" s="25"/>
      <c r="CE751" s="25"/>
      <c r="CF751" s="25"/>
      <c r="CG751" s="25"/>
      <c r="CH751" s="25"/>
      <c r="CI751" s="25"/>
      <c r="CJ751" s="25"/>
      <c r="CK751" s="25"/>
      <c r="CL751" s="25"/>
      <c r="CM751" s="25"/>
      <c r="CN751" s="25"/>
      <c r="CO751" s="25"/>
      <c r="CP751" s="25"/>
      <c r="CQ751" s="25"/>
      <c r="CR751" s="25"/>
      <c r="CS751" s="25"/>
      <c r="CT751" s="25"/>
      <c r="CU751" s="25"/>
      <c r="CV751" s="25"/>
      <c r="CW751" s="25"/>
      <c r="CX751" s="25"/>
      <c r="CY751" s="25"/>
      <c r="CZ751" s="25"/>
      <c r="DA751" s="25"/>
      <c r="DB751" s="25"/>
      <c r="DC751" s="25"/>
      <c r="DD751" s="25"/>
      <c r="DE751" s="25"/>
      <c r="DF751" s="25"/>
      <c r="DG751" s="25"/>
      <c r="DH751" s="25"/>
    </row>
    <row r="752" spans="1:112" customFormat="1" ht="102" x14ac:dyDescent="0.2">
      <c r="A752" s="2" t="s">
        <v>2369</v>
      </c>
      <c r="B752" s="2" t="s">
        <v>2370</v>
      </c>
      <c r="C752" s="2" t="s">
        <v>2370</v>
      </c>
      <c r="D752" s="1">
        <v>5</v>
      </c>
      <c r="E752" s="2" t="s">
        <v>23</v>
      </c>
      <c r="F752" s="2"/>
      <c r="G752" s="2" t="s">
        <v>2190</v>
      </c>
      <c r="H752" s="2" t="s">
        <v>370</v>
      </c>
      <c r="I752" s="2" t="s">
        <v>790</v>
      </c>
      <c r="J752" s="25" t="s">
        <v>763</v>
      </c>
      <c r="K752" s="25" t="s">
        <v>764</v>
      </c>
      <c r="L752" s="25" t="s">
        <v>764</v>
      </c>
      <c r="M752" s="25" t="s">
        <v>765</v>
      </c>
      <c r="N752" s="25" t="s">
        <v>2371</v>
      </c>
      <c r="O752" s="25" t="s">
        <v>767</v>
      </c>
      <c r="P752" s="25" t="s">
        <v>2372</v>
      </c>
      <c r="Q752" s="25" t="s">
        <v>41</v>
      </c>
      <c r="R752" s="25" t="s">
        <v>32</v>
      </c>
      <c r="S752" s="25" t="s">
        <v>33</v>
      </c>
      <c r="T752" s="25" t="s">
        <v>2335</v>
      </c>
      <c r="U752" s="25" t="s">
        <v>2373</v>
      </c>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c r="BK752" s="25"/>
      <c r="BL752" s="25"/>
      <c r="BM752" s="25"/>
      <c r="BN752" s="25"/>
      <c r="BO752" s="25"/>
      <c r="BP752" s="25"/>
      <c r="BQ752" s="25"/>
      <c r="BR752" s="25"/>
      <c r="BS752" s="25"/>
      <c r="BT752" s="25"/>
      <c r="BU752" s="25"/>
      <c r="BV752" s="25"/>
      <c r="BW752" s="25"/>
      <c r="BX752" s="25"/>
      <c r="BY752" s="25"/>
      <c r="BZ752" s="25"/>
      <c r="CA752" s="25"/>
      <c r="CB752" s="25"/>
      <c r="CC752" s="25"/>
      <c r="CD752" s="25"/>
      <c r="CE752" s="25"/>
      <c r="CF752" s="25"/>
      <c r="CG752" s="25"/>
      <c r="CH752" s="25"/>
      <c r="CI752" s="25"/>
      <c r="CJ752" s="25"/>
      <c r="CK752" s="25"/>
      <c r="CL752" s="25"/>
      <c r="CM752" s="25"/>
      <c r="CN752" s="25"/>
      <c r="CO752" s="25"/>
      <c r="CP752" s="25"/>
      <c r="CQ752" s="25"/>
      <c r="CR752" s="25"/>
      <c r="CS752" s="25"/>
      <c r="CT752" s="25"/>
      <c r="CU752" s="25"/>
      <c r="CV752" s="25"/>
      <c r="CW752" s="25"/>
      <c r="CX752" s="25"/>
      <c r="CY752" s="25"/>
      <c r="CZ752" s="25"/>
      <c r="DA752" s="25"/>
      <c r="DB752" s="25"/>
      <c r="DC752" s="25"/>
      <c r="DD752" s="25"/>
      <c r="DE752" s="25"/>
      <c r="DF752" s="25"/>
      <c r="DG752" s="25"/>
      <c r="DH752" s="25"/>
    </row>
    <row r="753" spans="1:112" customFormat="1" ht="102" x14ac:dyDescent="0.2">
      <c r="A753" s="2" t="s">
        <v>2374</v>
      </c>
      <c r="B753" s="2" t="s">
        <v>2375</v>
      </c>
      <c r="C753" s="2" t="s">
        <v>2375</v>
      </c>
      <c r="D753" s="1">
        <v>5</v>
      </c>
      <c r="E753" s="2" t="s">
        <v>23</v>
      </c>
      <c r="F753" s="2"/>
      <c r="G753" s="2" t="s">
        <v>2190</v>
      </c>
      <c r="H753" s="2" t="s">
        <v>370</v>
      </c>
      <c r="I753" s="2" t="s">
        <v>790</v>
      </c>
      <c r="J753" s="25" t="s">
        <v>763</v>
      </c>
      <c r="K753" s="25" t="s">
        <v>764</v>
      </c>
      <c r="L753" s="25" t="s">
        <v>764</v>
      </c>
      <c r="M753" s="25" t="s">
        <v>765</v>
      </c>
      <c r="N753" s="25" t="s">
        <v>2376</v>
      </c>
      <c r="O753" s="25" t="s">
        <v>767</v>
      </c>
      <c r="P753" s="25" t="s">
        <v>208</v>
      </c>
      <c r="Q753" s="25" t="s">
        <v>41</v>
      </c>
      <c r="R753" s="25" t="s">
        <v>32</v>
      </c>
      <c r="S753" s="25" t="s">
        <v>33</v>
      </c>
      <c r="T753" s="25" t="s">
        <v>815</v>
      </c>
      <c r="U753" s="25" t="s">
        <v>4580</v>
      </c>
      <c r="V753" s="25" t="s">
        <v>4581</v>
      </c>
      <c r="W753" s="25" t="s">
        <v>4582</v>
      </c>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c r="BK753" s="25"/>
      <c r="BL753" s="25"/>
      <c r="BM753" s="25"/>
      <c r="BN753" s="25"/>
      <c r="BO753" s="25"/>
      <c r="BP753" s="25"/>
      <c r="BQ753" s="25"/>
      <c r="BR753" s="25"/>
      <c r="BS753" s="25"/>
      <c r="BT753" s="25"/>
      <c r="BU753" s="25"/>
      <c r="BV753" s="25"/>
      <c r="BW753" s="25"/>
      <c r="BX753" s="25"/>
      <c r="BY753" s="25"/>
      <c r="BZ753" s="25"/>
      <c r="CA753" s="25"/>
      <c r="CB753" s="25"/>
      <c r="CC753" s="25"/>
      <c r="CD753" s="25"/>
      <c r="CE753" s="25"/>
      <c r="CF753" s="25"/>
      <c r="CG753" s="25"/>
      <c r="CH753" s="25"/>
      <c r="CI753" s="25"/>
      <c r="CJ753" s="25"/>
      <c r="CK753" s="25"/>
      <c r="CL753" s="25"/>
      <c r="CM753" s="25"/>
      <c r="CN753" s="25"/>
      <c r="CO753" s="25"/>
      <c r="CP753" s="25"/>
      <c r="CQ753" s="25"/>
      <c r="CR753" s="25"/>
      <c r="CS753" s="25"/>
      <c r="CT753" s="25"/>
      <c r="CU753" s="25"/>
      <c r="CV753" s="25"/>
      <c r="CW753" s="25"/>
      <c r="CX753" s="25"/>
      <c r="CY753" s="25"/>
      <c r="CZ753" s="25"/>
      <c r="DA753" s="25"/>
      <c r="DB753" s="25"/>
      <c r="DC753" s="25"/>
      <c r="DD753" s="25"/>
      <c r="DE753" s="25"/>
      <c r="DF753" s="25"/>
      <c r="DG753" s="25"/>
      <c r="DH753" s="25"/>
    </row>
    <row r="754" spans="1:112" customFormat="1" ht="102" x14ac:dyDescent="0.2">
      <c r="A754" s="2" t="s">
        <v>2377</v>
      </c>
      <c r="B754" s="2" t="s">
        <v>2378</v>
      </c>
      <c r="C754" s="2" t="s">
        <v>2378</v>
      </c>
      <c r="D754" s="1">
        <v>5</v>
      </c>
      <c r="E754" s="2" t="s">
        <v>23</v>
      </c>
      <c r="F754" s="2"/>
      <c r="G754" s="2" t="s">
        <v>2190</v>
      </c>
      <c r="H754" s="2" t="s">
        <v>370</v>
      </c>
      <c r="I754" s="2" t="s">
        <v>790</v>
      </c>
      <c r="J754" s="25" t="s">
        <v>763</v>
      </c>
      <c r="K754" s="25" t="s">
        <v>764</v>
      </c>
      <c r="L754" s="25" t="s">
        <v>764</v>
      </c>
      <c r="M754" s="25" t="s">
        <v>765</v>
      </c>
      <c r="N754" s="25" t="s">
        <v>2379</v>
      </c>
      <c r="O754" s="25" t="s">
        <v>767</v>
      </c>
      <c r="P754" s="25" t="s">
        <v>220</v>
      </c>
      <c r="Q754" s="25" t="s">
        <v>41</v>
      </c>
      <c r="R754" s="25" t="s">
        <v>32</v>
      </c>
      <c r="S754" s="25" t="s">
        <v>33</v>
      </c>
      <c r="T754" s="25" t="s">
        <v>815</v>
      </c>
      <c r="U754" s="25" t="s">
        <v>4583</v>
      </c>
      <c r="V754" s="25" t="s">
        <v>4584</v>
      </c>
      <c r="W754" s="25" t="s">
        <v>4585</v>
      </c>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c r="BK754" s="25"/>
      <c r="BL754" s="25"/>
      <c r="BM754" s="25"/>
      <c r="BN754" s="25"/>
      <c r="BO754" s="25"/>
      <c r="BP754" s="25"/>
      <c r="BQ754" s="25"/>
      <c r="BR754" s="25"/>
      <c r="BS754" s="25"/>
      <c r="BT754" s="25"/>
      <c r="BU754" s="25"/>
      <c r="BV754" s="25"/>
      <c r="BW754" s="25"/>
      <c r="BX754" s="25"/>
      <c r="BY754" s="25"/>
      <c r="BZ754" s="25"/>
      <c r="CA754" s="25"/>
      <c r="CB754" s="25"/>
      <c r="CC754" s="25"/>
      <c r="CD754" s="25"/>
      <c r="CE754" s="25"/>
      <c r="CF754" s="25"/>
      <c r="CG754" s="25"/>
      <c r="CH754" s="25"/>
      <c r="CI754" s="25"/>
      <c r="CJ754" s="25"/>
      <c r="CK754" s="25"/>
      <c r="CL754" s="25"/>
      <c r="CM754" s="25"/>
      <c r="CN754" s="25"/>
      <c r="CO754" s="25"/>
      <c r="CP754" s="25"/>
      <c r="CQ754" s="25"/>
      <c r="CR754" s="25"/>
      <c r="CS754" s="25"/>
      <c r="CT754" s="25"/>
      <c r="CU754" s="25"/>
      <c r="CV754" s="25"/>
      <c r="CW754" s="25"/>
      <c r="CX754" s="25"/>
      <c r="CY754" s="25"/>
      <c r="CZ754" s="25"/>
      <c r="DA754" s="25"/>
      <c r="DB754" s="25"/>
      <c r="DC754" s="25"/>
      <c r="DD754" s="25"/>
      <c r="DE754" s="25"/>
      <c r="DF754" s="25"/>
      <c r="DG754" s="25"/>
      <c r="DH754" s="25"/>
    </row>
    <row r="755" spans="1:112" customFormat="1" ht="102" x14ac:dyDescent="0.2">
      <c r="A755" s="2" t="s">
        <v>2380</v>
      </c>
      <c r="B755" s="2" t="s">
        <v>2381</v>
      </c>
      <c r="C755" s="2" t="s">
        <v>2381</v>
      </c>
      <c r="D755" s="1">
        <v>5</v>
      </c>
      <c r="E755" s="2" t="s">
        <v>23</v>
      </c>
      <c r="F755" s="2"/>
      <c r="G755" s="2" t="s">
        <v>2190</v>
      </c>
      <c r="H755" s="2" t="s">
        <v>370</v>
      </c>
      <c r="I755" s="2" t="s">
        <v>790</v>
      </c>
      <c r="J755" s="25" t="s">
        <v>763</v>
      </c>
      <c r="K755" s="25" t="s">
        <v>764</v>
      </c>
      <c r="L755" s="25" t="s">
        <v>764</v>
      </c>
      <c r="M755" s="25" t="s">
        <v>765</v>
      </c>
      <c r="N755" s="25" t="s">
        <v>2379</v>
      </c>
      <c r="O755" s="25" t="s">
        <v>767</v>
      </c>
      <c r="P755" s="25" t="s">
        <v>220</v>
      </c>
      <c r="Q755" s="25" t="s">
        <v>199</v>
      </c>
      <c r="R755" s="25" t="s">
        <v>32</v>
      </c>
      <c r="S755" s="25" t="s">
        <v>33</v>
      </c>
      <c r="T755" s="25" t="s">
        <v>815</v>
      </c>
      <c r="U755" s="25" t="s">
        <v>4583</v>
      </c>
      <c r="V755" s="25" t="s">
        <v>4584</v>
      </c>
      <c r="W755" s="25" t="s">
        <v>4585</v>
      </c>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c r="BK755" s="25"/>
      <c r="BL755" s="25"/>
      <c r="BM755" s="25"/>
      <c r="BN755" s="25"/>
      <c r="BO755" s="25"/>
      <c r="BP755" s="25"/>
      <c r="BQ755" s="25"/>
      <c r="BR755" s="25"/>
      <c r="BS755" s="25"/>
      <c r="BT755" s="25"/>
      <c r="BU755" s="25"/>
      <c r="BV755" s="25"/>
      <c r="BW755" s="25"/>
      <c r="BX755" s="25"/>
      <c r="BY755" s="25"/>
      <c r="BZ755" s="25"/>
      <c r="CA755" s="25"/>
      <c r="CB755" s="25"/>
      <c r="CC755" s="25"/>
      <c r="CD755" s="25"/>
      <c r="CE755" s="25"/>
      <c r="CF755" s="25"/>
      <c r="CG755" s="25"/>
      <c r="CH755" s="25"/>
      <c r="CI755" s="25"/>
      <c r="CJ755" s="25"/>
      <c r="CK755" s="25"/>
      <c r="CL755" s="25"/>
      <c r="CM755" s="25"/>
      <c r="CN755" s="25"/>
      <c r="CO755" s="25"/>
      <c r="CP755" s="25"/>
      <c r="CQ755" s="25"/>
      <c r="CR755" s="25"/>
      <c r="CS755" s="25"/>
      <c r="CT755" s="25"/>
      <c r="CU755" s="25"/>
      <c r="CV755" s="25"/>
      <c r="CW755" s="25"/>
      <c r="CX755" s="25"/>
      <c r="CY755" s="25"/>
      <c r="CZ755" s="25"/>
      <c r="DA755" s="25"/>
      <c r="DB755" s="25"/>
      <c r="DC755" s="25"/>
      <c r="DD755" s="25"/>
      <c r="DE755" s="25"/>
      <c r="DF755" s="25"/>
      <c r="DG755" s="25"/>
      <c r="DH755" s="25"/>
    </row>
    <row r="756" spans="1:112" customFormat="1" ht="102" x14ac:dyDescent="0.2">
      <c r="A756" s="2" t="s">
        <v>2382</v>
      </c>
      <c r="B756" s="2" t="s">
        <v>2383</v>
      </c>
      <c r="C756" s="2" t="s">
        <v>2383</v>
      </c>
      <c r="D756" s="1">
        <v>5</v>
      </c>
      <c r="E756" s="2" t="s">
        <v>23</v>
      </c>
      <c r="F756" s="2"/>
      <c r="G756" s="2" t="s">
        <v>2190</v>
      </c>
      <c r="H756" s="2" t="s">
        <v>370</v>
      </c>
      <c r="I756" s="2" t="s">
        <v>790</v>
      </c>
      <c r="J756" s="25" t="s">
        <v>763</v>
      </c>
      <c r="K756" s="25" t="s">
        <v>764</v>
      </c>
      <c r="L756" s="25" t="s">
        <v>764</v>
      </c>
      <c r="M756" s="25" t="s">
        <v>765</v>
      </c>
      <c r="N756" s="25" t="s">
        <v>2384</v>
      </c>
      <c r="O756" s="25" t="s">
        <v>767</v>
      </c>
      <c r="P756" s="25" t="s">
        <v>2385</v>
      </c>
      <c r="Q756" s="25" t="s">
        <v>41</v>
      </c>
      <c r="R756" s="25" t="s">
        <v>32</v>
      </c>
      <c r="S756" s="25" t="s">
        <v>33</v>
      </c>
      <c r="T756" s="25" t="s">
        <v>815</v>
      </c>
      <c r="U756" s="25" t="s">
        <v>292</v>
      </c>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c r="BK756" s="25"/>
      <c r="BL756" s="25"/>
      <c r="BM756" s="25"/>
      <c r="BN756" s="25"/>
      <c r="BO756" s="25"/>
      <c r="BP756" s="25"/>
      <c r="BQ756" s="25"/>
      <c r="BR756" s="25"/>
      <c r="BS756" s="25"/>
      <c r="BT756" s="25"/>
      <c r="BU756" s="25"/>
      <c r="BV756" s="25"/>
      <c r="BW756" s="25"/>
      <c r="BX756" s="25"/>
      <c r="BY756" s="25"/>
      <c r="BZ756" s="25"/>
      <c r="CA756" s="25"/>
      <c r="CB756" s="25"/>
      <c r="CC756" s="25"/>
      <c r="CD756" s="25"/>
      <c r="CE756" s="25"/>
      <c r="CF756" s="25"/>
      <c r="CG756" s="25"/>
      <c r="CH756" s="25"/>
      <c r="CI756" s="25"/>
      <c r="CJ756" s="25"/>
      <c r="CK756" s="25"/>
      <c r="CL756" s="25"/>
      <c r="CM756" s="25"/>
      <c r="CN756" s="25"/>
      <c r="CO756" s="25"/>
      <c r="CP756" s="25"/>
      <c r="CQ756" s="25"/>
      <c r="CR756" s="25"/>
      <c r="CS756" s="25"/>
      <c r="CT756" s="25"/>
      <c r="CU756" s="25"/>
      <c r="CV756" s="25"/>
      <c r="CW756" s="25"/>
      <c r="CX756" s="25"/>
      <c r="CY756" s="25"/>
      <c r="CZ756" s="25"/>
      <c r="DA756" s="25"/>
      <c r="DB756" s="25"/>
      <c r="DC756" s="25"/>
      <c r="DD756" s="25"/>
      <c r="DE756" s="25"/>
      <c r="DF756" s="25"/>
      <c r="DG756" s="25"/>
      <c r="DH756" s="25"/>
    </row>
    <row r="757" spans="1:112" customFormat="1" ht="102" x14ac:dyDescent="0.2">
      <c r="A757" s="2" t="s">
        <v>2386</v>
      </c>
      <c r="B757" s="2" t="s">
        <v>2387</v>
      </c>
      <c r="C757" s="2" t="s">
        <v>2387</v>
      </c>
      <c r="D757" s="1">
        <v>5</v>
      </c>
      <c r="E757" s="2" t="s">
        <v>23</v>
      </c>
      <c r="F757" s="2"/>
      <c r="G757" s="2" t="s">
        <v>2190</v>
      </c>
      <c r="H757" s="2" t="s">
        <v>370</v>
      </c>
      <c r="I757" s="2" t="s">
        <v>790</v>
      </c>
      <c r="J757" s="25" t="s">
        <v>763</v>
      </c>
      <c r="K757" s="25" t="s">
        <v>764</v>
      </c>
      <c r="L757" s="25" t="s">
        <v>764</v>
      </c>
      <c r="M757" s="25" t="s">
        <v>765</v>
      </c>
      <c r="N757" s="25" t="s">
        <v>2388</v>
      </c>
      <c r="O757" s="25" t="s">
        <v>767</v>
      </c>
      <c r="P757" s="25" t="s">
        <v>2389</v>
      </c>
      <c r="Q757" s="25" t="s">
        <v>41</v>
      </c>
      <c r="R757" s="25" t="s">
        <v>32</v>
      </c>
      <c r="S757" s="25" t="s">
        <v>33</v>
      </c>
      <c r="T757" s="25" t="s">
        <v>815</v>
      </c>
      <c r="U757" s="25" t="s">
        <v>2390</v>
      </c>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c r="BK757" s="25"/>
      <c r="BL757" s="25"/>
      <c r="BM757" s="25"/>
      <c r="BN757" s="25"/>
      <c r="BO757" s="25"/>
      <c r="BP757" s="25"/>
      <c r="BQ757" s="25"/>
      <c r="BR757" s="25"/>
      <c r="BS757" s="25"/>
      <c r="BT757" s="25"/>
      <c r="BU757" s="25"/>
      <c r="BV757" s="25"/>
      <c r="BW757" s="25"/>
      <c r="BX757" s="25"/>
      <c r="BY757" s="25"/>
      <c r="BZ757" s="25"/>
      <c r="CA757" s="25"/>
      <c r="CB757" s="25"/>
      <c r="CC757" s="25"/>
      <c r="CD757" s="25"/>
      <c r="CE757" s="25"/>
      <c r="CF757" s="25"/>
      <c r="CG757" s="25"/>
      <c r="CH757" s="25"/>
      <c r="CI757" s="25"/>
      <c r="CJ757" s="25"/>
      <c r="CK757" s="25"/>
      <c r="CL757" s="25"/>
      <c r="CM757" s="25"/>
      <c r="CN757" s="25"/>
      <c r="CO757" s="25"/>
      <c r="CP757" s="25"/>
      <c r="CQ757" s="25"/>
      <c r="CR757" s="25"/>
      <c r="CS757" s="25"/>
      <c r="CT757" s="25"/>
      <c r="CU757" s="25"/>
      <c r="CV757" s="25"/>
      <c r="CW757" s="25"/>
      <c r="CX757" s="25"/>
      <c r="CY757" s="25"/>
      <c r="CZ757" s="25"/>
      <c r="DA757" s="25"/>
      <c r="DB757" s="25"/>
      <c r="DC757" s="25"/>
      <c r="DD757" s="25"/>
      <c r="DE757" s="25"/>
      <c r="DF757" s="25"/>
      <c r="DG757" s="25"/>
      <c r="DH757" s="25"/>
    </row>
    <row r="758" spans="1:112" customFormat="1" ht="102" x14ac:dyDescent="0.2">
      <c r="A758" s="2" t="s">
        <v>2391</v>
      </c>
      <c r="B758" s="2" t="s">
        <v>2392</v>
      </c>
      <c r="C758" s="2" t="s">
        <v>2392</v>
      </c>
      <c r="D758" s="1">
        <v>5</v>
      </c>
      <c r="E758" s="2" t="s">
        <v>23</v>
      </c>
      <c r="F758" s="2"/>
      <c r="G758" s="2" t="s">
        <v>2190</v>
      </c>
      <c r="H758" s="2" t="s">
        <v>370</v>
      </c>
      <c r="I758" s="2" t="s">
        <v>790</v>
      </c>
      <c r="J758" s="25" t="s">
        <v>763</v>
      </c>
      <c r="K758" s="25" t="s">
        <v>764</v>
      </c>
      <c r="L758" s="25" t="s">
        <v>2393</v>
      </c>
      <c r="M758" s="25" t="s">
        <v>765</v>
      </c>
      <c r="N758" s="25" t="s">
        <v>2394</v>
      </c>
      <c r="O758" s="25" t="s">
        <v>848</v>
      </c>
      <c r="P758" s="25" t="s">
        <v>1068</v>
      </c>
      <c r="Q758" s="25" t="s">
        <v>41</v>
      </c>
      <c r="R758" s="25" t="s">
        <v>32</v>
      </c>
      <c r="S758" s="25" t="s">
        <v>33</v>
      </c>
      <c r="T758" s="25" t="s">
        <v>2395</v>
      </c>
      <c r="U758" s="25" t="s">
        <v>4586</v>
      </c>
      <c r="V758" s="25" t="s">
        <v>4587</v>
      </c>
      <c r="W758" s="25" t="s">
        <v>4588</v>
      </c>
      <c r="X758" s="25" t="s">
        <v>4589</v>
      </c>
      <c r="Y758" s="25" t="s">
        <v>4590</v>
      </c>
      <c r="Z758" s="25" t="s">
        <v>4591</v>
      </c>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c r="BK758" s="25"/>
      <c r="BL758" s="25"/>
      <c r="BM758" s="25"/>
      <c r="BN758" s="25"/>
      <c r="BO758" s="25"/>
      <c r="BP758" s="25"/>
      <c r="BQ758" s="25"/>
      <c r="BR758" s="25"/>
      <c r="BS758" s="25"/>
      <c r="BT758" s="25"/>
      <c r="BU758" s="25"/>
      <c r="BV758" s="25"/>
      <c r="BW758" s="25"/>
      <c r="BX758" s="25"/>
      <c r="BY758" s="25"/>
      <c r="BZ758" s="25"/>
      <c r="CA758" s="25"/>
      <c r="CB758" s="25"/>
      <c r="CC758" s="25"/>
      <c r="CD758" s="25"/>
      <c r="CE758" s="25"/>
      <c r="CF758" s="25"/>
      <c r="CG758" s="25"/>
      <c r="CH758" s="25"/>
      <c r="CI758" s="25"/>
      <c r="CJ758" s="25"/>
      <c r="CK758" s="25"/>
      <c r="CL758" s="25"/>
      <c r="CM758" s="25"/>
      <c r="CN758" s="25"/>
      <c r="CO758" s="25"/>
      <c r="CP758" s="25"/>
      <c r="CQ758" s="25"/>
      <c r="CR758" s="25"/>
      <c r="CS758" s="25"/>
      <c r="CT758" s="25"/>
      <c r="CU758" s="25"/>
      <c r="CV758" s="25"/>
      <c r="CW758" s="25"/>
      <c r="CX758" s="25"/>
      <c r="CY758" s="25"/>
      <c r="CZ758" s="25"/>
      <c r="DA758" s="25"/>
      <c r="DB758" s="25"/>
      <c r="DC758" s="25"/>
      <c r="DD758" s="25"/>
      <c r="DE758" s="25"/>
      <c r="DF758" s="25"/>
      <c r="DG758" s="25"/>
      <c r="DH758" s="25"/>
    </row>
    <row r="759" spans="1:112" customFormat="1" ht="102" x14ac:dyDescent="0.2">
      <c r="A759" s="2" t="s">
        <v>2396</v>
      </c>
      <c r="B759" s="2" t="s">
        <v>2397</v>
      </c>
      <c r="C759" s="2" t="s">
        <v>2397</v>
      </c>
      <c r="D759" s="1">
        <v>5</v>
      </c>
      <c r="E759" s="2" t="s">
        <v>23</v>
      </c>
      <c r="F759" s="2"/>
      <c r="G759" s="2" t="s">
        <v>2190</v>
      </c>
      <c r="H759" s="2" t="s">
        <v>370</v>
      </c>
      <c r="I759" s="2" t="s">
        <v>790</v>
      </c>
      <c r="J759" s="25" t="s">
        <v>763</v>
      </c>
      <c r="K759" s="25" t="s">
        <v>764</v>
      </c>
      <c r="L759" s="25" t="s">
        <v>764</v>
      </c>
      <c r="M759" s="25" t="s">
        <v>765</v>
      </c>
      <c r="N759" s="25" t="s">
        <v>2398</v>
      </c>
      <c r="O759" s="25" t="s">
        <v>848</v>
      </c>
      <c r="P759" s="25" t="s">
        <v>2399</v>
      </c>
      <c r="Q759" s="25" t="s">
        <v>41</v>
      </c>
      <c r="R759" s="25" t="s">
        <v>32</v>
      </c>
      <c r="S759" s="25" t="s">
        <v>33</v>
      </c>
      <c r="T759" s="25" t="s">
        <v>815</v>
      </c>
      <c r="U759" s="25" t="s">
        <v>2400</v>
      </c>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c r="BK759" s="25"/>
      <c r="BL759" s="25"/>
      <c r="BM759" s="25"/>
      <c r="BN759" s="25"/>
      <c r="BO759" s="25"/>
      <c r="BP759" s="25"/>
      <c r="BQ759" s="25"/>
      <c r="BR759" s="25"/>
      <c r="BS759" s="25"/>
      <c r="BT759" s="25"/>
      <c r="BU759" s="25"/>
      <c r="BV759" s="25"/>
      <c r="BW759" s="25"/>
      <c r="BX759" s="25"/>
      <c r="BY759" s="25"/>
      <c r="BZ759" s="25"/>
      <c r="CA759" s="25"/>
      <c r="CB759" s="25"/>
      <c r="CC759" s="25"/>
      <c r="CD759" s="25"/>
      <c r="CE759" s="25"/>
      <c r="CF759" s="25"/>
      <c r="CG759" s="25"/>
      <c r="CH759" s="25"/>
      <c r="CI759" s="25"/>
      <c r="CJ759" s="25"/>
      <c r="CK759" s="25"/>
      <c r="CL759" s="25"/>
      <c r="CM759" s="25"/>
      <c r="CN759" s="25"/>
      <c r="CO759" s="25"/>
      <c r="CP759" s="25"/>
      <c r="CQ759" s="25"/>
      <c r="CR759" s="25"/>
      <c r="CS759" s="25"/>
      <c r="CT759" s="25"/>
      <c r="CU759" s="25"/>
      <c r="CV759" s="25"/>
      <c r="CW759" s="25"/>
      <c r="CX759" s="25"/>
      <c r="CY759" s="25"/>
      <c r="CZ759" s="25"/>
      <c r="DA759" s="25"/>
      <c r="DB759" s="25"/>
      <c r="DC759" s="25"/>
      <c r="DD759" s="25"/>
      <c r="DE759" s="25"/>
      <c r="DF759" s="25"/>
      <c r="DG759" s="25"/>
      <c r="DH759" s="25"/>
    </row>
    <row r="760" spans="1:112" customFormat="1" ht="102" x14ac:dyDescent="0.2">
      <c r="A760" s="2" t="s">
        <v>2401</v>
      </c>
      <c r="B760" s="2" t="s">
        <v>2402</v>
      </c>
      <c r="C760" s="2" t="s">
        <v>2402</v>
      </c>
      <c r="D760" s="1">
        <v>5</v>
      </c>
      <c r="E760" s="2" t="s">
        <v>23</v>
      </c>
      <c r="F760" s="2" t="s">
        <v>2403</v>
      </c>
      <c r="G760" s="2" t="s">
        <v>2190</v>
      </c>
      <c r="H760" s="2" t="s">
        <v>370</v>
      </c>
      <c r="I760" s="2" t="s">
        <v>790</v>
      </c>
      <c r="J760" s="25" t="s">
        <v>763</v>
      </c>
      <c r="K760" s="25" t="s">
        <v>764</v>
      </c>
      <c r="L760" s="25" t="s">
        <v>764</v>
      </c>
      <c r="M760" s="25" t="s">
        <v>765</v>
      </c>
      <c r="N760" s="25" t="s">
        <v>2404</v>
      </c>
      <c r="O760" s="25" t="s">
        <v>848</v>
      </c>
      <c r="P760" s="25" t="s">
        <v>208</v>
      </c>
      <c r="Q760" s="25" t="s">
        <v>41</v>
      </c>
      <c r="R760" s="25" t="s">
        <v>32</v>
      </c>
      <c r="S760" s="25" t="s">
        <v>33</v>
      </c>
      <c r="T760" s="25" t="s">
        <v>2405</v>
      </c>
      <c r="U760" s="25" t="s">
        <v>2406</v>
      </c>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c r="BK760" s="25"/>
      <c r="BL760" s="25"/>
      <c r="BM760" s="25"/>
      <c r="BN760" s="25"/>
      <c r="BO760" s="25"/>
      <c r="BP760" s="25"/>
      <c r="BQ760" s="25"/>
      <c r="BR760" s="25"/>
      <c r="BS760" s="25"/>
      <c r="BT760" s="25"/>
      <c r="BU760" s="25"/>
      <c r="BV760" s="25"/>
      <c r="BW760" s="25"/>
      <c r="BX760" s="25"/>
      <c r="BY760" s="25"/>
      <c r="BZ760" s="25"/>
      <c r="CA760" s="25"/>
      <c r="CB760" s="25"/>
      <c r="CC760" s="25"/>
      <c r="CD760" s="25"/>
      <c r="CE760" s="25"/>
      <c r="CF760" s="25"/>
      <c r="CG760" s="25"/>
      <c r="CH760" s="25"/>
      <c r="CI760" s="25"/>
      <c r="CJ760" s="25"/>
      <c r="CK760" s="25"/>
      <c r="CL760" s="25"/>
      <c r="CM760" s="25"/>
      <c r="CN760" s="25"/>
      <c r="CO760" s="25"/>
      <c r="CP760" s="25"/>
      <c r="CQ760" s="25"/>
      <c r="CR760" s="25"/>
      <c r="CS760" s="25"/>
      <c r="CT760" s="25"/>
      <c r="CU760" s="25"/>
      <c r="CV760" s="25"/>
      <c r="CW760" s="25"/>
      <c r="CX760" s="25"/>
      <c r="CY760" s="25"/>
      <c r="CZ760" s="25"/>
      <c r="DA760" s="25"/>
      <c r="DB760" s="25"/>
      <c r="DC760" s="25"/>
      <c r="DD760" s="25"/>
      <c r="DE760" s="25"/>
      <c r="DF760" s="25"/>
      <c r="DG760" s="25"/>
      <c r="DH760" s="25"/>
    </row>
    <row r="761" spans="1:112" customFormat="1" ht="102" x14ac:dyDescent="0.2">
      <c r="A761" s="2" t="s">
        <v>2407</v>
      </c>
      <c r="B761" s="2" t="s">
        <v>2408</v>
      </c>
      <c r="C761" s="2" t="s">
        <v>2408</v>
      </c>
      <c r="D761" s="1">
        <v>5</v>
      </c>
      <c r="E761" s="2" t="s">
        <v>23</v>
      </c>
      <c r="F761" s="2" t="s">
        <v>2403</v>
      </c>
      <c r="G761" s="2" t="s">
        <v>2190</v>
      </c>
      <c r="H761" s="2" t="s">
        <v>370</v>
      </c>
      <c r="I761" s="2" t="s">
        <v>790</v>
      </c>
      <c r="J761" s="25" t="s">
        <v>763</v>
      </c>
      <c r="K761" s="25" t="s">
        <v>764</v>
      </c>
      <c r="L761" s="25" t="s">
        <v>764</v>
      </c>
      <c r="M761" s="25" t="s">
        <v>765</v>
      </c>
      <c r="N761" s="25" t="s">
        <v>2409</v>
      </c>
      <c r="O761" s="25" t="s">
        <v>848</v>
      </c>
      <c r="P761" s="25" t="s">
        <v>719</v>
      </c>
      <c r="Q761" s="25" t="s">
        <v>41</v>
      </c>
      <c r="R761" s="25" t="s">
        <v>32</v>
      </c>
      <c r="S761" s="25" t="s">
        <v>33</v>
      </c>
      <c r="T761" s="25" t="s">
        <v>2410</v>
      </c>
      <c r="U761" s="25" t="s">
        <v>4592</v>
      </c>
      <c r="V761" s="25" t="s">
        <v>4593</v>
      </c>
      <c r="W761" s="25" t="s">
        <v>4594</v>
      </c>
      <c r="X761" s="25" t="s">
        <v>4595</v>
      </c>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c r="BK761" s="25"/>
      <c r="BL761" s="25"/>
      <c r="BM761" s="25"/>
      <c r="BN761" s="25"/>
      <c r="BO761" s="25"/>
      <c r="BP761" s="25"/>
      <c r="BQ761" s="25"/>
      <c r="BR761" s="25"/>
      <c r="BS761" s="25"/>
      <c r="BT761" s="25"/>
      <c r="BU761" s="25"/>
      <c r="BV761" s="25"/>
      <c r="BW761" s="25"/>
      <c r="BX761" s="25"/>
      <c r="BY761" s="25"/>
      <c r="BZ761" s="25"/>
      <c r="CA761" s="25"/>
      <c r="CB761" s="25"/>
      <c r="CC761" s="25"/>
      <c r="CD761" s="25"/>
      <c r="CE761" s="25"/>
      <c r="CF761" s="25"/>
      <c r="CG761" s="25"/>
      <c r="CH761" s="25"/>
      <c r="CI761" s="25"/>
      <c r="CJ761" s="25"/>
      <c r="CK761" s="25"/>
      <c r="CL761" s="25"/>
      <c r="CM761" s="25"/>
      <c r="CN761" s="25"/>
      <c r="CO761" s="25"/>
      <c r="CP761" s="25"/>
      <c r="CQ761" s="25"/>
      <c r="CR761" s="25"/>
      <c r="CS761" s="25"/>
      <c r="CT761" s="25"/>
      <c r="CU761" s="25"/>
      <c r="CV761" s="25"/>
      <c r="CW761" s="25"/>
      <c r="CX761" s="25"/>
      <c r="CY761" s="25"/>
      <c r="CZ761" s="25"/>
      <c r="DA761" s="25"/>
      <c r="DB761" s="25"/>
      <c r="DC761" s="25"/>
      <c r="DD761" s="25"/>
      <c r="DE761" s="25"/>
      <c r="DF761" s="25"/>
      <c r="DG761" s="25"/>
      <c r="DH761" s="25"/>
    </row>
    <row r="762" spans="1:112" customFormat="1" ht="102" x14ac:dyDescent="0.2">
      <c r="A762" s="2" t="s">
        <v>2411</v>
      </c>
      <c r="B762" s="2" t="s">
        <v>2412</v>
      </c>
      <c r="C762" s="2" t="s">
        <v>2412</v>
      </c>
      <c r="D762" s="1">
        <v>5</v>
      </c>
      <c r="E762" s="2" t="s">
        <v>23</v>
      </c>
      <c r="F762" s="2" t="s">
        <v>2413</v>
      </c>
      <c r="G762" s="2" t="s">
        <v>2190</v>
      </c>
      <c r="H762" s="2" t="s">
        <v>538</v>
      </c>
      <c r="I762" s="2" t="s">
        <v>858</v>
      </c>
      <c r="J762" s="25" t="s">
        <v>763</v>
      </c>
      <c r="K762" s="25" t="s">
        <v>859</v>
      </c>
      <c r="L762" s="25" t="s">
        <v>860</v>
      </c>
      <c r="M762" s="25" t="s">
        <v>861</v>
      </c>
      <c r="N762" s="25" t="s">
        <v>2414</v>
      </c>
      <c r="O762" s="25" t="s">
        <v>848</v>
      </c>
      <c r="P762" s="25" t="s">
        <v>2415</v>
      </c>
      <c r="Q762" s="25" t="s">
        <v>41</v>
      </c>
      <c r="R762" s="25" t="s">
        <v>32</v>
      </c>
      <c r="S762" s="25" t="s">
        <v>33</v>
      </c>
      <c r="T762" s="25" t="s">
        <v>2416</v>
      </c>
      <c r="U762" s="25" t="s">
        <v>2417</v>
      </c>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c r="BK762" s="25"/>
      <c r="BL762" s="25"/>
      <c r="BM762" s="25"/>
      <c r="BN762" s="25"/>
      <c r="BO762" s="25"/>
      <c r="BP762" s="25"/>
      <c r="BQ762" s="25"/>
      <c r="BR762" s="25"/>
      <c r="BS762" s="25"/>
      <c r="BT762" s="25"/>
      <c r="BU762" s="25"/>
      <c r="BV762" s="25"/>
      <c r="BW762" s="25"/>
      <c r="BX762" s="25"/>
      <c r="BY762" s="25"/>
      <c r="BZ762" s="25"/>
      <c r="CA762" s="25"/>
      <c r="CB762" s="25"/>
      <c r="CC762" s="25"/>
      <c r="CD762" s="25"/>
      <c r="CE762" s="25"/>
      <c r="CF762" s="25"/>
      <c r="CG762" s="25"/>
      <c r="CH762" s="25"/>
      <c r="CI762" s="25"/>
      <c r="CJ762" s="25"/>
      <c r="CK762" s="25"/>
      <c r="CL762" s="25"/>
      <c r="CM762" s="25"/>
      <c r="CN762" s="25"/>
      <c r="CO762" s="25"/>
      <c r="CP762" s="25"/>
      <c r="CQ762" s="25"/>
      <c r="CR762" s="25"/>
      <c r="CS762" s="25"/>
      <c r="CT762" s="25"/>
      <c r="CU762" s="25"/>
      <c r="CV762" s="25"/>
      <c r="CW762" s="25"/>
      <c r="CX762" s="25"/>
      <c r="CY762" s="25"/>
      <c r="CZ762" s="25"/>
      <c r="DA762" s="25"/>
      <c r="DB762" s="25"/>
      <c r="DC762" s="25"/>
      <c r="DD762" s="25"/>
      <c r="DE762" s="25"/>
      <c r="DF762" s="25"/>
      <c r="DG762" s="25"/>
      <c r="DH762" s="25"/>
    </row>
    <row r="763" spans="1:112" customFormat="1" ht="68" x14ac:dyDescent="0.2">
      <c r="A763" s="7" t="s">
        <v>5680</v>
      </c>
      <c r="B763" s="7" t="s">
        <v>5681</v>
      </c>
      <c r="C763" s="2" t="s">
        <v>5681</v>
      </c>
      <c r="D763" s="5">
        <v>5</v>
      </c>
      <c r="E763" s="6" t="s">
        <v>61</v>
      </c>
      <c r="F763" s="6"/>
      <c r="G763" s="6"/>
      <c r="H763" s="6" t="s">
        <v>2668</v>
      </c>
      <c r="I763" s="6" t="s">
        <v>6057</v>
      </c>
      <c r="J763" s="34" t="s">
        <v>469</v>
      </c>
      <c r="K763" s="34" t="s">
        <v>470</v>
      </c>
      <c r="L763" s="34" t="s">
        <v>2601</v>
      </c>
      <c r="M763" s="34" t="s">
        <v>5682</v>
      </c>
      <c r="N763" s="34" t="s">
        <v>5683</v>
      </c>
      <c r="O763" s="34" t="s">
        <v>1094</v>
      </c>
      <c r="P763" s="34" t="s">
        <v>1820</v>
      </c>
      <c r="Q763" s="34" t="s">
        <v>41</v>
      </c>
      <c r="R763" s="34" t="s">
        <v>32</v>
      </c>
      <c r="S763" s="34" t="s">
        <v>33</v>
      </c>
      <c r="T763" s="34" t="s">
        <v>5684</v>
      </c>
      <c r="U763" s="34" t="s">
        <v>5685</v>
      </c>
      <c r="V763" s="34" t="s">
        <v>5685</v>
      </c>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34"/>
      <c r="BU763" s="34"/>
      <c r="BV763" s="34"/>
      <c r="BW763" s="34"/>
      <c r="BX763" s="34"/>
      <c r="BY763" s="34"/>
      <c r="BZ763" s="34"/>
      <c r="CA763" s="34"/>
      <c r="CB763" s="34"/>
      <c r="CC763" s="34"/>
      <c r="CD763" s="34"/>
      <c r="CE763" s="34"/>
      <c r="CF763" s="34"/>
      <c r="CG763" s="34"/>
      <c r="CH763" s="34"/>
      <c r="CI763" s="34"/>
      <c r="CJ763" s="34"/>
      <c r="CK763" s="34"/>
      <c r="CL763" s="34"/>
      <c r="CM763" s="34"/>
      <c r="CN763" s="34"/>
      <c r="CO763" s="34"/>
      <c r="CP763" s="34"/>
      <c r="CQ763" s="34"/>
      <c r="CR763" s="34"/>
      <c r="CS763" s="34"/>
      <c r="CT763" s="34"/>
      <c r="CU763" s="34"/>
      <c r="CV763" s="34"/>
      <c r="CW763" s="34"/>
      <c r="CX763" s="34"/>
      <c r="CY763" s="34"/>
      <c r="CZ763" s="34"/>
      <c r="DA763" s="34"/>
      <c r="DB763" s="34"/>
      <c r="DC763" s="34"/>
      <c r="DD763" s="34"/>
      <c r="DE763" s="34"/>
      <c r="DF763" s="34"/>
      <c r="DG763" s="34"/>
      <c r="DH763" s="34"/>
    </row>
    <row r="764" spans="1:112" customFormat="1" ht="34" x14ac:dyDescent="0.2">
      <c r="A764" s="7" t="s">
        <v>5686</v>
      </c>
      <c r="B764" s="7" t="s">
        <v>5687</v>
      </c>
      <c r="C764" s="2" t="s">
        <v>5687</v>
      </c>
      <c r="D764" s="5">
        <v>5</v>
      </c>
      <c r="E764" s="6" t="s">
        <v>61</v>
      </c>
      <c r="F764" s="6" t="s">
        <v>6058</v>
      </c>
      <c r="G764" s="6"/>
      <c r="H764" s="6"/>
      <c r="I764" s="6"/>
      <c r="J764" s="34" t="s">
        <v>469</v>
      </c>
      <c r="K764" s="34" t="s">
        <v>470</v>
      </c>
      <c r="L764" s="34" t="s">
        <v>1262</v>
      </c>
      <c r="M764" s="34" t="s">
        <v>1094</v>
      </c>
      <c r="N764" s="34" t="s">
        <v>5688</v>
      </c>
      <c r="O764" s="34" t="s">
        <v>2399</v>
      </c>
      <c r="P764" s="34" t="s">
        <v>159</v>
      </c>
      <c r="Q764" s="34" t="s">
        <v>41</v>
      </c>
      <c r="R764" s="34" t="s">
        <v>32</v>
      </c>
      <c r="S764" s="34" t="s">
        <v>33</v>
      </c>
      <c r="T764" s="34" t="s">
        <v>5689</v>
      </c>
      <c r="U764" s="34" t="s">
        <v>5690</v>
      </c>
      <c r="V764" s="34" t="s">
        <v>5690</v>
      </c>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34"/>
      <c r="BU764" s="34"/>
      <c r="BV764" s="34"/>
      <c r="BW764" s="34"/>
      <c r="BX764" s="34"/>
      <c r="BY764" s="34"/>
      <c r="BZ764" s="34"/>
      <c r="CA764" s="34"/>
      <c r="CB764" s="34"/>
      <c r="CC764" s="34"/>
      <c r="CD764" s="34"/>
      <c r="CE764" s="34"/>
      <c r="CF764" s="34"/>
      <c r="CG764" s="34"/>
      <c r="CH764" s="34"/>
      <c r="CI764" s="34"/>
      <c r="CJ764" s="34"/>
      <c r="CK764" s="34"/>
      <c r="CL764" s="34"/>
      <c r="CM764" s="34"/>
      <c r="CN764" s="34"/>
      <c r="CO764" s="34"/>
      <c r="CP764" s="34"/>
      <c r="CQ764" s="34"/>
      <c r="CR764" s="34"/>
      <c r="CS764" s="34"/>
      <c r="CT764" s="34"/>
      <c r="CU764" s="34"/>
      <c r="CV764" s="34"/>
      <c r="CW764" s="34"/>
      <c r="CX764" s="34"/>
      <c r="CY764" s="34"/>
      <c r="CZ764" s="34"/>
      <c r="DA764" s="34"/>
      <c r="DB764" s="34"/>
      <c r="DC764" s="34"/>
      <c r="DD764" s="34"/>
      <c r="DE764" s="34"/>
      <c r="DF764" s="34"/>
      <c r="DG764" s="34"/>
      <c r="DH764" s="34"/>
    </row>
    <row r="765" spans="1:112" customFormat="1" ht="102" x14ac:dyDescent="0.2">
      <c r="A765" s="2" t="s">
        <v>2418</v>
      </c>
      <c r="B765" s="2" t="s">
        <v>2419</v>
      </c>
      <c r="C765" s="2" t="s">
        <v>2419</v>
      </c>
      <c r="D765" s="1">
        <v>5</v>
      </c>
      <c r="E765" s="2" t="s">
        <v>61</v>
      </c>
      <c r="F765" s="2" t="s">
        <v>2420</v>
      </c>
      <c r="G765" s="2" t="s">
        <v>2190</v>
      </c>
      <c r="H765" s="2" t="s">
        <v>370</v>
      </c>
      <c r="I765" s="2" t="s">
        <v>790</v>
      </c>
      <c r="J765" s="25" t="s">
        <v>469</v>
      </c>
      <c r="K765" s="25" t="s">
        <v>470</v>
      </c>
      <c r="L765" s="25" t="s">
        <v>1262</v>
      </c>
      <c r="M765" s="25">
        <v>99</v>
      </c>
      <c r="N765" s="25" t="s">
        <v>2421</v>
      </c>
      <c r="O765" s="25">
        <v>84</v>
      </c>
      <c r="P765" s="25">
        <v>21</v>
      </c>
      <c r="Q765" s="25">
        <v>0</v>
      </c>
      <c r="R765" s="25" t="s">
        <v>32</v>
      </c>
      <c r="S765" s="25" t="s">
        <v>33</v>
      </c>
      <c r="T765" s="25" t="s">
        <v>2422</v>
      </c>
      <c r="U765" s="25" t="s">
        <v>4596</v>
      </c>
      <c r="V765" s="25" t="s">
        <v>4597</v>
      </c>
      <c r="W765" s="25" t="s">
        <v>4598</v>
      </c>
      <c r="X765" s="25" t="s">
        <v>4599</v>
      </c>
      <c r="Y765" s="25" t="s">
        <v>4600</v>
      </c>
      <c r="Z765" s="25" t="s">
        <v>4601</v>
      </c>
      <c r="AA765" s="25" t="s">
        <v>4602</v>
      </c>
      <c r="AB765" s="25" t="s">
        <v>4603</v>
      </c>
      <c r="AC765" s="25" t="s">
        <v>4604</v>
      </c>
      <c r="AD765" s="25" t="s">
        <v>4605</v>
      </c>
      <c r="AE765" s="25" t="s">
        <v>4606</v>
      </c>
      <c r="AF765" s="25" t="s">
        <v>4607</v>
      </c>
      <c r="AG765" s="25" t="s">
        <v>4608</v>
      </c>
      <c r="AH765" s="25" t="s">
        <v>4609</v>
      </c>
      <c r="AI765" s="25" t="s">
        <v>4610</v>
      </c>
      <c r="AJ765" s="25" t="s">
        <v>4611</v>
      </c>
      <c r="AK765" s="25" t="s">
        <v>4612</v>
      </c>
      <c r="AL765" s="25" t="s">
        <v>4613</v>
      </c>
      <c r="AM765" s="25" t="s">
        <v>4614</v>
      </c>
      <c r="AN765" s="25" t="s">
        <v>4615</v>
      </c>
      <c r="AO765" s="25" t="s">
        <v>4616</v>
      </c>
      <c r="AP765" s="25" t="s">
        <v>4617</v>
      </c>
      <c r="AQ765" s="25" t="s">
        <v>4618</v>
      </c>
      <c r="AR765" s="25" t="s">
        <v>4619</v>
      </c>
      <c r="AS765" s="25" t="s">
        <v>4620</v>
      </c>
      <c r="AT765" s="25" t="s">
        <v>4621</v>
      </c>
      <c r="AU765" s="25" t="s">
        <v>4622</v>
      </c>
      <c r="AV765" s="25" t="s">
        <v>4623</v>
      </c>
      <c r="AW765" s="25" t="s">
        <v>4624</v>
      </c>
      <c r="AX765" s="25" t="s">
        <v>4625</v>
      </c>
      <c r="AY765" s="25" t="s">
        <v>4626</v>
      </c>
      <c r="AZ765" s="25" t="s">
        <v>4627</v>
      </c>
      <c r="BA765" s="25" t="s">
        <v>4628</v>
      </c>
      <c r="BB765" s="25" t="s">
        <v>4629</v>
      </c>
      <c r="BC765" s="25" t="s">
        <v>2353</v>
      </c>
      <c r="BD765" s="25" t="s">
        <v>2354</v>
      </c>
      <c r="BE765" s="25" t="s">
        <v>2355</v>
      </c>
      <c r="BF765" s="25" t="s">
        <v>2356</v>
      </c>
      <c r="BG765" s="25" t="s">
        <v>2357</v>
      </c>
      <c r="BH765" s="25" t="s">
        <v>2358</v>
      </c>
      <c r="BI765" s="25" t="s">
        <v>2359</v>
      </c>
      <c r="BJ765" s="25" t="s">
        <v>2360</v>
      </c>
      <c r="BK765" s="25" t="s">
        <v>2361</v>
      </c>
      <c r="BL765" s="25" t="s">
        <v>2362</v>
      </c>
      <c r="BM765" s="25" t="s">
        <v>2363</v>
      </c>
      <c r="BN765" s="25"/>
      <c r="BO765" s="25"/>
      <c r="BP765" s="25"/>
      <c r="BQ765" s="25"/>
      <c r="BR765" s="25"/>
      <c r="BS765" s="25"/>
      <c r="BT765" s="25"/>
      <c r="BU765" s="25"/>
      <c r="BV765" s="25"/>
      <c r="BW765" s="25"/>
      <c r="BX765" s="25"/>
      <c r="BY765" s="25"/>
      <c r="BZ765" s="25"/>
      <c r="CA765" s="25"/>
      <c r="CB765" s="25"/>
      <c r="CC765" s="25"/>
      <c r="CD765" s="25"/>
      <c r="CE765" s="25"/>
      <c r="CF765" s="25"/>
      <c r="CG765" s="25"/>
      <c r="CH765" s="25"/>
      <c r="CI765" s="25"/>
      <c r="CJ765" s="25"/>
      <c r="CK765" s="25"/>
      <c r="CL765" s="25"/>
      <c r="CM765" s="25"/>
      <c r="CN765" s="25"/>
      <c r="CO765" s="25"/>
      <c r="CP765" s="25"/>
      <c r="CQ765" s="25"/>
      <c r="CR765" s="25"/>
      <c r="CS765" s="25"/>
      <c r="CT765" s="25"/>
      <c r="CU765" s="25"/>
      <c r="CV765" s="25"/>
      <c r="CW765" s="25"/>
      <c r="CX765" s="25"/>
      <c r="CY765" s="25"/>
      <c r="CZ765" s="25"/>
      <c r="DA765" s="25"/>
      <c r="DB765" s="25"/>
      <c r="DC765" s="25"/>
      <c r="DD765" s="25"/>
      <c r="DE765" s="25"/>
      <c r="DF765" s="25"/>
      <c r="DG765" s="25"/>
      <c r="DH765" s="25"/>
    </row>
    <row r="766" spans="1:112" customFormat="1" ht="136" x14ac:dyDescent="0.2">
      <c r="A766" s="2" t="s">
        <v>2423</v>
      </c>
      <c r="B766" s="2" t="s">
        <v>2424</v>
      </c>
      <c r="C766" s="2" t="s">
        <v>2424</v>
      </c>
      <c r="D766" s="1">
        <v>5</v>
      </c>
      <c r="E766" s="2" t="s">
        <v>61</v>
      </c>
      <c r="F766" s="2" t="s">
        <v>2425</v>
      </c>
      <c r="G766" s="2" t="s">
        <v>2190</v>
      </c>
      <c r="H766" s="2" t="s">
        <v>2426</v>
      </c>
      <c r="I766" s="2" t="s">
        <v>2427</v>
      </c>
      <c r="J766" s="25" t="s">
        <v>469</v>
      </c>
      <c r="K766" s="25" t="s">
        <v>470</v>
      </c>
      <c r="L766" s="25" t="s">
        <v>1262</v>
      </c>
      <c r="M766" s="25">
        <v>99</v>
      </c>
      <c r="N766" s="25" t="s">
        <v>2428</v>
      </c>
      <c r="O766" s="25">
        <v>89</v>
      </c>
      <c r="P766" s="25">
        <v>8</v>
      </c>
      <c r="Q766" s="25">
        <v>0</v>
      </c>
      <c r="R766" s="25" t="s">
        <v>32</v>
      </c>
      <c r="S766" s="25" t="s">
        <v>33</v>
      </c>
      <c r="T766" s="25" t="s">
        <v>2429</v>
      </c>
      <c r="U766" s="25" t="s">
        <v>2430</v>
      </c>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c r="BK766" s="25"/>
      <c r="BL766" s="25"/>
      <c r="BM766" s="25"/>
      <c r="BN766" s="25"/>
      <c r="BO766" s="25"/>
      <c r="BP766" s="25"/>
      <c r="BQ766" s="25"/>
      <c r="BR766" s="25"/>
      <c r="BS766" s="25"/>
      <c r="BT766" s="25"/>
      <c r="BU766" s="25"/>
      <c r="BV766" s="25"/>
      <c r="BW766" s="25"/>
      <c r="BX766" s="25"/>
      <c r="BY766" s="25"/>
      <c r="BZ766" s="25"/>
      <c r="CA766" s="25"/>
      <c r="CB766" s="25"/>
      <c r="CC766" s="25"/>
      <c r="CD766" s="25"/>
      <c r="CE766" s="25"/>
      <c r="CF766" s="25"/>
      <c r="CG766" s="25"/>
      <c r="CH766" s="25"/>
      <c r="CI766" s="25"/>
      <c r="CJ766" s="25"/>
      <c r="CK766" s="25"/>
      <c r="CL766" s="25"/>
      <c r="CM766" s="25"/>
      <c r="CN766" s="25"/>
      <c r="CO766" s="25"/>
      <c r="CP766" s="25"/>
      <c r="CQ766" s="25"/>
      <c r="CR766" s="25"/>
      <c r="CS766" s="25"/>
      <c r="CT766" s="25"/>
      <c r="CU766" s="25"/>
      <c r="CV766" s="25"/>
      <c r="CW766" s="25"/>
      <c r="CX766" s="25"/>
      <c r="CY766" s="25"/>
      <c r="CZ766" s="25"/>
      <c r="DA766" s="25"/>
      <c r="DB766" s="25"/>
      <c r="DC766" s="25"/>
      <c r="DD766" s="25"/>
      <c r="DE766" s="25"/>
      <c r="DF766" s="25"/>
      <c r="DG766" s="25"/>
      <c r="DH766" s="25"/>
    </row>
    <row r="767" spans="1:112" customFormat="1" ht="119" x14ac:dyDescent="0.2">
      <c r="A767" s="2" t="s">
        <v>2431</v>
      </c>
      <c r="B767" s="2" t="s">
        <v>2432</v>
      </c>
      <c r="C767" s="2" t="s">
        <v>2432</v>
      </c>
      <c r="D767" s="1">
        <v>5</v>
      </c>
      <c r="E767" s="2" t="s">
        <v>61</v>
      </c>
      <c r="F767" s="2" t="s">
        <v>2433</v>
      </c>
      <c r="G767" s="2" t="s">
        <v>2190</v>
      </c>
      <c r="H767" s="2" t="s">
        <v>1353</v>
      </c>
      <c r="I767" s="2" t="s">
        <v>1543</v>
      </c>
      <c r="J767" s="25" t="s">
        <v>469</v>
      </c>
      <c r="K767" s="25" t="s">
        <v>470</v>
      </c>
      <c r="L767" s="25" t="s">
        <v>1262</v>
      </c>
      <c r="M767" s="25">
        <v>99</v>
      </c>
      <c r="N767" s="25" t="s">
        <v>2434</v>
      </c>
      <c r="O767" s="25">
        <v>98</v>
      </c>
      <c r="P767" s="25">
        <v>6</v>
      </c>
      <c r="Q767" s="25">
        <v>0</v>
      </c>
      <c r="R767" s="25" t="s">
        <v>32</v>
      </c>
      <c r="S767" s="25" t="s">
        <v>33</v>
      </c>
      <c r="T767" s="25" t="s">
        <v>2435</v>
      </c>
      <c r="U767" s="25" t="s">
        <v>4630</v>
      </c>
      <c r="V767" s="25" t="s">
        <v>4631</v>
      </c>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c r="BK767" s="25"/>
      <c r="BL767" s="25"/>
      <c r="BM767" s="25"/>
      <c r="BN767" s="25"/>
      <c r="BO767" s="25"/>
      <c r="BP767" s="25"/>
      <c r="BQ767" s="25"/>
      <c r="BR767" s="25"/>
      <c r="BS767" s="25"/>
      <c r="BT767" s="25"/>
      <c r="BU767" s="25"/>
      <c r="BV767" s="25"/>
      <c r="BW767" s="25"/>
      <c r="BX767" s="25"/>
      <c r="BY767" s="25"/>
      <c r="BZ767" s="25"/>
      <c r="CA767" s="25"/>
      <c r="CB767" s="25"/>
      <c r="CC767" s="25"/>
      <c r="CD767" s="25"/>
      <c r="CE767" s="25"/>
      <c r="CF767" s="25"/>
      <c r="CG767" s="25"/>
      <c r="CH767" s="25"/>
      <c r="CI767" s="25"/>
      <c r="CJ767" s="25"/>
      <c r="CK767" s="25"/>
      <c r="CL767" s="25"/>
      <c r="CM767" s="25"/>
      <c r="CN767" s="25"/>
      <c r="CO767" s="25"/>
      <c r="CP767" s="25"/>
      <c r="CQ767" s="25"/>
      <c r="CR767" s="25"/>
      <c r="CS767" s="25"/>
      <c r="CT767" s="25"/>
      <c r="CU767" s="25"/>
      <c r="CV767" s="25"/>
      <c r="CW767" s="25"/>
      <c r="CX767" s="25"/>
      <c r="CY767" s="25"/>
      <c r="CZ767" s="25"/>
      <c r="DA767" s="25"/>
      <c r="DB767" s="25"/>
      <c r="DC767" s="25"/>
      <c r="DD767" s="25"/>
      <c r="DE767" s="25"/>
      <c r="DF767" s="25"/>
      <c r="DG767" s="25"/>
      <c r="DH767" s="25"/>
    </row>
    <row r="768" spans="1:112" customFormat="1" ht="85" x14ac:dyDescent="0.2">
      <c r="A768" s="7" t="s">
        <v>5723</v>
      </c>
      <c r="B768" s="7" t="s">
        <v>5724</v>
      </c>
      <c r="C768" s="2" t="s">
        <v>5724</v>
      </c>
      <c r="D768" s="1">
        <v>5</v>
      </c>
      <c r="E768" s="2" t="s">
        <v>61</v>
      </c>
      <c r="F768" s="2" t="s">
        <v>2438</v>
      </c>
      <c r="G768" s="2" t="s">
        <v>2190</v>
      </c>
      <c r="H768" s="2" t="s">
        <v>1261</v>
      </c>
      <c r="I768" s="2"/>
      <c r="J768" s="34" t="s">
        <v>469</v>
      </c>
      <c r="K768" s="34" t="s">
        <v>470</v>
      </c>
      <c r="L768" s="34" t="s">
        <v>1262</v>
      </c>
      <c r="M768" s="34" t="s">
        <v>1094</v>
      </c>
      <c r="N768" s="34" t="s">
        <v>5725</v>
      </c>
      <c r="O768" s="34" t="s">
        <v>5726</v>
      </c>
      <c r="P768" s="34" t="s">
        <v>825</v>
      </c>
      <c r="Q768" s="34" t="s">
        <v>41</v>
      </c>
      <c r="R768" s="34" t="s">
        <v>32</v>
      </c>
      <c r="S768" s="34" t="s">
        <v>33</v>
      </c>
      <c r="T768" s="34" t="s">
        <v>1264</v>
      </c>
      <c r="U768" s="34" t="s">
        <v>5727</v>
      </c>
      <c r="V768" s="34" t="s">
        <v>5727</v>
      </c>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34"/>
      <c r="BU768" s="34"/>
      <c r="BV768" s="34"/>
      <c r="BW768" s="34"/>
      <c r="BX768" s="34"/>
      <c r="BY768" s="34"/>
      <c r="BZ768" s="34"/>
      <c r="CA768" s="34"/>
      <c r="CB768" s="34"/>
      <c r="CC768" s="34"/>
      <c r="CD768" s="34"/>
      <c r="CE768" s="34"/>
      <c r="CF768" s="34"/>
      <c r="CG768" s="34"/>
      <c r="CH768" s="34"/>
      <c r="CI768" s="34"/>
      <c r="CJ768" s="34"/>
      <c r="CK768" s="34"/>
      <c r="CL768" s="34"/>
      <c r="CM768" s="34"/>
      <c r="CN768" s="34"/>
      <c r="CO768" s="34"/>
      <c r="CP768" s="34"/>
      <c r="CQ768" s="34"/>
      <c r="CR768" s="34"/>
      <c r="CS768" s="34"/>
      <c r="CT768" s="34"/>
      <c r="CU768" s="34"/>
      <c r="CV768" s="34"/>
      <c r="CW768" s="34"/>
      <c r="CX768" s="34"/>
      <c r="CY768" s="34"/>
      <c r="CZ768" s="34"/>
      <c r="DA768" s="34"/>
      <c r="DB768" s="34"/>
      <c r="DC768" s="34"/>
      <c r="DD768" s="34"/>
      <c r="DE768" s="34"/>
      <c r="DF768" s="34"/>
      <c r="DG768" s="34"/>
      <c r="DH768" s="34"/>
    </row>
    <row r="769" spans="1:112" customFormat="1" ht="85" x14ac:dyDescent="0.2">
      <c r="A769" s="2" t="s">
        <v>2436</v>
      </c>
      <c r="B769" s="2" t="s">
        <v>2437</v>
      </c>
      <c r="C769" s="2" t="s">
        <v>2437</v>
      </c>
      <c r="D769" s="1">
        <v>5</v>
      </c>
      <c r="E769" s="2" t="s">
        <v>61</v>
      </c>
      <c r="F769" s="2" t="s">
        <v>2438</v>
      </c>
      <c r="G769" s="2" t="s">
        <v>2190</v>
      </c>
      <c r="H769" s="2" t="s">
        <v>1261</v>
      </c>
      <c r="I769" s="2"/>
      <c r="J769" s="25" t="s">
        <v>469</v>
      </c>
      <c r="K769" s="25" t="s">
        <v>470</v>
      </c>
      <c r="L769" s="25" t="s">
        <v>1262</v>
      </c>
      <c r="M769" s="25">
        <v>99</v>
      </c>
      <c r="N769" s="25" t="s">
        <v>2439</v>
      </c>
      <c r="O769" s="25">
        <v>98</v>
      </c>
      <c r="P769" s="25">
        <v>75</v>
      </c>
      <c r="Q769" s="25">
        <v>0</v>
      </c>
      <c r="R769" s="25" t="s">
        <v>32</v>
      </c>
      <c r="S769" s="25" t="s">
        <v>33</v>
      </c>
      <c r="T769" s="25" t="s">
        <v>2440</v>
      </c>
      <c r="U769" s="25" t="s">
        <v>2441</v>
      </c>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c r="BK769" s="25"/>
      <c r="BL769" s="25"/>
      <c r="BM769" s="25"/>
      <c r="BN769" s="25"/>
      <c r="BO769" s="25"/>
      <c r="BP769" s="25"/>
      <c r="BQ769" s="25"/>
      <c r="BR769" s="25"/>
      <c r="BS769" s="25"/>
      <c r="BT769" s="25"/>
      <c r="BU769" s="25"/>
      <c r="BV769" s="25"/>
      <c r="BW769" s="25"/>
      <c r="BX769" s="25"/>
      <c r="BY769" s="25"/>
      <c r="BZ769" s="25"/>
      <c r="CA769" s="25"/>
      <c r="CB769" s="25"/>
      <c r="CC769" s="25"/>
      <c r="CD769" s="25"/>
      <c r="CE769" s="25"/>
      <c r="CF769" s="25"/>
      <c r="CG769" s="25"/>
      <c r="CH769" s="25"/>
      <c r="CI769" s="25"/>
      <c r="CJ769" s="25"/>
      <c r="CK769" s="25"/>
      <c r="CL769" s="25"/>
      <c r="CM769" s="25"/>
      <c r="CN769" s="25"/>
      <c r="CO769" s="25"/>
      <c r="CP769" s="25"/>
      <c r="CQ769" s="25"/>
      <c r="CR769" s="25"/>
      <c r="CS769" s="25"/>
      <c r="CT769" s="25"/>
      <c r="CU769" s="25"/>
      <c r="CV769" s="25"/>
      <c r="CW769" s="25"/>
      <c r="CX769" s="25"/>
      <c r="CY769" s="25"/>
      <c r="CZ769" s="25"/>
      <c r="DA769" s="25"/>
      <c r="DB769" s="25"/>
      <c r="DC769" s="25"/>
      <c r="DD769" s="25"/>
      <c r="DE769" s="25"/>
      <c r="DF769" s="25"/>
      <c r="DG769" s="25"/>
      <c r="DH769" s="25"/>
    </row>
    <row r="770" spans="1:112" customFormat="1" ht="51" x14ac:dyDescent="0.2">
      <c r="A770" s="2" t="s">
        <v>2442</v>
      </c>
      <c r="B770" s="2" t="s">
        <v>2443</v>
      </c>
      <c r="C770" s="2" t="s">
        <v>2443</v>
      </c>
      <c r="D770" s="1">
        <v>5</v>
      </c>
      <c r="E770" s="2" t="s">
        <v>61</v>
      </c>
      <c r="F770" s="2" t="s">
        <v>2444</v>
      </c>
      <c r="G770" s="2" t="s">
        <v>2445</v>
      </c>
      <c r="H770" s="2" t="s">
        <v>2446</v>
      </c>
      <c r="I770" s="2" t="s">
        <v>1270</v>
      </c>
      <c r="J770" s="25" t="s">
        <v>469</v>
      </c>
      <c r="K770" s="25" t="s">
        <v>470</v>
      </c>
      <c r="L770" s="25" t="s">
        <v>1262</v>
      </c>
      <c r="M770" s="25">
        <v>99</v>
      </c>
      <c r="N770" s="25" t="s">
        <v>2447</v>
      </c>
      <c r="O770" s="25">
        <v>99</v>
      </c>
      <c r="P770" s="25">
        <v>30</v>
      </c>
      <c r="Q770" s="25">
        <v>0</v>
      </c>
      <c r="R770" s="25" t="s">
        <v>32</v>
      </c>
      <c r="S770" s="25" t="s">
        <v>33</v>
      </c>
      <c r="T770" s="25" t="s">
        <v>2448</v>
      </c>
      <c r="U770" s="25" t="s">
        <v>2449</v>
      </c>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c r="BK770" s="25"/>
      <c r="BL770" s="25"/>
      <c r="BM770" s="25"/>
      <c r="BN770" s="25"/>
      <c r="BO770" s="25"/>
      <c r="BP770" s="25"/>
      <c r="BQ770" s="25"/>
      <c r="BR770" s="25"/>
      <c r="BS770" s="25"/>
      <c r="BT770" s="25"/>
      <c r="BU770" s="25"/>
      <c r="BV770" s="25"/>
      <c r="BW770" s="25"/>
      <c r="BX770" s="25"/>
      <c r="BY770" s="25"/>
      <c r="BZ770" s="25"/>
      <c r="CA770" s="25"/>
      <c r="CB770" s="25"/>
      <c r="CC770" s="25"/>
      <c r="CD770" s="25"/>
      <c r="CE770" s="25"/>
      <c r="CF770" s="25"/>
      <c r="CG770" s="25"/>
      <c r="CH770" s="25"/>
      <c r="CI770" s="25"/>
      <c r="CJ770" s="25"/>
      <c r="CK770" s="25"/>
      <c r="CL770" s="25"/>
      <c r="CM770" s="25"/>
      <c r="CN770" s="25"/>
      <c r="CO770" s="25"/>
      <c r="CP770" s="25"/>
      <c r="CQ770" s="25"/>
      <c r="CR770" s="25"/>
      <c r="CS770" s="25"/>
      <c r="CT770" s="25"/>
      <c r="CU770" s="25"/>
      <c r="CV770" s="25"/>
      <c r="CW770" s="25"/>
      <c r="CX770" s="25"/>
      <c r="CY770" s="25"/>
      <c r="CZ770" s="25"/>
      <c r="DA770" s="25"/>
      <c r="DB770" s="25"/>
      <c r="DC770" s="25"/>
      <c r="DD770" s="25"/>
      <c r="DE770" s="25"/>
      <c r="DF770" s="25"/>
      <c r="DG770" s="25"/>
      <c r="DH770" s="25"/>
    </row>
    <row r="771" spans="1:112" customFormat="1" ht="51" x14ac:dyDescent="0.2">
      <c r="A771" s="7" t="s">
        <v>5732</v>
      </c>
      <c r="B771" s="7" t="s">
        <v>5733</v>
      </c>
      <c r="C771" s="2" t="s">
        <v>5733</v>
      </c>
      <c r="D771" s="5">
        <v>5</v>
      </c>
      <c r="E771" s="6" t="s">
        <v>61</v>
      </c>
      <c r="F771" s="6" t="s">
        <v>6061</v>
      </c>
      <c r="G771" s="6" t="s">
        <v>2190</v>
      </c>
      <c r="H771" s="6" t="s">
        <v>537</v>
      </c>
      <c r="I771" s="6"/>
      <c r="J771" s="34" t="s">
        <v>469</v>
      </c>
      <c r="K771" s="34" t="s">
        <v>470</v>
      </c>
      <c r="L771" s="34" t="s">
        <v>1262</v>
      </c>
      <c r="M771" s="34" t="s">
        <v>1094</v>
      </c>
      <c r="N771" s="34" t="s">
        <v>5734</v>
      </c>
      <c r="O771" s="34" t="s">
        <v>1094</v>
      </c>
      <c r="P771" s="34" t="s">
        <v>472</v>
      </c>
      <c r="Q771" s="34" t="s">
        <v>41</v>
      </c>
      <c r="R771" s="34" t="s">
        <v>32</v>
      </c>
      <c r="S771" s="34" t="s">
        <v>33</v>
      </c>
      <c r="T771" s="34" t="s">
        <v>5735</v>
      </c>
      <c r="U771" s="34" t="s">
        <v>5736</v>
      </c>
      <c r="V771" s="34" t="s">
        <v>5736</v>
      </c>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34"/>
      <c r="BU771" s="34"/>
      <c r="BV771" s="34"/>
      <c r="BW771" s="34"/>
      <c r="BX771" s="34"/>
      <c r="BY771" s="34"/>
      <c r="BZ771" s="34"/>
      <c r="CA771" s="34"/>
      <c r="CB771" s="34"/>
      <c r="CC771" s="34"/>
      <c r="CD771" s="34"/>
      <c r="CE771" s="34"/>
      <c r="CF771" s="34"/>
      <c r="CG771" s="34"/>
      <c r="CH771" s="34"/>
      <c r="CI771" s="34"/>
      <c r="CJ771" s="34"/>
      <c r="CK771" s="34"/>
      <c r="CL771" s="34"/>
      <c r="CM771" s="34"/>
      <c r="CN771" s="34"/>
      <c r="CO771" s="34"/>
      <c r="CP771" s="34"/>
      <c r="CQ771" s="34"/>
      <c r="CR771" s="34"/>
      <c r="CS771" s="34"/>
      <c r="CT771" s="34"/>
      <c r="CU771" s="34"/>
      <c r="CV771" s="34"/>
      <c r="CW771" s="34"/>
      <c r="CX771" s="34"/>
      <c r="CY771" s="34"/>
      <c r="CZ771" s="34"/>
      <c r="DA771" s="34"/>
      <c r="DB771" s="34"/>
      <c r="DC771" s="34"/>
      <c r="DD771" s="34"/>
      <c r="DE771" s="34"/>
      <c r="DF771" s="34"/>
      <c r="DG771" s="34"/>
      <c r="DH771" s="34"/>
    </row>
    <row r="772" spans="1:112" customFormat="1" ht="51" x14ac:dyDescent="0.2">
      <c r="A772" s="7" t="s">
        <v>5737</v>
      </c>
      <c r="B772" s="7" t="s">
        <v>5738</v>
      </c>
      <c r="C772" s="2" t="s">
        <v>5738</v>
      </c>
      <c r="D772" s="5">
        <v>5</v>
      </c>
      <c r="E772" s="6" t="s">
        <v>61</v>
      </c>
      <c r="F772" s="6" t="s">
        <v>6061</v>
      </c>
      <c r="G772" s="6" t="s">
        <v>2190</v>
      </c>
      <c r="H772" s="6"/>
      <c r="I772" s="6"/>
      <c r="J772" s="34" t="s">
        <v>469</v>
      </c>
      <c r="K772" s="34" t="s">
        <v>470</v>
      </c>
      <c r="L772" s="34" t="s">
        <v>1262</v>
      </c>
      <c r="M772" s="34" t="s">
        <v>1094</v>
      </c>
      <c r="N772" s="34" t="s">
        <v>5739</v>
      </c>
      <c r="O772" s="34" t="s">
        <v>1094</v>
      </c>
      <c r="P772" s="34" t="s">
        <v>1551</v>
      </c>
      <c r="Q772" s="34" t="s">
        <v>41</v>
      </c>
      <c r="R772" s="34" t="s">
        <v>32</v>
      </c>
      <c r="S772" s="34" t="s">
        <v>33</v>
      </c>
      <c r="T772" s="34" t="s">
        <v>5740</v>
      </c>
      <c r="U772" s="34" t="s">
        <v>5741</v>
      </c>
      <c r="V772" s="34" t="s">
        <v>5741</v>
      </c>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34"/>
      <c r="BU772" s="34"/>
      <c r="BV772" s="34"/>
      <c r="BW772" s="34"/>
      <c r="BX772" s="34"/>
      <c r="BY772" s="34"/>
      <c r="BZ772" s="34"/>
      <c r="CA772" s="34"/>
      <c r="CB772" s="34"/>
      <c r="CC772" s="34"/>
      <c r="CD772" s="34"/>
      <c r="CE772" s="34"/>
      <c r="CF772" s="34"/>
      <c r="CG772" s="34"/>
      <c r="CH772" s="34"/>
      <c r="CI772" s="34"/>
      <c r="CJ772" s="34"/>
      <c r="CK772" s="34"/>
      <c r="CL772" s="34"/>
      <c r="CM772" s="34"/>
      <c r="CN772" s="34"/>
      <c r="CO772" s="34"/>
      <c r="CP772" s="34"/>
      <c r="CQ772" s="34"/>
      <c r="CR772" s="34"/>
      <c r="CS772" s="34"/>
      <c r="CT772" s="34"/>
      <c r="CU772" s="34"/>
      <c r="CV772" s="34"/>
      <c r="CW772" s="34"/>
      <c r="CX772" s="34"/>
      <c r="CY772" s="34"/>
      <c r="CZ772" s="34"/>
      <c r="DA772" s="34"/>
      <c r="DB772" s="34"/>
      <c r="DC772" s="34"/>
      <c r="DD772" s="34"/>
      <c r="DE772" s="34"/>
      <c r="DF772" s="34"/>
      <c r="DG772" s="34"/>
      <c r="DH772" s="34"/>
    </row>
    <row r="773" spans="1:112" customFormat="1" ht="153" x14ac:dyDescent="0.2">
      <c r="A773" s="7" t="s">
        <v>5746</v>
      </c>
      <c r="B773" s="7" t="s">
        <v>5747</v>
      </c>
      <c r="C773" s="2" t="s">
        <v>5747</v>
      </c>
      <c r="D773" s="5">
        <v>5</v>
      </c>
      <c r="E773" s="6" t="s">
        <v>61</v>
      </c>
      <c r="F773" s="6"/>
      <c r="G773" s="6" t="s">
        <v>2190</v>
      </c>
      <c r="H773" s="8" t="s">
        <v>6065</v>
      </c>
      <c r="I773" s="6" t="s">
        <v>6066</v>
      </c>
      <c r="J773" s="34" t="s">
        <v>469</v>
      </c>
      <c r="K773" s="34" t="s">
        <v>470</v>
      </c>
      <c r="L773" s="34" t="s">
        <v>1262</v>
      </c>
      <c r="M773" s="34" t="s">
        <v>1094</v>
      </c>
      <c r="N773" s="34" t="s">
        <v>1093</v>
      </c>
      <c r="O773" s="34" t="s">
        <v>1094</v>
      </c>
      <c r="P773" s="34" t="s">
        <v>1094</v>
      </c>
      <c r="Q773" s="34" t="s">
        <v>871</v>
      </c>
      <c r="R773" s="34" t="s">
        <v>32</v>
      </c>
      <c r="S773" s="34" t="s">
        <v>33</v>
      </c>
      <c r="T773" s="34" t="s">
        <v>5748</v>
      </c>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34"/>
      <c r="BU773" s="34"/>
      <c r="BV773" s="34"/>
      <c r="BW773" s="34"/>
      <c r="BX773" s="34"/>
      <c r="BY773" s="34"/>
      <c r="BZ773" s="34"/>
      <c r="CA773" s="34"/>
      <c r="CB773" s="34"/>
      <c r="CC773" s="34"/>
      <c r="CD773" s="34"/>
      <c r="CE773" s="34"/>
      <c r="CF773" s="34"/>
      <c r="CG773" s="34"/>
      <c r="CH773" s="34"/>
      <c r="CI773" s="34"/>
      <c r="CJ773" s="34"/>
      <c r="CK773" s="34"/>
      <c r="CL773" s="34"/>
      <c r="CM773" s="34"/>
      <c r="CN773" s="34"/>
      <c r="CO773" s="34"/>
      <c r="CP773" s="34"/>
      <c r="CQ773" s="34"/>
      <c r="CR773" s="34"/>
      <c r="CS773" s="34"/>
      <c r="CT773" s="34"/>
      <c r="CU773" s="34"/>
      <c r="CV773" s="34"/>
      <c r="CW773" s="34"/>
      <c r="CX773" s="34"/>
      <c r="CY773" s="34"/>
      <c r="CZ773" s="34"/>
      <c r="DA773" s="34"/>
      <c r="DB773" s="34"/>
      <c r="DC773" s="34"/>
      <c r="DD773" s="34"/>
      <c r="DE773" s="34"/>
      <c r="DF773" s="34"/>
      <c r="DG773" s="34"/>
      <c r="DH773" s="34"/>
    </row>
    <row r="774" spans="1:112" customFormat="1" ht="153" x14ac:dyDescent="0.2">
      <c r="A774" s="7" t="s">
        <v>5749</v>
      </c>
      <c r="B774" s="7" t="s">
        <v>5750</v>
      </c>
      <c r="C774" s="2" t="s">
        <v>5750</v>
      </c>
      <c r="D774" s="5">
        <v>5</v>
      </c>
      <c r="E774" s="6" t="s">
        <v>61</v>
      </c>
      <c r="F774" s="6"/>
      <c r="G774" s="6" t="s">
        <v>2190</v>
      </c>
      <c r="H774" s="8" t="s">
        <v>6065</v>
      </c>
      <c r="I774" s="6" t="s">
        <v>6066</v>
      </c>
      <c r="J774" s="34" t="s">
        <v>469</v>
      </c>
      <c r="K774" s="34" t="s">
        <v>470</v>
      </c>
      <c r="L774" s="34" t="s">
        <v>1262</v>
      </c>
      <c r="M774" s="34" t="s">
        <v>1094</v>
      </c>
      <c r="N774" s="34" t="s">
        <v>1093</v>
      </c>
      <c r="O774" s="34" t="s">
        <v>1094</v>
      </c>
      <c r="P774" s="34" t="s">
        <v>1094</v>
      </c>
      <c r="Q774" s="34" t="s">
        <v>5751</v>
      </c>
      <c r="R774" s="34" t="s">
        <v>32</v>
      </c>
      <c r="S774" s="34" t="s">
        <v>33</v>
      </c>
      <c r="T774" s="34" t="s">
        <v>5748</v>
      </c>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34"/>
      <c r="BU774" s="34"/>
      <c r="BV774" s="34"/>
      <c r="BW774" s="34"/>
      <c r="BX774" s="34"/>
      <c r="BY774" s="34"/>
      <c r="BZ774" s="34"/>
      <c r="CA774" s="34"/>
      <c r="CB774" s="34"/>
      <c r="CC774" s="34"/>
      <c r="CD774" s="34"/>
      <c r="CE774" s="34"/>
      <c r="CF774" s="34"/>
      <c r="CG774" s="34"/>
      <c r="CH774" s="34"/>
      <c r="CI774" s="34"/>
      <c r="CJ774" s="34"/>
      <c r="CK774" s="34"/>
      <c r="CL774" s="34"/>
      <c r="CM774" s="34"/>
      <c r="CN774" s="34"/>
      <c r="CO774" s="34"/>
      <c r="CP774" s="34"/>
      <c r="CQ774" s="34"/>
      <c r="CR774" s="34"/>
      <c r="CS774" s="34"/>
      <c r="CT774" s="34"/>
      <c r="CU774" s="34"/>
      <c r="CV774" s="34"/>
      <c r="CW774" s="34"/>
      <c r="CX774" s="34"/>
      <c r="CY774" s="34"/>
      <c r="CZ774" s="34"/>
      <c r="DA774" s="34"/>
      <c r="DB774" s="34"/>
      <c r="DC774" s="34"/>
      <c r="DD774" s="34"/>
      <c r="DE774" s="34"/>
      <c r="DF774" s="34"/>
      <c r="DG774" s="34"/>
      <c r="DH774" s="34"/>
    </row>
    <row r="775" spans="1:112" customFormat="1" ht="187" x14ac:dyDescent="0.2">
      <c r="A775" s="2" t="s">
        <v>2450</v>
      </c>
      <c r="B775" s="2" t="s">
        <v>2451</v>
      </c>
      <c r="C775" s="2" t="s">
        <v>2452</v>
      </c>
      <c r="D775" s="1">
        <v>5</v>
      </c>
      <c r="E775" s="2" t="s">
        <v>23</v>
      </c>
      <c r="F775" s="2"/>
      <c r="G775" s="2" t="s">
        <v>2190</v>
      </c>
      <c r="H775" s="2" t="s">
        <v>2453</v>
      </c>
      <c r="I775" s="2" t="s">
        <v>2088</v>
      </c>
      <c r="J775" s="25" t="s">
        <v>645</v>
      </c>
      <c r="K775" s="25" t="s">
        <v>2454</v>
      </c>
      <c r="L775" s="25" t="s">
        <v>2455</v>
      </c>
      <c r="M775" s="25" t="s">
        <v>2456</v>
      </c>
      <c r="N775" s="25" t="s">
        <v>2457</v>
      </c>
      <c r="O775" s="25">
        <v>125</v>
      </c>
      <c r="P775" s="25">
        <v>11</v>
      </c>
      <c r="Q775" s="25">
        <v>0</v>
      </c>
      <c r="R775" s="25" t="s">
        <v>32</v>
      </c>
      <c r="S775" s="25" t="s">
        <v>33</v>
      </c>
      <c r="T775" s="25" t="s">
        <v>2458</v>
      </c>
      <c r="U775" s="25" t="s">
        <v>4632</v>
      </c>
      <c r="V775" s="25" t="s">
        <v>4633</v>
      </c>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c r="BK775" s="25"/>
      <c r="BL775" s="25"/>
      <c r="BM775" s="25"/>
      <c r="BN775" s="25"/>
      <c r="BO775" s="25"/>
      <c r="BP775" s="25"/>
      <c r="BQ775" s="25"/>
      <c r="BR775" s="25"/>
      <c r="BS775" s="25"/>
      <c r="BT775" s="25"/>
      <c r="BU775" s="25"/>
      <c r="BV775" s="25"/>
      <c r="BW775" s="25"/>
      <c r="BX775" s="25"/>
      <c r="BY775" s="25"/>
      <c r="BZ775" s="25"/>
      <c r="CA775" s="25"/>
      <c r="CB775" s="25"/>
      <c r="CC775" s="25"/>
      <c r="CD775" s="25"/>
      <c r="CE775" s="25"/>
      <c r="CF775" s="25"/>
      <c r="CG775" s="25"/>
      <c r="CH775" s="25"/>
      <c r="CI775" s="25"/>
      <c r="CJ775" s="25"/>
      <c r="CK775" s="25"/>
      <c r="CL775" s="25"/>
      <c r="CM775" s="25"/>
      <c r="CN775" s="25"/>
      <c r="CO775" s="25"/>
      <c r="CP775" s="25"/>
      <c r="CQ775" s="25"/>
      <c r="CR775" s="25"/>
      <c r="CS775" s="25"/>
      <c r="CT775" s="25"/>
      <c r="CU775" s="25"/>
      <c r="CV775" s="25"/>
      <c r="CW775" s="25"/>
      <c r="CX775" s="25"/>
      <c r="CY775" s="25"/>
      <c r="CZ775" s="25"/>
      <c r="DA775" s="25"/>
      <c r="DB775" s="25"/>
      <c r="DC775" s="25"/>
      <c r="DD775" s="25"/>
      <c r="DE775" s="25"/>
      <c r="DF775" s="25"/>
      <c r="DG775" s="25"/>
      <c r="DH775" s="25"/>
    </row>
    <row r="776" spans="1:112" customFormat="1" ht="187" x14ac:dyDescent="0.2">
      <c r="A776" s="2" t="s">
        <v>2459</v>
      </c>
      <c r="B776" s="2" t="s">
        <v>2460</v>
      </c>
      <c r="C776" s="2" t="s">
        <v>2461</v>
      </c>
      <c r="D776" s="1">
        <v>5</v>
      </c>
      <c r="E776" s="2" t="s">
        <v>23</v>
      </c>
      <c r="F776" s="2"/>
      <c r="G776" s="2" t="s">
        <v>2190</v>
      </c>
      <c r="H776" s="2" t="s">
        <v>2453</v>
      </c>
      <c r="I776" s="2" t="s">
        <v>2088</v>
      </c>
      <c r="J776" s="25" t="s">
        <v>645</v>
      </c>
      <c r="K776" s="25" t="s">
        <v>2454</v>
      </c>
      <c r="L776" s="25" t="s">
        <v>2455</v>
      </c>
      <c r="M776" s="25" t="s">
        <v>2456</v>
      </c>
      <c r="N776" s="25" t="s">
        <v>2457</v>
      </c>
      <c r="O776" s="25">
        <v>125</v>
      </c>
      <c r="P776" s="25">
        <v>11</v>
      </c>
      <c r="Q776" s="25" t="s">
        <v>199</v>
      </c>
      <c r="R776" s="25" t="s">
        <v>32</v>
      </c>
      <c r="S776" s="25" t="s">
        <v>33</v>
      </c>
      <c r="T776" s="25" t="s">
        <v>2458</v>
      </c>
      <c r="U776" s="25" t="s">
        <v>4632</v>
      </c>
      <c r="V776" s="25" t="s">
        <v>4633</v>
      </c>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c r="BJ776" s="25"/>
      <c r="BK776" s="25"/>
      <c r="BL776" s="25"/>
      <c r="BM776" s="25"/>
      <c r="BN776" s="25"/>
      <c r="BO776" s="25"/>
      <c r="BP776" s="25"/>
      <c r="BQ776" s="25"/>
      <c r="BR776" s="25"/>
      <c r="BS776" s="25"/>
      <c r="BT776" s="25"/>
      <c r="BU776" s="25"/>
      <c r="BV776" s="25"/>
      <c r="BW776" s="25"/>
      <c r="BX776" s="25"/>
      <c r="BY776" s="25"/>
      <c r="BZ776" s="25"/>
      <c r="CA776" s="25"/>
      <c r="CB776" s="25"/>
      <c r="CC776" s="25"/>
      <c r="CD776" s="25"/>
      <c r="CE776" s="25"/>
      <c r="CF776" s="25"/>
      <c r="CG776" s="25"/>
      <c r="CH776" s="25"/>
      <c r="CI776" s="25"/>
      <c r="CJ776" s="25"/>
      <c r="CK776" s="25"/>
      <c r="CL776" s="25"/>
      <c r="CM776" s="25"/>
      <c r="CN776" s="25"/>
      <c r="CO776" s="25"/>
      <c r="CP776" s="25"/>
      <c r="CQ776" s="25"/>
      <c r="CR776" s="25"/>
      <c r="CS776" s="25"/>
      <c r="CT776" s="25"/>
      <c r="CU776" s="25"/>
      <c r="CV776" s="25"/>
      <c r="CW776" s="25"/>
      <c r="CX776" s="25"/>
      <c r="CY776" s="25"/>
      <c r="CZ776" s="25"/>
      <c r="DA776" s="25"/>
      <c r="DB776" s="25"/>
      <c r="DC776" s="25"/>
      <c r="DD776" s="25"/>
      <c r="DE776" s="25"/>
      <c r="DF776" s="25"/>
      <c r="DG776" s="25"/>
      <c r="DH776" s="25"/>
    </row>
    <row r="777" spans="1:112" customFormat="1" ht="204" x14ac:dyDescent="0.2">
      <c r="A777" s="2" t="s">
        <v>2462</v>
      </c>
      <c r="B777" s="2" t="s">
        <v>2463</v>
      </c>
      <c r="C777" s="2" t="s">
        <v>2463</v>
      </c>
      <c r="D777" s="1">
        <v>5</v>
      </c>
      <c r="E777" s="2" t="s">
        <v>23</v>
      </c>
      <c r="F777" s="2"/>
      <c r="G777" s="2" t="s">
        <v>2190</v>
      </c>
      <c r="H777" s="2" t="s">
        <v>680</v>
      </c>
      <c r="I777" s="2" t="s">
        <v>2258</v>
      </c>
      <c r="J777" s="25" t="s">
        <v>645</v>
      </c>
      <c r="K777" s="25" t="s">
        <v>2089</v>
      </c>
      <c r="L777" s="25" t="s">
        <v>2089</v>
      </c>
      <c r="M777" s="25" t="s">
        <v>2090</v>
      </c>
      <c r="N777" s="25" t="s">
        <v>2464</v>
      </c>
      <c r="O777" s="25">
        <v>8</v>
      </c>
      <c r="P777" s="25">
        <v>55</v>
      </c>
      <c r="Q777" s="25">
        <v>0</v>
      </c>
      <c r="R777" s="25" t="s">
        <v>32</v>
      </c>
      <c r="S777" s="25" t="s">
        <v>33</v>
      </c>
      <c r="T777" s="25" t="s">
        <v>2465</v>
      </c>
      <c r="U777" s="25" t="s">
        <v>2466</v>
      </c>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c r="BJ777" s="25"/>
      <c r="BK777" s="25"/>
      <c r="BL777" s="25"/>
      <c r="BM777" s="25"/>
      <c r="BN777" s="25"/>
      <c r="BO777" s="25"/>
      <c r="BP777" s="25"/>
      <c r="BQ777" s="25"/>
      <c r="BR777" s="25"/>
      <c r="BS777" s="25"/>
      <c r="BT777" s="25"/>
      <c r="BU777" s="25"/>
      <c r="BV777" s="25"/>
      <c r="BW777" s="25"/>
      <c r="BX777" s="25"/>
      <c r="BY777" s="25"/>
      <c r="BZ777" s="25"/>
      <c r="CA777" s="25"/>
      <c r="CB777" s="25"/>
      <c r="CC777" s="25"/>
      <c r="CD777" s="25"/>
      <c r="CE777" s="25"/>
      <c r="CF777" s="25"/>
      <c r="CG777" s="25"/>
      <c r="CH777" s="25"/>
      <c r="CI777" s="25"/>
      <c r="CJ777" s="25"/>
      <c r="CK777" s="25"/>
      <c r="CL777" s="25"/>
      <c r="CM777" s="25"/>
      <c r="CN777" s="25"/>
      <c r="CO777" s="25"/>
      <c r="CP777" s="25"/>
      <c r="CQ777" s="25"/>
      <c r="CR777" s="25"/>
      <c r="CS777" s="25"/>
      <c r="CT777" s="25"/>
      <c r="CU777" s="25"/>
      <c r="CV777" s="25"/>
      <c r="CW777" s="25"/>
      <c r="CX777" s="25"/>
      <c r="CY777" s="25"/>
      <c r="CZ777" s="25"/>
      <c r="DA777" s="25"/>
      <c r="DB777" s="25"/>
      <c r="DC777" s="25"/>
      <c r="DD777" s="25"/>
      <c r="DE777" s="25"/>
      <c r="DF777" s="25"/>
      <c r="DG777" s="25"/>
      <c r="DH777" s="25"/>
    </row>
    <row r="778" spans="1:112" customFormat="1" ht="204" x14ac:dyDescent="0.2">
      <c r="A778" s="2" t="s">
        <v>2467</v>
      </c>
      <c r="B778" s="2" t="s">
        <v>2468</v>
      </c>
      <c r="C778" s="2" t="s">
        <v>2468</v>
      </c>
      <c r="D778" s="1">
        <v>5</v>
      </c>
      <c r="E778" s="2" t="s">
        <v>23</v>
      </c>
      <c r="F778" s="2"/>
      <c r="G778" s="2" t="s">
        <v>2190</v>
      </c>
      <c r="H778" s="2" t="s">
        <v>680</v>
      </c>
      <c r="I778" s="2" t="s">
        <v>2258</v>
      </c>
      <c r="J778" s="25" t="s">
        <v>645</v>
      </c>
      <c r="K778" s="25" t="s">
        <v>2089</v>
      </c>
      <c r="L778" s="25" t="s">
        <v>2089</v>
      </c>
      <c r="M778" s="25" t="s">
        <v>2090</v>
      </c>
      <c r="N778" s="25" t="s">
        <v>2464</v>
      </c>
      <c r="O778" s="25">
        <v>8</v>
      </c>
      <c r="P778" s="25">
        <v>55</v>
      </c>
      <c r="Q778" s="25" t="s">
        <v>199</v>
      </c>
      <c r="R778" s="25" t="s">
        <v>32</v>
      </c>
      <c r="S778" s="25" t="s">
        <v>33</v>
      </c>
      <c r="T778" s="25" t="s">
        <v>2465</v>
      </c>
      <c r="U778" s="25" t="s">
        <v>2466</v>
      </c>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c r="BJ778" s="25"/>
      <c r="BK778" s="25"/>
      <c r="BL778" s="25"/>
      <c r="BM778" s="25"/>
      <c r="BN778" s="25"/>
      <c r="BO778" s="25"/>
      <c r="BP778" s="25"/>
      <c r="BQ778" s="25"/>
      <c r="BR778" s="25"/>
      <c r="BS778" s="25"/>
      <c r="BT778" s="25"/>
      <c r="BU778" s="25"/>
      <c r="BV778" s="25"/>
      <c r="BW778" s="25"/>
      <c r="BX778" s="25"/>
      <c r="BY778" s="25"/>
      <c r="BZ778" s="25"/>
      <c r="CA778" s="25"/>
      <c r="CB778" s="25"/>
      <c r="CC778" s="25"/>
      <c r="CD778" s="25"/>
      <c r="CE778" s="25"/>
      <c r="CF778" s="25"/>
      <c r="CG778" s="25"/>
      <c r="CH778" s="25"/>
      <c r="CI778" s="25"/>
      <c r="CJ778" s="25"/>
      <c r="CK778" s="25"/>
      <c r="CL778" s="25"/>
      <c r="CM778" s="25"/>
      <c r="CN778" s="25"/>
      <c r="CO778" s="25"/>
      <c r="CP778" s="25"/>
      <c r="CQ778" s="25"/>
      <c r="CR778" s="25"/>
      <c r="CS778" s="25"/>
      <c r="CT778" s="25"/>
      <c r="CU778" s="25"/>
      <c r="CV778" s="25"/>
      <c r="CW778" s="25"/>
      <c r="CX778" s="25"/>
      <c r="CY778" s="25"/>
      <c r="CZ778" s="25"/>
      <c r="DA778" s="25"/>
      <c r="DB778" s="25"/>
      <c r="DC778" s="25"/>
      <c r="DD778" s="25"/>
      <c r="DE778" s="25"/>
      <c r="DF778" s="25"/>
      <c r="DG778" s="25"/>
      <c r="DH778" s="25"/>
    </row>
    <row r="779" spans="1:112" customFormat="1" ht="102" x14ac:dyDescent="0.2">
      <c r="A779" s="2" t="s">
        <v>2469</v>
      </c>
      <c r="B779" s="2" t="s">
        <v>2470</v>
      </c>
      <c r="C779" s="2" t="s">
        <v>2471</v>
      </c>
      <c r="D779" s="1">
        <v>5</v>
      </c>
      <c r="E779" s="2" t="s">
        <v>61</v>
      </c>
      <c r="F779" s="2" t="s">
        <v>2472</v>
      </c>
      <c r="G779" s="2" t="s">
        <v>2190</v>
      </c>
      <c r="H779" s="2" t="s">
        <v>2473</v>
      </c>
      <c r="I779" s="2" t="s">
        <v>2474</v>
      </c>
      <c r="J779" s="25" t="s">
        <v>1284</v>
      </c>
      <c r="K779" s="25" t="s">
        <v>1284</v>
      </c>
      <c r="L779" s="25" t="s">
        <v>1284</v>
      </c>
      <c r="M779" s="25" t="s">
        <v>1285</v>
      </c>
      <c r="N779" s="25" t="s">
        <v>2475</v>
      </c>
      <c r="O779" s="25">
        <v>115</v>
      </c>
      <c r="P779" s="25">
        <v>46</v>
      </c>
      <c r="Q779" s="25">
        <v>0</v>
      </c>
      <c r="R779" s="25" t="s">
        <v>1287</v>
      </c>
      <c r="S779" s="25" t="s">
        <v>33</v>
      </c>
      <c r="T779" s="25" t="s">
        <v>2476</v>
      </c>
      <c r="U779" s="25" t="s">
        <v>4634</v>
      </c>
      <c r="V779" s="25" t="s">
        <v>4635</v>
      </c>
      <c r="W779" s="25" t="s">
        <v>4636</v>
      </c>
      <c r="X779" s="25" t="s">
        <v>4637</v>
      </c>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c r="BJ779" s="25"/>
      <c r="BK779" s="25"/>
      <c r="BL779" s="25"/>
      <c r="BM779" s="25"/>
      <c r="BN779" s="25"/>
      <c r="BO779" s="25"/>
      <c r="BP779" s="25"/>
      <c r="BQ779" s="25"/>
      <c r="BR779" s="25"/>
      <c r="BS779" s="25"/>
      <c r="BT779" s="25"/>
      <c r="BU779" s="25"/>
      <c r="BV779" s="25"/>
      <c r="BW779" s="25"/>
      <c r="BX779" s="25"/>
      <c r="BY779" s="25"/>
      <c r="BZ779" s="25"/>
      <c r="CA779" s="25"/>
      <c r="CB779" s="25"/>
      <c r="CC779" s="25"/>
      <c r="CD779" s="25"/>
      <c r="CE779" s="25"/>
      <c r="CF779" s="25"/>
      <c r="CG779" s="25"/>
      <c r="CH779" s="25"/>
      <c r="CI779" s="25"/>
      <c r="CJ779" s="25"/>
      <c r="CK779" s="25"/>
      <c r="CL779" s="25"/>
      <c r="CM779" s="25"/>
      <c r="CN779" s="25"/>
      <c r="CO779" s="25"/>
      <c r="CP779" s="25"/>
      <c r="CQ779" s="25"/>
      <c r="CR779" s="25"/>
      <c r="CS779" s="25"/>
      <c r="CT779" s="25"/>
      <c r="CU779" s="25"/>
      <c r="CV779" s="25"/>
      <c r="CW779" s="25"/>
      <c r="CX779" s="25"/>
      <c r="CY779" s="25"/>
      <c r="CZ779" s="25"/>
      <c r="DA779" s="25"/>
      <c r="DB779" s="25"/>
      <c r="DC779" s="25"/>
      <c r="DD779" s="25"/>
      <c r="DE779" s="25"/>
      <c r="DF779" s="25"/>
      <c r="DG779" s="25"/>
      <c r="DH779" s="25"/>
    </row>
    <row r="780" spans="1:112" customFormat="1" ht="68" x14ac:dyDescent="0.2">
      <c r="A780" s="2" t="s">
        <v>2477</v>
      </c>
      <c r="B780" s="2" t="s">
        <v>2478</v>
      </c>
      <c r="C780" s="2" t="s">
        <v>2478</v>
      </c>
      <c r="D780" s="1">
        <v>5</v>
      </c>
      <c r="E780" s="2" t="s">
        <v>61</v>
      </c>
      <c r="F780" s="2" t="s">
        <v>2425</v>
      </c>
      <c r="G780" s="2" t="s">
        <v>2190</v>
      </c>
      <c r="H780" s="2" t="s">
        <v>2479</v>
      </c>
      <c r="I780" s="2" t="s">
        <v>2480</v>
      </c>
      <c r="J780" s="25" t="s">
        <v>1284</v>
      </c>
      <c r="K780" s="25" t="s">
        <v>1284</v>
      </c>
      <c r="L780" s="25" t="s">
        <v>1284</v>
      </c>
      <c r="M780" s="25" t="s">
        <v>1285</v>
      </c>
      <c r="N780" s="25" t="s">
        <v>2481</v>
      </c>
      <c r="O780" s="25" t="s">
        <v>2482</v>
      </c>
      <c r="P780" s="25" t="s">
        <v>30</v>
      </c>
      <c r="Q780" s="25" t="s">
        <v>41</v>
      </c>
      <c r="R780" s="25" t="s">
        <v>1287</v>
      </c>
      <c r="S780" s="25" t="s">
        <v>33</v>
      </c>
      <c r="T780" s="25" t="s">
        <v>2483</v>
      </c>
      <c r="U780" s="25" t="s">
        <v>4638</v>
      </c>
      <c r="V780" s="25" t="s">
        <v>4639</v>
      </c>
      <c r="W780" s="25" t="s">
        <v>4640</v>
      </c>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c r="BJ780" s="25"/>
      <c r="BK780" s="25"/>
      <c r="BL780" s="25"/>
      <c r="BM780" s="25"/>
      <c r="BN780" s="25"/>
      <c r="BO780" s="25"/>
      <c r="BP780" s="25"/>
      <c r="BQ780" s="25"/>
      <c r="BR780" s="25"/>
      <c r="BS780" s="25"/>
      <c r="BT780" s="25"/>
      <c r="BU780" s="25"/>
      <c r="BV780" s="25"/>
      <c r="BW780" s="25"/>
      <c r="BX780" s="25"/>
      <c r="BY780" s="25"/>
      <c r="BZ780" s="25"/>
      <c r="CA780" s="25"/>
      <c r="CB780" s="25"/>
      <c r="CC780" s="25"/>
      <c r="CD780" s="25"/>
      <c r="CE780" s="25"/>
      <c r="CF780" s="25"/>
      <c r="CG780" s="25"/>
      <c r="CH780" s="25"/>
      <c r="CI780" s="25"/>
      <c r="CJ780" s="25"/>
      <c r="CK780" s="25"/>
      <c r="CL780" s="25"/>
      <c r="CM780" s="25"/>
      <c r="CN780" s="25"/>
      <c r="CO780" s="25"/>
      <c r="CP780" s="25"/>
      <c r="CQ780" s="25"/>
      <c r="CR780" s="25"/>
      <c r="CS780" s="25"/>
      <c r="CT780" s="25"/>
      <c r="CU780" s="25"/>
      <c r="CV780" s="25"/>
      <c r="CW780" s="25"/>
      <c r="CX780" s="25"/>
      <c r="CY780" s="25"/>
      <c r="CZ780" s="25"/>
      <c r="DA780" s="25"/>
      <c r="DB780" s="25"/>
      <c r="DC780" s="25"/>
      <c r="DD780" s="25"/>
      <c r="DE780" s="25"/>
      <c r="DF780" s="25"/>
      <c r="DG780" s="25"/>
      <c r="DH780" s="25"/>
    </row>
    <row r="781" spans="1:112" customFormat="1" ht="92" customHeight="1" x14ac:dyDescent="0.2">
      <c r="A781" s="2" t="s">
        <v>2484</v>
      </c>
      <c r="B781" s="2" t="s">
        <v>2485</v>
      </c>
      <c r="C781" s="2" t="s">
        <v>2485</v>
      </c>
      <c r="D781" s="1">
        <v>5</v>
      </c>
      <c r="E781" s="2" t="s">
        <v>61</v>
      </c>
      <c r="F781" s="2" t="s">
        <v>2425</v>
      </c>
      <c r="G781" s="2" t="s">
        <v>2190</v>
      </c>
      <c r="H781" s="2" t="s">
        <v>2479</v>
      </c>
      <c r="I781" s="2" t="s">
        <v>2480</v>
      </c>
      <c r="J781" s="25" t="s">
        <v>1284</v>
      </c>
      <c r="K781" s="25" t="s">
        <v>1284</v>
      </c>
      <c r="L781" s="25" t="s">
        <v>1284</v>
      </c>
      <c r="M781" s="25" t="s">
        <v>1285</v>
      </c>
      <c r="N781" s="25" t="s">
        <v>2486</v>
      </c>
      <c r="O781" s="25" t="s">
        <v>2482</v>
      </c>
      <c r="P781" s="25" t="s">
        <v>40</v>
      </c>
      <c r="Q781" s="25" t="s">
        <v>41</v>
      </c>
      <c r="R781" s="25" t="s">
        <v>1287</v>
      </c>
      <c r="S781" s="25" t="s">
        <v>33</v>
      </c>
      <c r="T781" s="25" t="s">
        <v>2483</v>
      </c>
      <c r="U781" s="25" t="s">
        <v>2487</v>
      </c>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c r="BJ781" s="25"/>
      <c r="BK781" s="25"/>
      <c r="BL781" s="25"/>
      <c r="BM781" s="25"/>
      <c r="BN781" s="25"/>
      <c r="BO781" s="25"/>
      <c r="BP781" s="25"/>
      <c r="BQ781" s="25"/>
      <c r="BR781" s="25"/>
      <c r="BS781" s="25"/>
      <c r="BT781" s="25"/>
      <c r="BU781" s="25"/>
      <c r="BV781" s="25"/>
      <c r="BW781" s="25"/>
      <c r="BX781" s="25"/>
      <c r="BY781" s="25"/>
      <c r="BZ781" s="25"/>
      <c r="CA781" s="25"/>
      <c r="CB781" s="25"/>
      <c r="CC781" s="25"/>
      <c r="CD781" s="25"/>
      <c r="CE781" s="25"/>
      <c r="CF781" s="25"/>
      <c r="CG781" s="25"/>
      <c r="CH781" s="25"/>
      <c r="CI781" s="25"/>
      <c r="CJ781" s="25"/>
      <c r="CK781" s="25"/>
      <c r="CL781" s="25"/>
      <c r="CM781" s="25"/>
      <c r="CN781" s="25"/>
      <c r="CO781" s="25"/>
      <c r="CP781" s="25"/>
      <c r="CQ781" s="25"/>
      <c r="CR781" s="25"/>
      <c r="CS781" s="25"/>
      <c r="CT781" s="25"/>
      <c r="CU781" s="25"/>
      <c r="CV781" s="25"/>
      <c r="CW781" s="25"/>
      <c r="CX781" s="25"/>
      <c r="CY781" s="25"/>
      <c r="CZ781" s="25"/>
      <c r="DA781" s="25"/>
      <c r="DB781" s="25"/>
      <c r="DC781" s="25"/>
      <c r="DD781" s="25"/>
      <c r="DE781" s="25"/>
      <c r="DF781" s="25"/>
      <c r="DG781" s="25"/>
      <c r="DH781" s="25"/>
    </row>
    <row r="782" spans="1:112" customFormat="1" ht="102" x14ac:dyDescent="0.2">
      <c r="A782" s="2" t="s">
        <v>2488</v>
      </c>
      <c r="B782" s="2" t="s">
        <v>2489</v>
      </c>
      <c r="C782" s="2" t="s">
        <v>2489</v>
      </c>
      <c r="D782" s="1">
        <v>5</v>
      </c>
      <c r="E782" s="2" t="s">
        <v>23</v>
      </c>
      <c r="F782" s="2"/>
      <c r="G782" s="2" t="s">
        <v>2490</v>
      </c>
      <c r="H782" s="2" t="s">
        <v>2491</v>
      </c>
      <c r="I782" s="2" t="s">
        <v>2492</v>
      </c>
      <c r="J782" s="25" t="s">
        <v>1284</v>
      </c>
      <c r="K782" s="25" t="s">
        <v>1284</v>
      </c>
      <c r="L782" s="25" t="s">
        <v>1284</v>
      </c>
      <c r="M782" s="25" t="s">
        <v>1285</v>
      </c>
      <c r="N782" s="25" t="s">
        <v>2493</v>
      </c>
      <c r="O782" s="25" t="s">
        <v>2494</v>
      </c>
      <c r="P782" s="25" t="s">
        <v>30</v>
      </c>
      <c r="Q782" s="25" t="s">
        <v>41</v>
      </c>
      <c r="R782" s="25" t="s">
        <v>1287</v>
      </c>
      <c r="S782" s="25" t="s">
        <v>33</v>
      </c>
      <c r="T782" s="25" t="s">
        <v>2495</v>
      </c>
      <c r="U782" s="25" t="s">
        <v>2496</v>
      </c>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c r="BJ782" s="25"/>
      <c r="BK782" s="25"/>
      <c r="BL782" s="25"/>
      <c r="BM782" s="25"/>
      <c r="BN782" s="25"/>
      <c r="BO782" s="25"/>
      <c r="BP782" s="25"/>
      <c r="BQ782" s="25"/>
      <c r="BR782" s="25"/>
      <c r="BS782" s="25"/>
      <c r="BT782" s="25"/>
      <c r="BU782" s="25"/>
      <c r="BV782" s="25"/>
      <c r="BW782" s="25"/>
      <c r="BX782" s="25"/>
      <c r="BY782" s="25"/>
      <c r="BZ782" s="25"/>
      <c r="CA782" s="25"/>
      <c r="CB782" s="25"/>
      <c r="CC782" s="25"/>
      <c r="CD782" s="25"/>
      <c r="CE782" s="25"/>
      <c r="CF782" s="25"/>
      <c r="CG782" s="25"/>
      <c r="CH782" s="25"/>
      <c r="CI782" s="25"/>
      <c r="CJ782" s="25"/>
      <c r="CK782" s="25"/>
      <c r="CL782" s="25"/>
      <c r="CM782" s="25"/>
      <c r="CN782" s="25"/>
      <c r="CO782" s="25"/>
      <c r="CP782" s="25"/>
      <c r="CQ782" s="25"/>
      <c r="CR782" s="25"/>
      <c r="CS782" s="25"/>
      <c r="CT782" s="25"/>
      <c r="CU782" s="25"/>
      <c r="CV782" s="25"/>
      <c r="CW782" s="25"/>
      <c r="CX782" s="25"/>
      <c r="CY782" s="25"/>
      <c r="CZ782" s="25"/>
      <c r="DA782" s="25"/>
      <c r="DB782" s="25"/>
      <c r="DC782" s="25"/>
      <c r="DD782" s="25"/>
      <c r="DE782" s="25"/>
      <c r="DF782" s="25"/>
      <c r="DG782" s="25"/>
      <c r="DH782" s="25"/>
    </row>
    <row r="783" spans="1:112" customFormat="1" ht="51" x14ac:dyDescent="0.2">
      <c r="A783" s="7" t="s">
        <v>6301</v>
      </c>
      <c r="B783" s="2" t="s">
        <v>6507</v>
      </c>
      <c r="C783" s="2" t="s">
        <v>6507</v>
      </c>
      <c r="D783" s="1">
        <v>5</v>
      </c>
      <c r="E783" s="2" t="s">
        <v>61</v>
      </c>
      <c r="F783" s="2" t="s">
        <v>6708</v>
      </c>
      <c r="G783" s="2"/>
      <c r="H783" s="2"/>
      <c r="I783" s="2" t="s">
        <v>6709</v>
      </c>
      <c r="J783" s="25"/>
      <c r="K783" s="25"/>
      <c r="L783" s="25"/>
      <c r="M783" s="25"/>
      <c r="N783" s="34" t="s">
        <v>6635</v>
      </c>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c r="BJ783" s="25"/>
      <c r="BK783" s="25"/>
      <c r="BL783" s="25"/>
      <c r="BM783" s="25"/>
      <c r="BN783" s="25"/>
      <c r="BO783" s="25"/>
      <c r="BP783" s="25"/>
      <c r="BQ783" s="25"/>
      <c r="BR783" s="25"/>
      <c r="BS783" s="25"/>
      <c r="BT783" s="25"/>
      <c r="BU783" s="25"/>
      <c r="BV783" s="25"/>
      <c r="BW783" s="25"/>
      <c r="BX783" s="25"/>
      <c r="BY783" s="25"/>
      <c r="BZ783" s="25"/>
      <c r="CA783" s="25"/>
      <c r="CB783" s="25"/>
      <c r="CC783" s="25"/>
      <c r="CD783" s="25"/>
      <c r="CE783" s="25"/>
      <c r="CF783" s="25"/>
      <c r="CG783" s="25"/>
      <c r="CH783" s="25"/>
      <c r="CI783" s="25"/>
      <c r="CJ783" s="25"/>
      <c r="CK783" s="25"/>
      <c r="CL783" s="25"/>
      <c r="CM783" s="25"/>
      <c r="CN783" s="25"/>
      <c r="CO783" s="25"/>
      <c r="CP783" s="25"/>
      <c r="CQ783" s="25"/>
      <c r="CR783" s="25"/>
      <c r="CS783" s="25"/>
      <c r="CT783" s="25"/>
      <c r="CU783" s="25"/>
      <c r="CV783" s="25"/>
      <c r="CW783" s="25"/>
      <c r="CX783" s="25"/>
      <c r="CY783" s="25"/>
      <c r="CZ783" s="25"/>
      <c r="DA783" s="25"/>
      <c r="DB783" s="25"/>
      <c r="DC783" s="25"/>
      <c r="DD783" s="25"/>
      <c r="DE783" s="25"/>
      <c r="DF783" s="25"/>
      <c r="DG783" s="25"/>
      <c r="DH783" s="25"/>
    </row>
    <row r="784" spans="1:112" customFormat="1" ht="17" x14ac:dyDescent="0.2">
      <c r="A784" s="2" t="s">
        <v>6133</v>
      </c>
      <c r="B784" s="2" t="s">
        <v>6671</v>
      </c>
      <c r="C784" s="2" t="s">
        <v>6671</v>
      </c>
      <c r="D784" s="1">
        <v>5</v>
      </c>
      <c r="E784" s="2" t="s">
        <v>6672</v>
      </c>
      <c r="F784" s="2"/>
      <c r="G784" s="2" t="s">
        <v>2520</v>
      </c>
      <c r="H784" s="2" t="s">
        <v>1360</v>
      </c>
      <c r="I784" s="2"/>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c r="BJ784" s="25"/>
      <c r="BK784" s="25"/>
      <c r="BL784" s="25"/>
      <c r="BM784" s="25"/>
      <c r="BN784" s="25"/>
      <c r="BO784" s="25"/>
      <c r="BP784" s="25"/>
      <c r="BQ784" s="25"/>
      <c r="BR784" s="25"/>
      <c r="BS784" s="25"/>
      <c r="BT784" s="25"/>
      <c r="BU784" s="25"/>
      <c r="BV784" s="25"/>
      <c r="BW784" s="25"/>
      <c r="BX784" s="25"/>
      <c r="BY784" s="25"/>
      <c r="BZ784" s="25"/>
      <c r="CA784" s="25"/>
      <c r="CB784" s="25"/>
      <c r="CC784" s="25"/>
      <c r="CD784" s="25"/>
      <c r="CE784" s="25"/>
      <c r="CF784" s="25"/>
      <c r="CG784" s="25"/>
      <c r="CH784" s="25"/>
      <c r="CI784" s="25"/>
      <c r="CJ784" s="25"/>
      <c r="CK784" s="25"/>
      <c r="CL784" s="25"/>
      <c r="CM784" s="25"/>
      <c r="CN784" s="25"/>
      <c r="CO784" s="25"/>
      <c r="CP784" s="25"/>
      <c r="CQ784" s="25"/>
      <c r="CR784" s="25"/>
      <c r="CS784" s="25"/>
      <c r="CT784" s="25"/>
      <c r="CU784" s="25"/>
      <c r="CV784" s="25"/>
      <c r="CW784" s="25"/>
      <c r="CX784" s="25"/>
      <c r="CY784" s="25"/>
      <c r="CZ784" s="25"/>
      <c r="DA784" s="25"/>
      <c r="DB784" s="25"/>
      <c r="DC784" s="25"/>
      <c r="DD784" s="25"/>
      <c r="DE784" s="25"/>
      <c r="DF784" s="25"/>
      <c r="DG784" s="25"/>
      <c r="DH784" s="25"/>
    </row>
    <row r="785" spans="1:112" customFormat="1" ht="17" x14ac:dyDescent="0.2">
      <c r="A785" s="2" t="s">
        <v>6133</v>
      </c>
      <c r="B785" s="2" t="s">
        <v>6678</v>
      </c>
      <c r="C785" s="2" t="s">
        <v>6678</v>
      </c>
      <c r="D785" s="1">
        <v>5</v>
      </c>
      <c r="E785" s="2" t="s">
        <v>6672</v>
      </c>
      <c r="F785" s="2"/>
      <c r="G785" s="2"/>
      <c r="H785" s="2"/>
      <c r="I785" s="30" t="s">
        <v>6682</v>
      </c>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c r="BJ785" s="25"/>
      <c r="BK785" s="25"/>
      <c r="BL785" s="25"/>
      <c r="BM785" s="25"/>
      <c r="BN785" s="25"/>
      <c r="BO785" s="25"/>
      <c r="BP785" s="25"/>
      <c r="BQ785" s="25"/>
      <c r="BR785" s="25"/>
      <c r="BS785" s="25"/>
      <c r="BT785" s="25"/>
      <c r="BU785" s="25"/>
      <c r="BV785" s="25"/>
      <c r="BW785" s="25"/>
      <c r="BX785" s="25"/>
      <c r="BY785" s="25"/>
      <c r="BZ785" s="25"/>
      <c r="CA785" s="25"/>
      <c r="CB785" s="25"/>
      <c r="CC785" s="25"/>
      <c r="CD785" s="25"/>
      <c r="CE785" s="25"/>
      <c r="CF785" s="25"/>
      <c r="CG785" s="25"/>
      <c r="CH785" s="25"/>
      <c r="CI785" s="25"/>
      <c r="CJ785" s="25"/>
      <c r="CK785" s="25"/>
      <c r="CL785" s="25"/>
      <c r="CM785" s="25"/>
      <c r="CN785" s="25"/>
      <c r="CO785" s="25"/>
      <c r="CP785" s="25"/>
      <c r="CQ785" s="25"/>
      <c r="CR785" s="25"/>
      <c r="CS785" s="25"/>
      <c r="CT785" s="25"/>
      <c r="CU785" s="25"/>
      <c r="CV785" s="25"/>
      <c r="CW785" s="25"/>
      <c r="CX785" s="25"/>
      <c r="CY785" s="25"/>
      <c r="CZ785" s="25"/>
      <c r="DA785" s="25"/>
      <c r="DB785" s="25"/>
      <c r="DC785" s="25"/>
      <c r="DD785" s="25"/>
      <c r="DE785" s="25"/>
      <c r="DF785" s="25"/>
      <c r="DG785" s="25"/>
      <c r="DH785" s="25"/>
    </row>
    <row r="786" spans="1:112" customFormat="1" ht="17" x14ac:dyDescent="0.2">
      <c r="A786" s="2" t="s">
        <v>6133</v>
      </c>
      <c r="B786" s="2" t="s">
        <v>6679</v>
      </c>
      <c r="C786" s="2" t="s">
        <v>6679</v>
      </c>
      <c r="D786" s="1">
        <v>5</v>
      </c>
      <c r="E786" s="2" t="s">
        <v>6672</v>
      </c>
      <c r="F786" s="2"/>
      <c r="G786" s="2"/>
      <c r="H786" s="2"/>
      <c r="I786" s="30" t="s">
        <v>6682</v>
      </c>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c r="BJ786" s="25"/>
      <c r="BK786" s="25"/>
      <c r="BL786" s="25"/>
      <c r="BM786" s="25"/>
      <c r="BN786" s="25"/>
      <c r="BO786" s="25"/>
      <c r="BP786" s="25"/>
      <c r="BQ786" s="25"/>
      <c r="BR786" s="25"/>
      <c r="BS786" s="25"/>
      <c r="BT786" s="25"/>
      <c r="BU786" s="25"/>
      <c r="BV786" s="25"/>
      <c r="BW786" s="25"/>
      <c r="BX786" s="25"/>
      <c r="BY786" s="25"/>
      <c r="BZ786" s="25"/>
      <c r="CA786" s="25"/>
      <c r="CB786" s="25"/>
      <c r="CC786" s="25"/>
      <c r="CD786" s="25"/>
      <c r="CE786" s="25"/>
      <c r="CF786" s="25"/>
      <c r="CG786" s="25"/>
      <c r="CH786" s="25"/>
      <c r="CI786" s="25"/>
      <c r="CJ786" s="25"/>
      <c r="CK786" s="25"/>
      <c r="CL786" s="25"/>
      <c r="CM786" s="25"/>
      <c r="CN786" s="25"/>
      <c r="CO786" s="25"/>
      <c r="CP786" s="25"/>
      <c r="CQ786" s="25"/>
      <c r="CR786" s="25"/>
      <c r="CS786" s="25"/>
      <c r="CT786" s="25"/>
      <c r="CU786" s="25"/>
      <c r="CV786" s="25"/>
      <c r="CW786" s="25"/>
      <c r="CX786" s="25"/>
      <c r="CY786" s="25"/>
      <c r="CZ786" s="25"/>
      <c r="DA786" s="25"/>
      <c r="DB786" s="25"/>
      <c r="DC786" s="25"/>
      <c r="DD786" s="25"/>
      <c r="DE786" s="25"/>
      <c r="DF786" s="25"/>
      <c r="DG786" s="25"/>
      <c r="DH786" s="25"/>
    </row>
    <row r="787" spans="1:112" customFormat="1" ht="17" x14ac:dyDescent="0.2">
      <c r="A787" s="2" t="s">
        <v>6133</v>
      </c>
      <c r="B787" s="2" t="s">
        <v>6680</v>
      </c>
      <c r="C787" s="2" t="s">
        <v>6680</v>
      </c>
      <c r="D787" s="1">
        <v>5</v>
      </c>
      <c r="E787" s="2" t="s">
        <v>6672</v>
      </c>
      <c r="F787" s="2"/>
      <c r="G787" s="2"/>
      <c r="H787" s="2"/>
      <c r="I787" s="30" t="s">
        <v>6682</v>
      </c>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c r="BJ787" s="25"/>
      <c r="BK787" s="25"/>
      <c r="BL787" s="25"/>
      <c r="BM787" s="25"/>
      <c r="BN787" s="25"/>
      <c r="BO787" s="25"/>
      <c r="BP787" s="25"/>
      <c r="BQ787" s="25"/>
      <c r="BR787" s="25"/>
      <c r="BS787" s="25"/>
      <c r="BT787" s="25"/>
      <c r="BU787" s="25"/>
      <c r="BV787" s="25"/>
      <c r="BW787" s="25"/>
      <c r="BX787" s="25"/>
      <c r="BY787" s="25"/>
      <c r="BZ787" s="25"/>
      <c r="CA787" s="25"/>
      <c r="CB787" s="25"/>
      <c r="CC787" s="25"/>
      <c r="CD787" s="25"/>
      <c r="CE787" s="25"/>
      <c r="CF787" s="25"/>
      <c r="CG787" s="25"/>
      <c r="CH787" s="25"/>
      <c r="CI787" s="25"/>
      <c r="CJ787" s="25"/>
      <c r="CK787" s="25"/>
      <c r="CL787" s="25"/>
      <c r="CM787" s="25"/>
      <c r="CN787" s="25"/>
      <c r="CO787" s="25"/>
      <c r="CP787" s="25"/>
      <c r="CQ787" s="25"/>
      <c r="CR787" s="25"/>
      <c r="CS787" s="25"/>
      <c r="CT787" s="25"/>
      <c r="CU787" s="25"/>
      <c r="CV787" s="25"/>
      <c r="CW787" s="25"/>
      <c r="CX787" s="25"/>
      <c r="CY787" s="25"/>
      <c r="CZ787" s="25"/>
      <c r="DA787" s="25"/>
      <c r="DB787" s="25"/>
      <c r="DC787" s="25"/>
      <c r="DD787" s="25"/>
      <c r="DE787" s="25"/>
      <c r="DF787" s="25"/>
      <c r="DG787" s="25"/>
      <c r="DH787" s="25"/>
    </row>
    <row r="788" spans="1:112" customFormat="1" ht="17" x14ac:dyDescent="0.2">
      <c r="A788" s="2" t="s">
        <v>6133</v>
      </c>
      <c r="B788" s="2" t="s">
        <v>6681</v>
      </c>
      <c r="C788" s="2" t="s">
        <v>6681</v>
      </c>
      <c r="D788" s="1">
        <v>5</v>
      </c>
      <c r="E788" s="2" t="s">
        <v>6672</v>
      </c>
      <c r="F788" s="2"/>
      <c r="G788" s="2"/>
      <c r="H788" s="2"/>
      <c r="I788" s="30" t="s">
        <v>6682</v>
      </c>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c r="BJ788" s="25"/>
      <c r="BK788" s="25"/>
      <c r="BL788" s="25"/>
      <c r="BM788" s="25"/>
      <c r="BN788" s="25"/>
      <c r="BO788" s="25"/>
      <c r="BP788" s="25"/>
      <c r="BQ788" s="25"/>
      <c r="BR788" s="25"/>
      <c r="BS788" s="25"/>
      <c r="BT788" s="25"/>
      <c r="BU788" s="25"/>
      <c r="BV788" s="25"/>
      <c r="BW788" s="25"/>
      <c r="BX788" s="25"/>
      <c r="BY788" s="25"/>
      <c r="BZ788" s="25"/>
      <c r="CA788" s="25"/>
      <c r="CB788" s="25"/>
      <c r="CC788" s="25"/>
      <c r="CD788" s="25"/>
      <c r="CE788" s="25"/>
      <c r="CF788" s="25"/>
      <c r="CG788" s="25"/>
      <c r="CH788" s="25"/>
      <c r="CI788" s="25"/>
      <c r="CJ788" s="25"/>
      <c r="CK788" s="25"/>
      <c r="CL788" s="25"/>
      <c r="CM788" s="25"/>
      <c r="CN788" s="25"/>
      <c r="CO788" s="25"/>
      <c r="CP788" s="25"/>
      <c r="CQ788" s="25"/>
      <c r="CR788" s="25"/>
      <c r="CS788" s="25"/>
      <c r="CT788" s="25"/>
      <c r="CU788" s="25"/>
      <c r="CV788" s="25"/>
      <c r="CW788" s="25"/>
      <c r="CX788" s="25"/>
      <c r="CY788" s="25"/>
      <c r="CZ788" s="25"/>
      <c r="DA788" s="25"/>
      <c r="DB788" s="25"/>
      <c r="DC788" s="25"/>
      <c r="DD788" s="25"/>
      <c r="DE788" s="25"/>
      <c r="DF788" s="25"/>
      <c r="DG788" s="25"/>
      <c r="DH788" s="25"/>
    </row>
    <row r="789" spans="1:112" customFormat="1" ht="17" x14ac:dyDescent="0.2">
      <c r="A789" s="2" t="s">
        <v>6133</v>
      </c>
      <c r="B789" s="19" t="s">
        <v>6683</v>
      </c>
      <c r="C789" s="19" t="s">
        <v>6683</v>
      </c>
      <c r="D789" s="1">
        <v>5</v>
      </c>
      <c r="E789" s="2" t="s">
        <v>6672</v>
      </c>
      <c r="F789" s="2"/>
      <c r="G789" s="2"/>
      <c r="H789" s="2"/>
      <c r="I789" s="32" t="s">
        <v>6684</v>
      </c>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c r="BJ789" s="25"/>
      <c r="BK789" s="25"/>
      <c r="BL789" s="25"/>
      <c r="BM789" s="25"/>
      <c r="BN789" s="25"/>
      <c r="BO789" s="25"/>
      <c r="BP789" s="25"/>
      <c r="BQ789" s="25"/>
      <c r="BR789" s="25"/>
      <c r="BS789" s="25"/>
      <c r="BT789" s="25"/>
      <c r="BU789" s="25"/>
      <c r="BV789" s="25"/>
      <c r="BW789" s="25"/>
      <c r="BX789" s="25"/>
      <c r="BY789" s="25"/>
      <c r="BZ789" s="25"/>
      <c r="CA789" s="25"/>
      <c r="CB789" s="25"/>
      <c r="CC789" s="25"/>
      <c r="CD789" s="25"/>
      <c r="CE789" s="25"/>
      <c r="CF789" s="25"/>
      <c r="CG789" s="25"/>
      <c r="CH789" s="25"/>
      <c r="CI789" s="25"/>
      <c r="CJ789" s="25"/>
      <c r="CK789" s="25"/>
      <c r="CL789" s="25"/>
      <c r="CM789" s="25"/>
      <c r="CN789" s="25"/>
      <c r="CO789" s="25"/>
      <c r="CP789" s="25"/>
      <c r="CQ789" s="25"/>
      <c r="CR789" s="25"/>
      <c r="CS789" s="25"/>
      <c r="CT789" s="25"/>
      <c r="CU789" s="25"/>
      <c r="CV789" s="25"/>
      <c r="CW789" s="25"/>
      <c r="CX789" s="25"/>
      <c r="CY789" s="25"/>
      <c r="CZ789" s="25"/>
      <c r="DA789" s="25"/>
      <c r="DB789" s="25"/>
      <c r="DC789" s="25"/>
      <c r="DD789" s="25"/>
      <c r="DE789" s="25"/>
      <c r="DF789" s="25"/>
      <c r="DG789" s="25"/>
      <c r="DH789" s="25"/>
    </row>
    <row r="790" spans="1:112" customFormat="1" ht="17" x14ac:dyDescent="0.2">
      <c r="A790" s="2" t="s">
        <v>6133</v>
      </c>
      <c r="B790" s="19" t="s">
        <v>6686</v>
      </c>
      <c r="C790" s="19" t="s">
        <v>6686</v>
      </c>
      <c r="D790" s="1">
        <v>5</v>
      </c>
      <c r="E790" s="2" t="s">
        <v>6672</v>
      </c>
      <c r="F790" s="2"/>
      <c r="G790" s="2"/>
      <c r="H790" s="2"/>
      <c r="I790" s="32" t="s">
        <v>6688</v>
      </c>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c r="BJ790" s="25"/>
      <c r="BK790" s="25"/>
      <c r="BL790" s="25"/>
      <c r="BM790" s="25"/>
      <c r="BN790" s="25"/>
      <c r="BO790" s="25"/>
      <c r="BP790" s="25"/>
      <c r="BQ790" s="25"/>
      <c r="BR790" s="25"/>
      <c r="BS790" s="25"/>
      <c r="BT790" s="25"/>
      <c r="BU790" s="25"/>
      <c r="BV790" s="25"/>
      <c r="BW790" s="25"/>
      <c r="BX790" s="25"/>
      <c r="BY790" s="25"/>
      <c r="BZ790" s="25"/>
      <c r="CA790" s="25"/>
      <c r="CB790" s="25"/>
      <c r="CC790" s="25"/>
      <c r="CD790" s="25"/>
      <c r="CE790" s="25"/>
      <c r="CF790" s="25"/>
      <c r="CG790" s="25"/>
      <c r="CH790" s="25"/>
      <c r="CI790" s="25"/>
      <c r="CJ790" s="25"/>
      <c r="CK790" s="25"/>
      <c r="CL790" s="25"/>
      <c r="CM790" s="25"/>
      <c r="CN790" s="25"/>
      <c r="CO790" s="25"/>
      <c r="CP790" s="25"/>
      <c r="CQ790" s="25"/>
      <c r="CR790" s="25"/>
      <c r="CS790" s="25"/>
      <c r="CT790" s="25"/>
      <c r="CU790" s="25"/>
      <c r="CV790" s="25"/>
      <c r="CW790" s="25"/>
      <c r="CX790" s="25"/>
      <c r="CY790" s="25"/>
      <c r="CZ790" s="25"/>
      <c r="DA790" s="25"/>
      <c r="DB790" s="25"/>
      <c r="DC790" s="25"/>
      <c r="DD790" s="25"/>
      <c r="DE790" s="25"/>
      <c r="DF790" s="25"/>
      <c r="DG790" s="25"/>
      <c r="DH790" s="25"/>
    </row>
    <row r="791" spans="1:112" customFormat="1" ht="102" x14ac:dyDescent="0.2">
      <c r="A791" s="7" t="s">
        <v>6144</v>
      </c>
      <c r="B791" s="2" t="s">
        <v>6348</v>
      </c>
      <c r="C791" s="2" t="s">
        <v>6348</v>
      </c>
      <c r="D791" s="1">
        <v>5</v>
      </c>
      <c r="E791" s="2" t="s">
        <v>61</v>
      </c>
      <c r="F791" s="2" t="s">
        <v>6718</v>
      </c>
      <c r="G791" s="2"/>
      <c r="H791" s="2"/>
      <c r="I791" s="2" t="s">
        <v>6720</v>
      </c>
      <c r="J791" s="25"/>
      <c r="K791" s="25"/>
      <c r="L791" s="25"/>
      <c r="M791" s="25"/>
      <c r="N791" s="34" t="s">
        <v>6549</v>
      </c>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c r="BJ791" s="25"/>
      <c r="BK791" s="25"/>
      <c r="BL791" s="25"/>
      <c r="BM791" s="25"/>
      <c r="BN791" s="25"/>
      <c r="BO791" s="25"/>
      <c r="BP791" s="25"/>
      <c r="BQ791" s="25"/>
      <c r="BR791" s="25"/>
      <c r="BS791" s="25"/>
      <c r="BT791" s="25"/>
      <c r="BU791" s="25"/>
      <c r="BV791" s="25"/>
      <c r="BW791" s="25"/>
      <c r="BX791" s="25"/>
      <c r="BY791" s="25"/>
      <c r="BZ791" s="25"/>
      <c r="CA791" s="25"/>
      <c r="CB791" s="25"/>
      <c r="CC791" s="25"/>
      <c r="CD791" s="25"/>
      <c r="CE791" s="25"/>
      <c r="CF791" s="25"/>
      <c r="CG791" s="25"/>
      <c r="CH791" s="25"/>
      <c r="CI791" s="25"/>
      <c r="CJ791" s="25"/>
      <c r="CK791" s="25"/>
      <c r="CL791" s="25"/>
      <c r="CM791" s="25"/>
      <c r="CN791" s="25"/>
      <c r="CO791" s="25"/>
      <c r="CP791" s="25"/>
      <c r="CQ791" s="25"/>
      <c r="CR791" s="25"/>
      <c r="CS791" s="25"/>
      <c r="CT791" s="25"/>
      <c r="CU791" s="25"/>
      <c r="CV791" s="25"/>
      <c r="CW791" s="25"/>
      <c r="CX791" s="25"/>
      <c r="CY791" s="25"/>
      <c r="CZ791" s="25"/>
      <c r="DA791" s="25"/>
      <c r="DB791" s="25"/>
      <c r="DC791" s="25"/>
      <c r="DD791" s="25"/>
      <c r="DE791" s="25"/>
      <c r="DF791" s="25"/>
      <c r="DG791" s="25"/>
      <c r="DH791" s="25"/>
    </row>
    <row r="792" spans="1:112" customFormat="1" ht="102" x14ac:dyDescent="0.2">
      <c r="A792" s="7" t="s">
        <v>6145</v>
      </c>
      <c r="B792" s="2" t="s">
        <v>6349</v>
      </c>
      <c r="C792" s="2" t="s">
        <v>6349</v>
      </c>
      <c r="D792" s="1">
        <v>5</v>
      </c>
      <c r="E792" s="2" t="s">
        <v>61</v>
      </c>
      <c r="F792" s="2" t="s">
        <v>6719</v>
      </c>
      <c r="G792" s="2"/>
      <c r="H792" s="2"/>
      <c r="I792" s="2" t="s">
        <v>6720</v>
      </c>
      <c r="J792" s="25"/>
      <c r="K792" s="25"/>
      <c r="L792" s="25"/>
      <c r="M792" s="25"/>
      <c r="N792" s="34" t="s">
        <v>6550</v>
      </c>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c r="BJ792" s="25"/>
      <c r="BK792" s="25"/>
      <c r="BL792" s="25"/>
      <c r="BM792" s="25"/>
      <c r="BN792" s="25"/>
      <c r="BO792" s="25"/>
      <c r="BP792" s="25"/>
      <c r="BQ792" s="25"/>
      <c r="BR792" s="25"/>
      <c r="BS792" s="25"/>
      <c r="BT792" s="25"/>
      <c r="BU792" s="25"/>
      <c r="BV792" s="25"/>
      <c r="BW792" s="25"/>
      <c r="BX792" s="25"/>
      <c r="BY792" s="25"/>
      <c r="BZ792" s="25"/>
      <c r="CA792" s="25"/>
      <c r="CB792" s="25"/>
      <c r="CC792" s="25"/>
      <c r="CD792" s="25"/>
      <c r="CE792" s="25"/>
      <c r="CF792" s="25"/>
      <c r="CG792" s="25"/>
      <c r="CH792" s="25"/>
      <c r="CI792" s="25"/>
      <c r="CJ792" s="25"/>
      <c r="CK792" s="25"/>
      <c r="CL792" s="25"/>
      <c r="CM792" s="25"/>
      <c r="CN792" s="25"/>
      <c r="CO792" s="25"/>
      <c r="CP792" s="25"/>
      <c r="CQ792" s="25"/>
      <c r="CR792" s="25"/>
      <c r="CS792" s="25"/>
      <c r="CT792" s="25"/>
      <c r="CU792" s="25"/>
      <c r="CV792" s="25"/>
      <c r="CW792" s="25"/>
      <c r="CX792" s="25"/>
      <c r="CY792" s="25"/>
      <c r="CZ792" s="25"/>
      <c r="DA792" s="25"/>
      <c r="DB792" s="25"/>
      <c r="DC792" s="25"/>
      <c r="DD792" s="25"/>
      <c r="DE792" s="25"/>
      <c r="DF792" s="25"/>
      <c r="DG792" s="25"/>
      <c r="DH792" s="25"/>
    </row>
    <row r="793" spans="1:112" customFormat="1" ht="17" x14ac:dyDescent="0.2">
      <c r="A793" s="7" t="s">
        <v>6200</v>
      </c>
      <c r="B793" s="2" t="s">
        <v>6405</v>
      </c>
      <c r="C793" s="2" t="s">
        <v>6405</v>
      </c>
      <c r="D793" s="1">
        <v>5</v>
      </c>
      <c r="E793" s="2"/>
      <c r="F793" s="2"/>
      <c r="G793" s="2"/>
      <c r="H793" s="2"/>
      <c r="I793" s="2"/>
      <c r="J793" s="25"/>
      <c r="K793" s="25"/>
      <c r="L793" s="25"/>
      <c r="M793" s="25"/>
      <c r="N793" s="34" t="s">
        <v>2252</v>
      </c>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c r="BJ793" s="25"/>
      <c r="BK793" s="25"/>
      <c r="BL793" s="25"/>
      <c r="BM793" s="25"/>
      <c r="BN793" s="25"/>
      <c r="BO793" s="25"/>
      <c r="BP793" s="25"/>
      <c r="BQ793" s="25"/>
      <c r="BR793" s="25"/>
      <c r="BS793" s="25"/>
      <c r="BT793" s="25"/>
      <c r="BU793" s="25"/>
      <c r="BV793" s="25"/>
      <c r="BW793" s="25"/>
      <c r="BX793" s="25"/>
      <c r="BY793" s="25"/>
      <c r="BZ793" s="25"/>
      <c r="CA793" s="25"/>
      <c r="CB793" s="25"/>
      <c r="CC793" s="25"/>
      <c r="CD793" s="25"/>
      <c r="CE793" s="25"/>
      <c r="CF793" s="25"/>
      <c r="CG793" s="25"/>
      <c r="CH793" s="25"/>
      <c r="CI793" s="25"/>
      <c r="CJ793" s="25"/>
      <c r="CK793" s="25"/>
      <c r="CL793" s="25"/>
      <c r="CM793" s="25"/>
      <c r="CN793" s="25"/>
      <c r="CO793" s="25"/>
      <c r="CP793" s="25"/>
      <c r="CQ793" s="25"/>
      <c r="CR793" s="25"/>
      <c r="CS793" s="25"/>
      <c r="CT793" s="25"/>
      <c r="CU793" s="25"/>
      <c r="CV793" s="25"/>
      <c r="CW793" s="25"/>
      <c r="CX793" s="25"/>
      <c r="CY793" s="25"/>
      <c r="CZ793" s="25"/>
      <c r="DA793" s="25"/>
      <c r="DB793" s="25"/>
      <c r="DC793" s="25"/>
      <c r="DD793" s="25"/>
      <c r="DE793" s="25"/>
      <c r="DF793" s="25"/>
      <c r="DG793" s="25"/>
      <c r="DH793" s="25"/>
    </row>
    <row r="794" spans="1:112" customFormat="1" ht="204" x14ac:dyDescent="0.2">
      <c r="A794" s="7" t="s">
        <v>6201</v>
      </c>
      <c r="B794" s="2" t="s">
        <v>6406</v>
      </c>
      <c r="C794" s="2" t="s">
        <v>6406</v>
      </c>
      <c r="D794" s="1">
        <v>5</v>
      </c>
      <c r="E794" s="2" t="s">
        <v>61</v>
      </c>
      <c r="F794" s="2" t="s">
        <v>2256</v>
      </c>
      <c r="G794" s="2" t="s">
        <v>2190</v>
      </c>
      <c r="H794" s="2" t="s">
        <v>2257</v>
      </c>
      <c r="I794" s="2" t="s">
        <v>2258</v>
      </c>
      <c r="J794" s="25"/>
      <c r="K794" s="25"/>
      <c r="L794" s="25"/>
      <c r="M794" s="25"/>
      <c r="N794" s="34" t="s">
        <v>2262</v>
      </c>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c r="BJ794" s="25"/>
      <c r="BK794" s="25"/>
      <c r="BL794" s="25"/>
      <c r="BM794" s="25"/>
      <c r="BN794" s="25"/>
      <c r="BO794" s="25"/>
      <c r="BP794" s="25"/>
      <c r="BQ794" s="25"/>
      <c r="BR794" s="25"/>
      <c r="BS794" s="25"/>
      <c r="BT794" s="25"/>
      <c r="BU794" s="25"/>
      <c r="BV794" s="25"/>
      <c r="BW794" s="25"/>
      <c r="BX794" s="25"/>
      <c r="BY794" s="25"/>
      <c r="BZ794" s="25"/>
      <c r="CA794" s="25"/>
      <c r="CB794" s="25"/>
      <c r="CC794" s="25"/>
      <c r="CD794" s="25"/>
      <c r="CE794" s="25"/>
      <c r="CF794" s="25"/>
      <c r="CG794" s="25"/>
      <c r="CH794" s="25"/>
      <c r="CI794" s="25"/>
      <c r="CJ794" s="25"/>
      <c r="CK794" s="25"/>
      <c r="CL794" s="25"/>
      <c r="CM794" s="25"/>
      <c r="CN794" s="25"/>
      <c r="CO794" s="25"/>
      <c r="CP794" s="25"/>
      <c r="CQ794" s="25"/>
      <c r="CR794" s="25"/>
      <c r="CS794" s="25"/>
      <c r="CT794" s="25"/>
      <c r="CU794" s="25"/>
      <c r="CV794" s="25"/>
      <c r="CW794" s="25"/>
      <c r="CX794" s="25"/>
      <c r="CY794" s="25"/>
      <c r="CZ794" s="25"/>
      <c r="DA794" s="25"/>
      <c r="DB794" s="25"/>
      <c r="DC794" s="25"/>
      <c r="DD794" s="25"/>
      <c r="DE794" s="25"/>
      <c r="DF794" s="25"/>
      <c r="DG794" s="25"/>
      <c r="DH794" s="25"/>
    </row>
    <row r="795" spans="1:112" customFormat="1" ht="102" x14ac:dyDescent="0.2">
      <c r="A795" s="7" t="s">
        <v>6205</v>
      </c>
      <c r="B795" s="2" t="s">
        <v>6410</v>
      </c>
      <c r="C795" s="2" t="s">
        <v>6410</v>
      </c>
      <c r="D795" s="1">
        <v>5</v>
      </c>
      <c r="E795" s="2"/>
      <c r="F795" s="2"/>
      <c r="G795" s="2"/>
      <c r="H795" s="2"/>
      <c r="I795" s="2" t="s">
        <v>6756</v>
      </c>
      <c r="J795" s="25"/>
      <c r="K795" s="25"/>
      <c r="L795" s="25"/>
      <c r="M795" s="25"/>
      <c r="N795" s="34" t="s">
        <v>6579</v>
      </c>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c r="BJ795" s="25"/>
      <c r="BK795" s="25"/>
      <c r="BL795" s="25"/>
      <c r="BM795" s="25"/>
      <c r="BN795" s="25"/>
      <c r="BO795" s="25"/>
      <c r="BP795" s="25"/>
      <c r="BQ795" s="25"/>
      <c r="BR795" s="25"/>
      <c r="BS795" s="25"/>
      <c r="BT795" s="25"/>
      <c r="BU795" s="25"/>
      <c r="BV795" s="25"/>
      <c r="BW795" s="25"/>
      <c r="BX795" s="25"/>
      <c r="BY795" s="25"/>
      <c r="BZ795" s="25"/>
      <c r="CA795" s="25"/>
      <c r="CB795" s="25"/>
      <c r="CC795" s="25"/>
      <c r="CD795" s="25"/>
      <c r="CE795" s="25"/>
      <c r="CF795" s="25"/>
      <c r="CG795" s="25"/>
      <c r="CH795" s="25"/>
      <c r="CI795" s="25"/>
      <c r="CJ795" s="25"/>
      <c r="CK795" s="25"/>
      <c r="CL795" s="25"/>
      <c r="CM795" s="25"/>
      <c r="CN795" s="25"/>
      <c r="CO795" s="25"/>
      <c r="CP795" s="25"/>
      <c r="CQ795" s="25"/>
      <c r="CR795" s="25"/>
      <c r="CS795" s="25"/>
      <c r="CT795" s="25"/>
      <c r="CU795" s="25"/>
      <c r="CV795" s="25"/>
      <c r="CW795" s="25"/>
      <c r="CX795" s="25"/>
      <c r="CY795" s="25"/>
      <c r="CZ795" s="25"/>
      <c r="DA795" s="25"/>
      <c r="DB795" s="25"/>
      <c r="DC795" s="25"/>
      <c r="DD795" s="25"/>
      <c r="DE795" s="25"/>
      <c r="DF795" s="25"/>
      <c r="DG795" s="25"/>
      <c r="DH795" s="25"/>
    </row>
    <row r="796" spans="1:112" customFormat="1" ht="34" x14ac:dyDescent="0.2">
      <c r="A796" s="7" t="s">
        <v>6312</v>
      </c>
      <c r="B796" s="2" t="s">
        <v>6518</v>
      </c>
      <c r="C796" s="2" t="s">
        <v>6518</v>
      </c>
      <c r="D796" s="1">
        <v>5</v>
      </c>
      <c r="E796" s="2" t="s">
        <v>61</v>
      </c>
      <c r="F796" s="2"/>
      <c r="G796" s="2"/>
      <c r="H796" s="2"/>
      <c r="I796" s="2"/>
      <c r="J796" s="25"/>
      <c r="K796" s="25"/>
      <c r="L796" s="25"/>
      <c r="M796" s="25"/>
      <c r="N796" s="34" t="s">
        <v>6645</v>
      </c>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c r="BJ796" s="25"/>
      <c r="BK796" s="25"/>
      <c r="BL796" s="25"/>
      <c r="BM796" s="25"/>
      <c r="BN796" s="25"/>
      <c r="BO796" s="25"/>
      <c r="BP796" s="25"/>
      <c r="BQ796" s="25"/>
      <c r="BR796" s="25"/>
      <c r="BS796" s="25"/>
      <c r="BT796" s="25"/>
      <c r="BU796" s="25"/>
      <c r="BV796" s="25"/>
      <c r="BW796" s="25"/>
      <c r="BX796" s="25"/>
      <c r="BY796" s="25"/>
      <c r="BZ796" s="25"/>
      <c r="CA796" s="25"/>
      <c r="CB796" s="25"/>
      <c r="CC796" s="25"/>
      <c r="CD796" s="25"/>
      <c r="CE796" s="25"/>
      <c r="CF796" s="25"/>
      <c r="CG796" s="25"/>
      <c r="CH796" s="25"/>
      <c r="CI796" s="25"/>
      <c r="CJ796" s="25"/>
      <c r="CK796" s="25"/>
      <c r="CL796" s="25"/>
      <c r="CM796" s="25"/>
      <c r="CN796" s="25"/>
      <c r="CO796" s="25"/>
      <c r="CP796" s="25"/>
      <c r="CQ796" s="25"/>
      <c r="CR796" s="25"/>
      <c r="CS796" s="25"/>
      <c r="CT796" s="25"/>
      <c r="CU796" s="25"/>
      <c r="CV796" s="25"/>
      <c r="CW796" s="25"/>
      <c r="CX796" s="25"/>
      <c r="CY796" s="25"/>
      <c r="CZ796" s="25"/>
      <c r="DA796" s="25"/>
      <c r="DB796" s="25"/>
      <c r="DC796" s="25"/>
      <c r="DD796" s="25"/>
      <c r="DE796" s="25"/>
      <c r="DF796" s="25"/>
      <c r="DG796" s="25"/>
      <c r="DH796" s="25"/>
    </row>
    <row r="797" spans="1:112" customFormat="1" ht="85" x14ac:dyDescent="0.2">
      <c r="A797" s="2" t="s">
        <v>6133</v>
      </c>
      <c r="B797" s="2" t="s">
        <v>6747</v>
      </c>
      <c r="C797" s="2" t="s">
        <v>6747</v>
      </c>
      <c r="D797" s="1">
        <v>5</v>
      </c>
      <c r="E797" s="2"/>
      <c r="F797" s="2"/>
      <c r="G797" s="2"/>
      <c r="H797" s="2"/>
      <c r="I797" s="2" t="s">
        <v>6748</v>
      </c>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c r="BJ797" s="25"/>
      <c r="BK797" s="25"/>
      <c r="BL797" s="25"/>
      <c r="BM797" s="25"/>
      <c r="BN797" s="25"/>
      <c r="BO797" s="25"/>
      <c r="BP797" s="25"/>
      <c r="BQ797" s="25"/>
      <c r="BR797" s="25"/>
      <c r="BS797" s="25"/>
      <c r="BT797" s="25"/>
      <c r="BU797" s="25"/>
      <c r="BV797" s="25"/>
      <c r="BW797" s="25"/>
      <c r="BX797" s="25"/>
      <c r="BY797" s="25"/>
      <c r="BZ797" s="25"/>
      <c r="CA797" s="25"/>
      <c r="CB797" s="25"/>
      <c r="CC797" s="25"/>
      <c r="CD797" s="25"/>
      <c r="CE797" s="25"/>
      <c r="CF797" s="25"/>
      <c r="CG797" s="25"/>
      <c r="CH797" s="25"/>
      <c r="CI797" s="25"/>
      <c r="CJ797" s="25"/>
      <c r="CK797" s="25"/>
      <c r="CL797" s="25"/>
      <c r="CM797" s="25"/>
      <c r="CN797" s="25"/>
      <c r="CO797" s="25"/>
      <c r="CP797" s="25"/>
      <c r="CQ797" s="25"/>
      <c r="CR797" s="25"/>
      <c r="CS797" s="25"/>
      <c r="CT797" s="25"/>
      <c r="CU797" s="25"/>
      <c r="CV797" s="25"/>
      <c r="CW797" s="25"/>
      <c r="CX797" s="25"/>
      <c r="CY797" s="25"/>
      <c r="CZ797" s="25"/>
      <c r="DA797" s="25"/>
      <c r="DB797" s="25"/>
      <c r="DC797" s="25"/>
      <c r="DD797" s="25"/>
      <c r="DE797" s="25"/>
      <c r="DF797" s="25"/>
      <c r="DG797" s="25"/>
      <c r="DH797" s="25"/>
    </row>
    <row r="798" spans="1:112" customFormat="1" ht="17" x14ac:dyDescent="0.2">
      <c r="A798" s="7" t="s">
        <v>6217</v>
      </c>
      <c r="B798" s="2" t="s">
        <v>6422</v>
      </c>
      <c r="C798" s="2" t="s">
        <v>6422</v>
      </c>
      <c r="D798" s="1">
        <v>5</v>
      </c>
      <c r="E798" s="2" t="s">
        <v>61</v>
      </c>
      <c r="F798" s="2"/>
      <c r="G798" s="2"/>
      <c r="H798" s="2" t="s">
        <v>680</v>
      </c>
      <c r="I798" s="2"/>
      <c r="J798" s="25"/>
      <c r="K798" s="25"/>
      <c r="L798" s="25"/>
      <c r="M798" s="25"/>
      <c r="N798" s="34" t="s">
        <v>6585</v>
      </c>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c r="BJ798" s="25"/>
      <c r="BK798" s="25"/>
      <c r="BL798" s="25"/>
      <c r="BM798" s="25"/>
      <c r="BN798" s="25"/>
      <c r="BO798" s="25"/>
      <c r="BP798" s="25"/>
      <c r="BQ798" s="25"/>
      <c r="BR798" s="25"/>
      <c r="BS798" s="25"/>
      <c r="BT798" s="25"/>
      <c r="BU798" s="25"/>
      <c r="BV798" s="25"/>
      <c r="BW798" s="25"/>
      <c r="BX798" s="25"/>
      <c r="BY798" s="25"/>
      <c r="BZ798" s="25"/>
      <c r="CA798" s="25"/>
      <c r="CB798" s="25"/>
      <c r="CC798" s="25"/>
      <c r="CD798" s="25"/>
      <c r="CE798" s="25"/>
      <c r="CF798" s="25"/>
      <c r="CG798" s="25"/>
      <c r="CH798" s="25"/>
      <c r="CI798" s="25"/>
      <c r="CJ798" s="25"/>
      <c r="CK798" s="25"/>
      <c r="CL798" s="25"/>
      <c r="CM798" s="25"/>
      <c r="CN798" s="25"/>
      <c r="CO798" s="25"/>
      <c r="CP798" s="25"/>
      <c r="CQ798" s="25"/>
      <c r="CR798" s="25"/>
      <c r="CS798" s="25"/>
      <c r="CT798" s="25"/>
      <c r="CU798" s="25"/>
      <c r="CV798" s="25"/>
      <c r="CW798" s="25"/>
      <c r="CX798" s="25"/>
      <c r="CY798" s="25"/>
      <c r="CZ798" s="25"/>
      <c r="DA798" s="25"/>
      <c r="DB798" s="25"/>
      <c r="DC798" s="25"/>
      <c r="DD798" s="25"/>
      <c r="DE798" s="25"/>
      <c r="DF798" s="25"/>
      <c r="DG798" s="25"/>
      <c r="DH798" s="25"/>
    </row>
    <row r="799" spans="1:112" customFormat="1" ht="17" x14ac:dyDescent="0.2">
      <c r="A799" s="7" t="s">
        <v>6218</v>
      </c>
      <c r="B799" s="2" t="s">
        <v>6423</v>
      </c>
      <c r="C799" s="2" t="s">
        <v>6423</v>
      </c>
      <c r="D799" s="1">
        <v>5</v>
      </c>
      <c r="E799" s="2" t="s">
        <v>61</v>
      </c>
      <c r="F799" s="2"/>
      <c r="G799" s="2"/>
      <c r="H799" s="2" t="s">
        <v>680</v>
      </c>
      <c r="I799" s="2"/>
      <c r="J799" s="25"/>
      <c r="K799" s="25"/>
      <c r="L799" s="25"/>
      <c r="M799" s="25"/>
      <c r="N799" s="34" t="s">
        <v>6586</v>
      </c>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c r="BJ799" s="25"/>
      <c r="BK799" s="25"/>
      <c r="BL799" s="25"/>
      <c r="BM799" s="25"/>
      <c r="BN799" s="25"/>
      <c r="BO799" s="25"/>
      <c r="BP799" s="25"/>
      <c r="BQ799" s="25"/>
      <c r="BR799" s="25"/>
      <c r="BS799" s="25"/>
      <c r="BT799" s="25"/>
      <c r="BU799" s="25"/>
      <c r="BV799" s="25"/>
      <c r="BW799" s="25"/>
      <c r="BX799" s="25"/>
      <c r="BY799" s="25"/>
      <c r="BZ799" s="25"/>
      <c r="CA799" s="25"/>
      <c r="CB799" s="25"/>
      <c r="CC799" s="25"/>
      <c r="CD799" s="25"/>
      <c r="CE799" s="25"/>
      <c r="CF799" s="25"/>
      <c r="CG799" s="25"/>
      <c r="CH799" s="25"/>
      <c r="CI799" s="25"/>
      <c r="CJ799" s="25"/>
      <c r="CK799" s="25"/>
      <c r="CL799" s="25"/>
      <c r="CM799" s="25"/>
      <c r="CN799" s="25"/>
      <c r="CO799" s="25"/>
      <c r="CP799" s="25"/>
      <c r="CQ799" s="25"/>
      <c r="CR799" s="25"/>
      <c r="CS799" s="25"/>
      <c r="CT799" s="25"/>
      <c r="CU799" s="25"/>
      <c r="CV799" s="25"/>
      <c r="CW799" s="25"/>
      <c r="CX799" s="25"/>
      <c r="CY799" s="25"/>
      <c r="CZ799" s="25"/>
      <c r="DA799" s="25"/>
      <c r="DB799" s="25"/>
      <c r="DC799" s="25"/>
      <c r="DD799" s="25"/>
      <c r="DE799" s="25"/>
      <c r="DF799" s="25"/>
      <c r="DG799" s="25"/>
      <c r="DH799" s="25"/>
    </row>
    <row r="800" spans="1:112" customFormat="1" ht="17" x14ac:dyDescent="0.2">
      <c r="A800" s="7" t="s">
        <v>6227</v>
      </c>
      <c r="B800" s="2" t="s">
        <v>6432</v>
      </c>
      <c r="C800" s="2" t="s">
        <v>6432</v>
      </c>
      <c r="D800" s="1">
        <v>5</v>
      </c>
      <c r="E800" s="2" t="s">
        <v>61</v>
      </c>
      <c r="F800" s="2" t="s">
        <v>6752</v>
      </c>
      <c r="G800" s="2"/>
      <c r="H800" s="2"/>
      <c r="I800" s="2"/>
      <c r="J800" s="25"/>
      <c r="K800" s="25"/>
      <c r="L800" s="25"/>
      <c r="M800" s="25"/>
      <c r="N800" s="34" t="s">
        <v>6593</v>
      </c>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c r="BJ800" s="25"/>
      <c r="BK800" s="25"/>
      <c r="BL800" s="25"/>
      <c r="BM800" s="25"/>
      <c r="BN800" s="25"/>
      <c r="BO800" s="25"/>
      <c r="BP800" s="25"/>
      <c r="BQ800" s="25"/>
      <c r="BR800" s="25"/>
      <c r="BS800" s="25"/>
      <c r="BT800" s="25"/>
      <c r="BU800" s="25"/>
      <c r="BV800" s="25"/>
      <c r="BW800" s="25"/>
      <c r="BX800" s="25"/>
      <c r="BY800" s="25"/>
      <c r="BZ800" s="25"/>
      <c r="CA800" s="25"/>
      <c r="CB800" s="25"/>
      <c r="CC800" s="25"/>
      <c r="CD800" s="25"/>
      <c r="CE800" s="25"/>
      <c r="CF800" s="25"/>
      <c r="CG800" s="25"/>
      <c r="CH800" s="25"/>
      <c r="CI800" s="25"/>
      <c r="CJ800" s="25"/>
      <c r="CK800" s="25"/>
      <c r="CL800" s="25"/>
      <c r="CM800" s="25"/>
      <c r="CN800" s="25"/>
      <c r="CO800" s="25"/>
      <c r="CP800" s="25"/>
      <c r="CQ800" s="25"/>
      <c r="CR800" s="25"/>
      <c r="CS800" s="25"/>
      <c r="CT800" s="25"/>
      <c r="CU800" s="25"/>
      <c r="CV800" s="25"/>
      <c r="CW800" s="25"/>
      <c r="CX800" s="25"/>
      <c r="CY800" s="25"/>
      <c r="CZ800" s="25"/>
      <c r="DA800" s="25"/>
      <c r="DB800" s="25"/>
      <c r="DC800" s="25"/>
      <c r="DD800" s="25"/>
      <c r="DE800" s="25"/>
      <c r="DF800" s="25"/>
      <c r="DG800" s="25"/>
      <c r="DH800" s="25"/>
    </row>
    <row r="801" spans="1:112" customFormat="1" ht="102" customHeight="1" x14ac:dyDescent="0.2">
      <c r="A801" s="7" t="s">
        <v>6233</v>
      </c>
      <c r="B801" s="2" t="s">
        <v>6438</v>
      </c>
      <c r="C801" s="2" t="s">
        <v>6438</v>
      </c>
      <c r="D801" s="5">
        <v>5</v>
      </c>
      <c r="E801" s="6"/>
      <c r="F801" s="6" t="s">
        <v>6049</v>
      </c>
      <c r="G801" s="6"/>
      <c r="H801" s="6" t="s">
        <v>537</v>
      </c>
      <c r="I801" s="6"/>
      <c r="J801" s="25"/>
      <c r="K801" s="25"/>
      <c r="L801" s="25"/>
      <c r="M801" s="25"/>
      <c r="N801" s="34" t="s">
        <v>6598</v>
      </c>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c r="BJ801" s="25"/>
      <c r="BK801" s="25"/>
      <c r="BL801" s="25"/>
      <c r="BM801" s="25"/>
      <c r="BN801" s="25"/>
      <c r="BO801" s="25"/>
      <c r="BP801" s="25"/>
      <c r="BQ801" s="25"/>
      <c r="BR801" s="25"/>
      <c r="BS801" s="25"/>
      <c r="BT801" s="25"/>
      <c r="BU801" s="25"/>
      <c r="BV801" s="25"/>
      <c r="BW801" s="25"/>
      <c r="BX801" s="25"/>
      <c r="BY801" s="25"/>
      <c r="BZ801" s="25"/>
      <c r="CA801" s="25"/>
      <c r="CB801" s="25"/>
      <c r="CC801" s="25"/>
      <c r="CD801" s="25"/>
      <c r="CE801" s="25"/>
      <c r="CF801" s="25"/>
      <c r="CG801" s="25"/>
      <c r="CH801" s="25"/>
      <c r="CI801" s="25"/>
      <c r="CJ801" s="25"/>
      <c r="CK801" s="25"/>
      <c r="CL801" s="25"/>
      <c r="CM801" s="25"/>
      <c r="CN801" s="25"/>
      <c r="CO801" s="25"/>
      <c r="CP801" s="25"/>
      <c r="CQ801" s="25"/>
      <c r="CR801" s="25"/>
      <c r="CS801" s="25"/>
      <c r="CT801" s="25"/>
      <c r="CU801" s="25"/>
      <c r="CV801" s="25"/>
      <c r="CW801" s="25"/>
      <c r="CX801" s="25"/>
      <c r="CY801" s="25"/>
      <c r="CZ801" s="25"/>
      <c r="DA801" s="25"/>
      <c r="DB801" s="25"/>
      <c r="DC801" s="25"/>
      <c r="DD801" s="25"/>
      <c r="DE801" s="25"/>
      <c r="DF801" s="25"/>
      <c r="DG801" s="25"/>
      <c r="DH801" s="25"/>
    </row>
    <row r="802" spans="1:112" customFormat="1" ht="119" x14ac:dyDescent="0.2">
      <c r="A802" s="7" t="s">
        <v>6237</v>
      </c>
      <c r="B802" s="2" t="s">
        <v>2432</v>
      </c>
      <c r="C802" s="2" t="s">
        <v>2432</v>
      </c>
      <c r="D802" s="1">
        <v>5</v>
      </c>
      <c r="E802" s="2" t="s">
        <v>61</v>
      </c>
      <c r="F802" s="2" t="s">
        <v>2433</v>
      </c>
      <c r="G802" s="2" t="s">
        <v>2190</v>
      </c>
      <c r="H802" s="2" t="s">
        <v>1353</v>
      </c>
      <c r="I802" s="2" t="s">
        <v>1543</v>
      </c>
      <c r="J802" s="25"/>
      <c r="K802" s="25"/>
      <c r="L802" s="25"/>
      <c r="M802" s="25"/>
      <c r="N802" s="34" t="s">
        <v>2434</v>
      </c>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c r="BJ802" s="25"/>
      <c r="BK802" s="25"/>
      <c r="BL802" s="25"/>
      <c r="BM802" s="25"/>
      <c r="BN802" s="25"/>
      <c r="BO802" s="25"/>
      <c r="BP802" s="25"/>
      <c r="BQ802" s="25"/>
      <c r="BR802" s="25"/>
      <c r="BS802" s="25"/>
      <c r="BT802" s="25"/>
      <c r="BU802" s="25"/>
      <c r="BV802" s="25"/>
      <c r="BW802" s="25"/>
      <c r="BX802" s="25"/>
      <c r="BY802" s="25"/>
      <c r="BZ802" s="25"/>
      <c r="CA802" s="25"/>
      <c r="CB802" s="25"/>
      <c r="CC802" s="25"/>
      <c r="CD802" s="25"/>
      <c r="CE802" s="25"/>
      <c r="CF802" s="25"/>
      <c r="CG802" s="25"/>
      <c r="CH802" s="25"/>
      <c r="CI802" s="25"/>
      <c r="CJ802" s="25"/>
      <c r="CK802" s="25"/>
      <c r="CL802" s="25"/>
      <c r="CM802" s="25"/>
      <c r="CN802" s="25"/>
      <c r="CO802" s="25"/>
      <c r="CP802" s="25"/>
      <c r="CQ802" s="25"/>
      <c r="CR802" s="25"/>
      <c r="CS802" s="25"/>
      <c r="CT802" s="25"/>
      <c r="CU802" s="25"/>
      <c r="CV802" s="25"/>
      <c r="CW802" s="25"/>
      <c r="CX802" s="25"/>
      <c r="CY802" s="25"/>
      <c r="CZ802" s="25"/>
      <c r="DA802" s="25"/>
      <c r="DB802" s="25"/>
      <c r="DC802" s="25"/>
      <c r="DD802" s="25"/>
      <c r="DE802" s="25"/>
      <c r="DF802" s="25"/>
      <c r="DG802" s="25"/>
      <c r="DH802" s="25"/>
    </row>
    <row r="803" spans="1:112" customFormat="1" ht="102" x14ac:dyDescent="0.2">
      <c r="A803" s="7" t="s">
        <v>6247</v>
      </c>
      <c r="B803" s="2" t="s">
        <v>6453</v>
      </c>
      <c r="C803" s="2" t="s">
        <v>6453</v>
      </c>
      <c r="D803" s="1">
        <v>5</v>
      </c>
      <c r="E803" s="2" t="s">
        <v>6775</v>
      </c>
      <c r="F803" s="2"/>
      <c r="G803" s="2"/>
      <c r="H803" s="2"/>
      <c r="I803" s="2"/>
      <c r="J803" s="25"/>
      <c r="K803" s="25"/>
      <c r="L803" s="25" t="s">
        <v>6774</v>
      </c>
      <c r="M803" s="25"/>
      <c r="N803" s="34" t="s">
        <v>6600</v>
      </c>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c r="BJ803" s="25"/>
      <c r="BK803" s="25"/>
      <c r="BL803" s="25"/>
      <c r="BM803" s="25"/>
      <c r="BN803" s="25"/>
      <c r="BO803" s="25"/>
      <c r="BP803" s="25"/>
      <c r="BQ803" s="25"/>
      <c r="BR803" s="25"/>
      <c r="BS803" s="25"/>
      <c r="BT803" s="25"/>
      <c r="BU803" s="25"/>
      <c r="BV803" s="25"/>
      <c r="BW803" s="25"/>
      <c r="BX803" s="25"/>
      <c r="BY803" s="25"/>
      <c r="BZ803" s="25"/>
      <c r="CA803" s="25"/>
      <c r="CB803" s="25"/>
      <c r="CC803" s="25"/>
      <c r="CD803" s="25"/>
      <c r="CE803" s="25"/>
      <c r="CF803" s="25"/>
      <c r="CG803" s="25"/>
      <c r="CH803" s="25"/>
      <c r="CI803" s="25"/>
      <c r="CJ803" s="25"/>
      <c r="CK803" s="25"/>
      <c r="CL803" s="25"/>
      <c r="CM803" s="25"/>
      <c r="CN803" s="25"/>
      <c r="CO803" s="25"/>
      <c r="CP803" s="25"/>
      <c r="CQ803" s="25"/>
      <c r="CR803" s="25"/>
      <c r="CS803" s="25"/>
      <c r="CT803" s="25"/>
      <c r="CU803" s="25"/>
      <c r="CV803" s="25"/>
      <c r="CW803" s="25"/>
      <c r="CX803" s="25"/>
      <c r="CY803" s="25"/>
      <c r="CZ803" s="25"/>
      <c r="DA803" s="25"/>
      <c r="DB803" s="25"/>
      <c r="DC803" s="25"/>
      <c r="DD803" s="25"/>
      <c r="DE803" s="25"/>
      <c r="DF803" s="25"/>
      <c r="DG803" s="25"/>
      <c r="DH803" s="25"/>
    </row>
    <row r="804" spans="1:112" customFormat="1" ht="119" x14ac:dyDescent="0.2">
      <c r="A804" s="7" t="s">
        <v>6251</v>
      </c>
      <c r="B804" s="2" t="s">
        <v>6457</v>
      </c>
      <c r="C804" s="2" t="s">
        <v>6457</v>
      </c>
      <c r="D804" s="1">
        <v>5</v>
      </c>
      <c r="E804" s="2" t="s">
        <v>23</v>
      </c>
      <c r="F804" s="2"/>
      <c r="G804" s="2"/>
      <c r="H804" s="2"/>
      <c r="I804" s="2"/>
      <c r="J804" s="25"/>
      <c r="K804" s="25"/>
      <c r="L804" s="25" t="s">
        <v>6772</v>
      </c>
      <c r="M804" s="25"/>
      <c r="N804" s="34" t="s">
        <v>6604</v>
      </c>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c r="BJ804" s="25"/>
      <c r="BK804" s="25"/>
      <c r="BL804" s="25"/>
      <c r="BM804" s="25"/>
      <c r="BN804" s="25"/>
      <c r="BO804" s="25"/>
      <c r="BP804" s="25"/>
      <c r="BQ804" s="25"/>
      <c r="BR804" s="25"/>
      <c r="BS804" s="25"/>
      <c r="BT804" s="25"/>
      <c r="BU804" s="25"/>
      <c r="BV804" s="25"/>
      <c r="BW804" s="25"/>
      <c r="BX804" s="25"/>
      <c r="BY804" s="25"/>
      <c r="BZ804" s="25"/>
      <c r="CA804" s="25"/>
      <c r="CB804" s="25"/>
      <c r="CC804" s="25"/>
      <c r="CD804" s="25"/>
      <c r="CE804" s="25"/>
      <c r="CF804" s="25"/>
      <c r="CG804" s="25"/>
      <c r="CH804" s="25"/>
      <c r="CI804" s="25"/>
      <c r="CJ804" s="25"/>
      <c r="CK804" s="25"/>
      <c r="CL804" s="25"/>
      <c r="CM804" s="25"/>
      <c r="CN804" s="25"/>
      <c r="CO804" s="25"/>
      <c r="CP804" s="25"/>
      <c r="CQ804" s="25"/>
      <c r="CR804" s="25"/>
      <c r="CS804" s="25"/>
      <c r="CT804" s="25"/>
      <c r="CU804" s="25"/>
      <c r="CV804" s="25"/>
      <c r="CW804" s="25"/>
      <c r="CX804" s="25"/>
      <c r="CY804" s="25"/>
      <c r="CZ804" s="25"/>
      <c r="DA804" s="25"/>
      <c r="DB804" s="25"/>
      <c r="DC804" s="25"/>
      <c r="DD804" s="25"/>
      <c r="DE804" s="25"/>
      <c r="DF804" s="25"/>
      <c r="DG804" s="25"/>
      <c r="DH804" s="25"/>
    </row>
    <row r="805" spans="1:112" customFormat="1" ht="92" customHeight="1" x14ac:dyDescent="0.2">
      <c r="A805" s="7" t="s">
        <v>6258</v>
      </c>
      <c r="B805" s="2" t="s">
        <v>6464</v>
      </c>
      <c r="C805" s="2" t="s">
        <v>6464</v>
      </c>
      <c r="D805" s="1">
        <v>5</v>
      </c>
      <c r="E805" s="2" t="s">
        <v>23</v>
      </c>
      <c r="F805" s="2"/>
      <c r="G805" s="2"/>
      <c r="H805" s="2"/>
      <c r="I805" s="2"/>
      <c r="J805" s="25"/>
      <c r="K805" s="25"/>
      <c r="L805" s="25" t="s">
        <v>6768</v>
      </c>
      <c r="M805" s="25"/>
      <c r="N805" s="34" t="s">
        <v>2371</v>
      </c>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c r="BJ805" s="25"/>
      <c r="BK805" s="25"/>
      <c r="BL805" s="25"/>
      <c r="BM805" s="25"/>
      <c r="BN805" s="25"/>
      <c r="BO805" s="25"/>
      <c r="BP805" s="25"/>
      <c r="BQ805" s="25"/>
      <c r="BR805" s="25"/>
      <c r="BS805" s="25"/>
      <c r="BT805" s="25"/>
      <c r="BU805" s="25"/>
      <c r="BV805" s="25"/>
      <c r="BW805" s="25"/>
      <c r="BX805" s="25"/>
      <c r="BY805" s="25"/>
      <c r="BZ805" s="25"/>
      <c r="CA805" s="25"/>
      <c r="CB805" s="25"/>
      <c r="CC805" s="25"/>
      <c r="CD805" s="25"/>
      <c r="CE805" s="25"/>
      <c r="CF805" s="25"/>
      <c r="CG805" s="25"/>
      <c r="CH805" s="25"/>
      <c r="CI805" s="25"/>
      <c r="CJ805" s="25"/>
      <c r="CK805" s="25"/>
      <c r="CL805" s="25"/>
      <c r="CM805" s="25"/>
      <c r="CN805" s="25"/>
      <c r="CO805" s="25"/>
      <c r="CP805" s="25"/>
      <c r="CQ805" s="25"/>
      <c r="CR805" s="25"/>
      <c r="CS805" s="25"/>
      <c r="CT805" s="25"/>
      <c r="CU805" s="25"/>
      <c r="CV805" s="25"/>
      <c r="CW805" s="25"/>
      <c r="CX805" s="25"/>
      <c r="CY805" s="25"/>
      <c r="CZ805" s="25"/>
      <c r="DA805" s="25"/>
      <c r="DB805" s="25"/>
      <c r="DC805" s="25"/>
      <c r="DD805" s="25"/>
      <c r="DE805" s="25"/>
      <c r="DF805" s="25"/>
      <c r="DG805" s="25"/>
      <c r="DH805" s="25"/>
    </row>
    <row r="806" spans="1:112" customFormat="1" ht="92" customHeight="1" x14ac:dyDescent="0.2">
      <c r="A806" s="7" t="s">
        <v>6259</v>
      </c>
      <c r="B806" s="2" t="s">
        <v>6465</v>
      </c>
      <c r="C806" s="2" t="s">
        <v>6465</v>
      </c>
      <c r="D806" s="1">
        <v>5</v>
      </c>
      <c r="E806" s="2" t="s">
        <v>6770</v>
      </c>
      <c r="F806" s="2"/>
      <c r="G806" s="2"/>
      <c r="H806" s="2"/>
      <c r="I806" s="2"/>
      <c r="J806" s="25"/>
      <c r="K806" s="25"/>
      <c r="L806" s="25" t="s">
        <v>6769</v>
      </c>
      <c r="M806" s="25"/>
      <c r="N806" s="34" t="s">
        <v>6608</v>
      </c>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c r="BJ806" s="25"/>
      <c r="BK806" s="25"/>
      <c r="BL806" s="25"/>
      <c r="BM806" s="25"/>
      <c r="BN806" s="25"/>
      <c r="BO806" s="25"/>
      <c r="BP806" s="25"/>
      <c r="BQ806" s="25"/>
      <c r="BR806" s="25"/>
      <c r="BS806" s="25"/>
      <c r="BT806" s="25"/>
      <c r="BU806" s="25"/>
      <c r="BV806" s="25"/>
      <c r="BW806" s="25"/>
      <c r="BX806" s="25"/>
      <c r="BY806" s="25"/>
      <c r="BZ806" s="25"/>
      <c r="CA806" s="25"/>
      <c r="CB806" s="25"/>
      <c r="CC806" s="25"/>
      <c r="CD806" s="25"/>
      <c r="CE806" s="25"/>
      <c r="CF806" s="25"/>
      <c r="CG806" s="25"/>
      <c r="CH806" s="25"/>
      <c r="CI806" s="25"/>
      <c r="CJ806" s="25"/>
      <c r="CK806" s="25"/>
      <c r="CL806" s="25"/>
      <c r="CM806" s="25"/>
      <c r="CN806" s="25"/>
      <c r="CO806" s="25"/>
      <c r="CP806" s="25"/>
      <c r="CQ806" s="25"/>
      <c r="CR806" s="25"/>
      <c r="CS806" s="25"/>
      <c r="CT806" s="25"/>
      <c r="CU806" s="25"/>
      <c r="CV806" s="25"/>
      <c r="CW806" s="25"/>
      <c r="CX806" s="25"/>
      <c r="CY806" s="25"/>
      <c r="CZ806" s="25"/>
      <c r="DA806" s="25"/>
      <c r="DB806" s="25"/>
      <c r="DC806" s="25"/>
      <c r="DD806" s="25"/>
      <c r="DE806" s="25"/>
      <c r="DF806" s="25"/>
      <c r="DG806" s="25"/>
      <c r="DH806" s="25"/>
    </row>
    <row r="807" spans="1:112" customFormat="1" ht="34" x14ac:dyDescent="0.2">
      <c r="A807" s="7" t="s">
        <v>6279</v>
      </c>
      <c r="B807" s="2" t="s">
        <v>6485</v>
      </c>
      <c r="C807" s="2" t="s">
        <v>6485</v>
      </c>
      <c r="D807" s="1">
        <v>5</v>
      </c>
      <c r="E807" s="2" t="s">
        <v>6779</v>
      </c>
      <c r="F807" s="2"/>
      <c r="G807" s="2"/>
      <c r="H807" s="2"/>
      <c r="I807" s="2"/>
      <c r="J807" s="25"/>
      <c r="K807" s="25"/>
      <c r="L807" s="25"/>
      <c r="M807" s="25"/>
      <c r="N807" s="34" t="s">
        <v>6620</v>
      </c>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c r="BJ807" s="25"/>
      <c r="BK807" s="25"/>
      <c r="BL807" s="25"/>
      <c r="BM807" s="25"/>
      <c r="BN807" s="25"/>
      <c r="BO807" s="25"/>
      <c r="BP807" s="25"/>
      <c r="BQ807" s="25"/>
      <c r="BR807" s="25"/>
      <c r="BS807" s="25"/>
      <c r="BT807" s="25"/>
      <c r="BU807" s="25"/>
      <c r="BV807" s="25"/>
      <c r="BW807" s="25"/>
      <c r="BX807" s="25"/>
      <c r="BY807" s="25"/>
      <c r="BZ807" s="25"/>
      <c r="CA807" s="25"/>
      <c r="CB807" s="25"/>
      <c r="CC807" s="25"/>
      <c r="CD807" s="25"/>
      <c r="CE807" s="25"/>
      <c r="CF807" s="25"/>
      <c r="CG807" s="25"/>
      <c r="CH807" s="25"/>
      <c r="CI807" s="25"/>
      <c r="CJ807" s="25"/>
      <c r="CK807" s="25"/>
      <c r="CL807" s="25"/>
      <c r="CM807" s="25"/>
      <c r="CN807" s="25"/>
      <c r="CO807" s="25"/>
      <c r="CP807" s="25"/>
      <c r="CQ807" s="25"/>
      <c r="CR807" s="25"/>
      <c r="CS807" s="25"/>
      <c r="CT807" s="25"/>
      <c r="CU807" s="25"/>
      <c r="CV807" s="25"/>
      <c r="CW807" s="25"/>
      <c r="CX807" s="25"/>
      <c r="CY807" s="25"/>
      <c r="CZ807" s="25"/>
      <c r="DA807" s="25"/>
      <c r="DB807" s="25"/>
      <c r="DC807" s="25"/>
      <c r="DD807" s="25"/>
      <c r="DE807" s="25"/>
      <c r="DF807" s="25"/>
      <c r="DG807" s="25"/>
      <c r="DH807" s="25"/>
    </row>
    <row r="808" spans="1:112" customFormat="1" ht="92" customHeight="1" x14ac:dyDescent="0.2">
      <c r="A808" s="7" t="s">
        <v>6281</v>
      </c>
      <c r="B808" s="2" t="s">
        <v>6487</v>
      </c>
      <c r="C808" s="2" t="s">
        <v>6487</v>
      </c>
      <c r="D808" s="1">
        <v>5</v>
      </c>
      <c r="E808" s="2" t="s">
        <v>61</v>
      </c>
      <c r="F808" s="2" t="s">
        <v>6780</v>
      </c>
      <c r="G808" s="2"/>
      <c r="H808" s="2"/>
      <c r="I808" s="2"/>
      <c r="J808" s="25"/>
      <c r="K808" s="25"/>
      <c r="L808" s="25"/>
      <c r="M808" s="25"/>
      <c r="N808" s="34" t="s">
        <v>5725</v>
      </c>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c r="BJ808" s="25"/>
      <c r="BK808" s="25"/>
      <c r="BL808" s="25"/>
      <c r="BM808" s="25"/>
      <c r="BN808" s="25"/>
      <c r="BO808" s="25"/>
      <c r="BP808" s="25"/>
      <c r="BQ808" s="25"/>
      <c r="BR808" s="25"/>
      <c r="BS808" s="25"/>
      <c r="BT808" s="25"/>
      <c r="BU808" s="25"/>
      <c r="BV808" s="25"/>
      <c r="BW808" s="25"/>
      <c r="BX808" s="25"/>
      <c r="BY808" s="25"/>
      <c r="BZ808" s="25"/>
      <c r="CA808" s="25"/>
      <c r="CB808" s="25"/>
      <c r="CC808" s="25"/>
      <c r="CD808" s="25"/>
      <c r="CE808" s="25"/>
      <c r="CF808" s="25"/>
      <c r="CG808" s="25"/>
      <c r="CH808" s="25"/>
      <c r="CI808" s="25"/>
      <c r="CJ808" s="25"/>
      <c r="CK808" s="25"/>
      <c r="CL808" s="25"/>
      <c r="CM808" s="25"/>
      <c r="CN808" s="25"/>
      <c r="CO808" s="25"/>
      <c r="CP808" s="25"/>
      <c r="CQ808" s="25"/>
      <c r="CR808" s="25"/>
      <c r="CS808" s="25"/>
      <c r="CT808" s="25"/>
      <c r="CU808" s="25"/>
      <c r="CV808" s="25"/>
      <c r="CW808" s="25"/>
      <c r="CX808" s="25"/>
      <c r="CY808" s="25"/>
      <c r="CZ808" s="25"/>
      <c r="DA808" s="25"/>
      <c r="DB808" s="25"/>
      <c r="DC808" s="25"/>
      <c r="DD808" s="25"/>
      <c r="DE808" s="25"/>
      <c r="DF808" s="25"/>
      <c r="DG808" s="25"/>
      <c r="DH808" s="25"/>
    </row>
    <row r="809" spans="1:112" customFormat="1" ht="63" customHeight="1" x14ac:dyDescent="0.2">
      <c r="A809" s="7" t="s">
        <v>6305</v>
      </c>
      <c r="B809" s="2" t="s">
        <v>6511</v>
      </c>
      <c r="C809" s="2" t="s">
        <v>6511</v>
      </c>
      <c r="D809" s="1">
        <v>5</v>
      </c>
      <c r="E809" s="2" t="s">
        <v>6672</v>
      </c>
      <c r="F809" s="2"/>
      <c r="G809" s="2" t="s">
        <v>2520</v>
      </c>
      <c r="H809" s="2" t="s">
        <v>1360</v>
      </c>
      <c r="I809" s="2"/>
      <c r="J809" s="25"/>
      <c r="K809" s="25"/>
      <c r="L809" s="25"/>
      <c r="M809" s="25"/>
      <c r="N809" s="34" t="s">
        <v>6639</v>
      </c>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c r="BJ809" s="25"/>
      <c r="BK809" s="25"/>
      <c r="BL809" s="25"/>
      <c r="BM809" s="25"/>
      <c r="BN809" s="25"/>
      <c r="BO809" s="25"/>
      <c r="BP809" s="25"/>
      <c r="BQ809" s="25"/>
      <c r="BR809" s="25"/>
      <c r="BS809" s="25"/>
      <c r="BT809" s="25"/>
      <c r="BU809" s="25"/>
      <c r="BV809" s="25"/>
      <c r="BW809" s="25"/>
      <c r="BX809" s="25"/>
      <c r="BY809" s="25"/>
      <c r="BZ809" s="25"/>
      <c r="CA809" s="25"/>
      <c r="CB809" s="25"/>
      <c r="CC809" s="25"/>
      <c r="CD809" s="25"/>
      <c r="CE809" s="25"/>
      <c r="CF809" s="25"/>
      <c r="CG809" s="25"/>
      <c r="CH809" s="25"/>
      <c r="CI809" s="25"/>
      <c r="CJ809" s="25"/>
      <c r="CK809" s="25"/>
      <c r="CL809" s="25"/>
      <c r="CM809" s="25"/>
      <c r="CN809" s="25"/>
      <c r="CO809" s="25"/>
      <c r="CP809" s="25"/>
      <c r="CQ809" s="25"/>
      <c r="CR809" s="25"/>
      <c r="CS809" s="25"/>
      <c r="CT809" s="25"/>
      <c r="CU809" s="25"/>
      <c r="CV809" s="25"/>
      <c r="CW809" s="25"/>
      <c r="CX809" s="25"/>
      <c r="CY809" s="25"/>
      <c r="CZ809" s="25"/>
      <c r="DA809" s="25"/>
      <c r="DB809" s="25"/>
      <c r="DC809" s="25"/>
      <c r="DD809" s="25"/>
      <c r="DE809" s="25"/>
      <c r="DF809" s="25"/>
      <c r="DG809" s="25"/>
      <c r="DH809" s="25"/>
    </row>
    <row r="810" spans="1:112" customFormat="1" ht="68" x14ac:dyDescent="0.2">
      <c r="A810" s="7" t="s">
        <v>6316</v>
      </c>
      <c r="B810" s="2" t="s">
        <v>6522</v>
      </c>
      <c r="C810" s="2" t="s">
        <v>6522</v>
      </c>
      <c r="D810" s="1">
        <v>5</v>
      </c>
      <c r="E810" s="2" t="s">
        <v>61</v>
      </c>
      <c r="F810" s="2" t="s">
        <v>6791</v>
      </c>
      <c r="G810" s="2"/>
      <c r="H810" s="2"/>
      <c r="I810" s="2"/>
      <c r="J810" s="25"/>
      <c r="K810" s="25"/>
      <c r="L810" s="25"/>
      <c r="M810" s="25"/>
      <c r="N810" s="34" t="s">
        <v>6649</v>
      </c>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c r="BJ810" s="25"/>
      <c r="BK810" s="25"/>
      <c r="BL810" s="25"/>
      <c r="BM810" s="25"/>
      <c r="BN810" s="25"/>
      <c r="BO810" s="25"/>
      <c r="BP810" s="25"/>
      <c r="BQ810" s="25"/>
      <c r="BR810" s="25"/>
      <c r="BS810" s="25"/>
      <c r="BT810" s="25"/>
      <c r="BU810" s="25"/>
      <c r="BV810" s="25"/>
      <c r="BW810" s="25"/>
      <c r="BX810" s="25"/>
      <c r="BY810" s="25"/>
      <c r="BZ810" s="25"/>
      <c r="CA810" s="25"/>
      <c r="CB810" s="25"/>
      <c r="CC810" s="25"/>
      <c r="CD810" s="25"/>
      <c r="CE810" s="25"/>
      <c r="CF810" s="25"/>
      <c r="CG810" s="25"/>
      <c r="CH810" s="25"/>
      <c r="CI810" s="25"/>
      <c r="CJ810" s="25"/>
      <c r="CK810" s="25"/>
      <c r="CL810" s="25"/>
      <c r="CM810" s="25"/>
      <c r="CN810" s="25"/>
      <c r="CO810" s="25"/>
      <c r="CP810" s="25"/>
      <c r="CQ810" s="25"/>
      <c r="CR810" s="25"/>
      <c r="CS810" s="25"/>
      <c r="CT810" s="25"/>
      <c r="CU810" s="25"/>
      <c r="CV810" s="25"/>
      <c r="CW810" s="25"/>
      <c r="CX810" s="25"/>
      <c r="CY810" s="25"/>
      <c r="CZ810" s="25"/>
      <c r="DA810" s="25"/>
      <c r="DB810" s="25"/>
      <c r="DC810" s="25"/>
      <c r="DD810" s="25"/>
      <c r="DE810" s="25"/>
      <c r="DF810" s="25"/>
      <c r="DG810" s="25"/>
      <c r="DH810" s="25"/>
    </row>
    <row r="811" spans="1:112" customFormat="1" ht="85" x14ac:dyDescent="0.2">
      <c r="A811" s="7" t="s">
        <v>6333</v>
      </c>
      <c r="B811" s="2" t="s">
        <v>6539</v>
      </c>
      <c r="C811" s="2" t="s">
        <v>6539</v>
      </c>
      <c r="D811" s="1">
        <v>5</v>
      </c>
      <c r="E811" s="2" t="s">
        <v>61</v>
      </c>
      <c r="F811" s="2" t="s">
        <v>2438</v>
      </c>
      <c r="G811" s="2" t="s">
        <v>2190</v>
      </c>
      <c r="H811" s="2" t="s">
        <v>1261</v>
      </c>
      <c r="I811" s="2"/>
      <c r="J811" s="25"/>
      <c r="K811" s="25"/>
      <c r="L811" s="25"/>
      <c r="M811" s="25"/>
      <c r="N811" s="34" t="s">
        <v>6658</v>
      </c>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c r="BJ811" s="25"/>
      <c r="BK811" s="25"/>
      <c r="BL811" s="25"/>
      <c r="BM811" s="25"/>
      <c r="BN811" s="25"/>
      <c r="BO811" s="25"/>
      <c r="BP811" s="25"/>
      <c r="BQ811" s="25"/>
      <c r="BR811" s="25"/>
      <c r="BS811" s="25"/>
      <c r="BT811" s="25"/>
      <c r="BU811" s="25"/>
      <c r="BV811" s="25"/>
      <c r="BW811" s="25"/>
      <c r="BX811" s="25"/>
      <c r="BY811" s="25"/>
      <c r="BZ811" s="25"/>
      <c r="CA811" s="25"/>
      <c r="CB811" s="25"/>
      <c r="CC811" s="25"/>
      <c r="CD811" s="25"/>
      <c r="CE811" s="25"/>
      <c r="CF811" s="25"/>
      <c r="CG811" s="25"/>
      <c r="CH811" s="25"/>
      <c r="CI811" s="25"/>
      <c r="CJ811" s="25"/>
      <c r="CK811" s="25"/>
      <c r="CL811" s="25"/>
      <c r="CM811" s="25"/>
      <c r="CN811" s="25"/>
      <c r="CO811" s="25"/>
      <c r="CP811" s="25"/>
      <c r="CQ811" s="25"/>
      <c r="CR811" s="25"/>
      <c r="CS811" s="25"/>
      <c r="CT811" s="25"/>
      <c r="CU811" s="25"/>
      <c r="CV811" s="25"/>
      <c r="CW811" s="25"/>
      <c r="CX811" s="25"/>
      <c r="CY811" s="25"/>
      <c r="CZ811" s="25"/>
      <c r="DA811" s="25"/>
      <c r="DB811" s="25"/>
      <c r="DC811" s="25"/>
      <c r="DD811" s="25"/>
      <c r="DE811" s="25"/>
      <c r="DF811" s="25"/>
      <c r="DG811" s="25"/>
      <c r="DH811" s="25"/>
    </row>
    <row r="812" spans="1:112" customFormat="1" ht="102" x14ac:dyDescent="0.2">
      <c r="A812" s="7" t="s">
        <v>5569</v>
      </c>
      <c r="B812" s="7" t="s">
        <v>5570</v>
      </c>
      <c r="C812" s="2" t="s">
        <v>5570</v>
      </c>
      <c r="D812" s="5">
        <v>5</v>
      </c>
      <c r="E812" s="6" t="s">
        <v>23</v>
      </c>
      <c r="F812" s="6"/>
      <c r="G812" s="2" t="s">
        <v>2190</v>
      </c>
      <c r="H812" s="2" t="s">
        <v>370</v>
      </c>
      <c r="I812" s="2" t="s">
        <v>790</v>
      </c>
      <c r="J812" s="34" t="s">
        <v>763</v>
      </c>
      <c r="K812" s="34" t="s">
        <v>764</v>
      </c>
      <c r="L812" s="34" t="s">
        <v>764</v>
      </c>
      <c r="M812" s="34" t="s">
        <v>765</v>
      </c>
      <c r="N812" s="34" t="s">
        <v>2329</v>
      </c>
      <c r="O812" s="34" t="s">
        <v>767</v>
      </c>
      <c r="P812" s="34" t="s">
        <v>1478</v>
      </c>
      <c r="Q812" s="34" t="s">
        <v>199</v>
      </c>
      <c r="R812" s="34" t="s">
        <v>32</v>
      </c>
      <c r="S812" s="34" t="s">
        <v>33</v>
      </c>
      <c r="T812" s="34" t="s">
        <v>2330</v>
      </c>
      <c r="U812" s="34" t="s">
        <v>5571</v>
      </c>
      <c r="V812" s="34" t="s">
        <v>5571</v>
      </c>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c r="CA812" s="34"/>
      <c r="CB812" s="34"/>
      <c r="CC812" s="34"/>
      <c r="CD812" s="34"/>
      <c r="CE812" s="34"/>
      <c r="CF812" s="34"/>
      <c r="CG812" s="34"/>
      <c r="CH812" s="34"/>
      <c r="CI812" s="34"/>
      <c r="CJ812" s="34"/>
      <c r="CK812" s="34"/>
      <c r="CL812" s="34"/>
      <c r="CM812" s="34"/>
      <c r="CN812" s="34"/>
      <c r="CO812" s="34"/>
      <c r="CP812" s="34"/>
      <c r="CQ812" s="34"/>
      <c r="CR812" s="34"/>
      <c r="CS812" s="34"/>
      <c r="CT812" s="34"/>
      <c r="CU812" s="34"/>
      <c r="CV812" s="34"/>
      <c r="CW812" s="34"/>
      <c r="CX812" s="34"/>
      <c r="CY812" s="34"/>
      <c r="CZ812" s="34"/>
      <c r="DA812" s="34"/>
      <c r="DB812" s="34"/>
      <c r="DC812" s="34"/>
      <c r="DD812" s="34"/>
      <c r="DE812" s="34"/>
      <c r="DF812" s="34"/>
      <c r="DG812" s="34"/>
      <c r="DH812" s="34"/>
    </row>
    <row r="813" spans="1:112" customFormat="1" ht="136" x14ac:dyDescent="0.2">
      <c r="A813" s="7" t="s">
        <v>5572</v>
      </c>
      <c r="B813" s="7" t="s">
        <v>5573</v>
      </c>
      <c r="C813" s="2" t="s">
        <v>5573</v>
      </c>
      <c r="D813" s="5">
        <v>5</v>
      </c>
      <c r="E813" s="6" t="s">
        <v>23</v>
      </c>
      <c r="F813" s="6"/>
      <c r="G813" s="6" t="s">
        <v>2190</v>
      </c>
      <c r="H813" s="6" t="s">
        <v>6054</v>
      </c>
      <c r="I813" s="6" t="s">
        <v>6803</v>
      </c>
      <c r="J813" s="34" t="s">
        <v>763</v>
      </c>
      <c r="K813" s="34" t="s">
        <v>764</v>
      </c>
      <c r="L813" s="34" t="s">
        <v>764</v>
      </c>
      <c r="M813" s="34" t="s">
        <v>765</v>
      </c>
      <c r="N813" s="34" t="s">
        <v>5574</v>
      </c>
      <c r="O813" s="34" t="s">
        <v>767</v>
      </c>
      <c r="P813" s="34" t="s">
        <v>2415</v>
      </c>
      <c r="Q813" s="34" t="s">
        <v>41</v>
      </c>
      <c r="R813" s="34" t="s">
        <v>32</v>
      </c>
      <c r="S813" s="34" t="s">
        <v>33</v>
      </c>
      <c r="T813" s="34" t="s">
        <v>793</v>
      </c>
      <c r="U813" s="34" t="s">
        <v>5575</v>
      </c>
      <c r="V813" s="34" t="s">
        <v>5575</v>
      </c>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c r="CA813" s="34"/>
      <c r="CB813" s="34"/>
      <c r="CC813" s="34"/>
      <c r="CD813" s="34"/>
      <c r="CE813" s="34"/>
      <c r="CF813" s="34"/>
      <c r="CG813" s="34"/>
      <c r="CH813" s="34"/>
      <c r="CI813" s="34"/>
      <c r="CJ813" s="34"/>
      <c r="CK813" s="34"/>
      <c r="CL813" s="34"/>
      <c r="CM813" s="34"/>
      <c r="CN813" s="34"/>
      <c r="CO813" s="34"/>
      <c r="CP813" s="34"/>
      <c r="CQ813" s="34"/>
      <c r="CR813" s="34"/>
      <c r="CS813" s="34"/>
      <c r="CT813" s="34"/>
      <c r="CU813" s="34"/>
      <c r="CV813" s="34"/>
      <c r="CW813" s="34"/>
      <c r="CX813" s="34"/>
      <c r="CY813" s="34"/>
      <c r="CZ813" s="34"/>
      <c r="DA813" s="34"/>
      <c r="DB813" s="34"/>
      <c r="DC813" s="34"/>
      <c r="DD813" s="34"/>
      <c r="DE813" s="34"/>
      <c r="DF813" s="34"/>
      <c r="DG813" s="34"/>
      <c r="DH813" s="34"/>
    </row>
    <row r="814" spans="1:112" customFormat="1" ht="102" x14ac:dyDescent="0.2">
      <c r="A814" s="7" t="s">
        <v>5576</v>
      </c>
      <c r="B814" s="7" t="s">
        <v>5577</v>
      </c>
      <c r="C814" s="2" t="s">
        <v>5577</v>
      </c>
      <c r="D814" s="1">
        <v>5</v>
      </c>
      <c r="E814" s="2" t="s">
        <v>23</v>
      </c>
      <c r="F814" s="2"/>
      <c r="G814" s="2" t="s">
        <v>2190</v>
      </c>
      <c r="H814" s="2" t="s">
        <v>370</v>
      </c>
      <c r="I814" s="2" t="s">
        <v>790</v>
      </c>
      <c r="J814" s="34" t="s">
        <v>763</v>
      </c>
      <c r="K814" s="34" t="s">
        <v>764</v>
      </c>
      <c r="L814" s="34" t="s">
        <v>764</v>
      </c>
      <c r="M814" s="34" t="s">
        <v>765</v>
      </c>
      <c r="N814" s="34" t="s">
        <v>2349</v>
      </c>
      <c r="O814" s="34" t="s">
        <v>767</v>
      </c>
      <c r="P814" s="34" t="s">
        <v>1827</v>
      </c>
      <c r="Q814" s="34" t="s">
        <v>199</v>
      </c>
      <c r="R814" s="34" t="s">
        <v>32</v>
      </c>
      <c r="S814" s="34" t="s">
        <v>33</v>
      </c>
      <c r="T814" s="34" t="s">
        <v>793</v>
      </c>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34"/>
      <c r="BU814" s="34"/>
      <c r="BV814" s="34"/>
      <c r="BW814" s="34"/>
      <c r="BX814" s="34"/>
      <c r="BY814" s="34"/>
      <c r="BZ814" s="34"/>
      <c r="CA814" s="34"/>
      <c r="CB814" s="34"/>
      <c r="CC814" s="34"/>
      <c r="CD814" s="34"/>
      <c r="CE814" s="34"/>
      <c r="CF814" s="34"/>
      <c r="CG814" s="34"/>
      <c r="CH814" s="34"/>
      <c r="CI814" s="34"/>
      <c r="CJ814" s="34"/>
      <c r="CK814" s="34"/>
      <c r="CL814" s="34"/>
      <c r="CM814" s="34"/>
      <c r="CN814" s="34"/>
      <c r="CO814" s="34"/>
      <c r="CP814" s="34"/>
      <c r="CQ814" s="34"/>
      <c r="CR814" s="34"/>
      <c r="CS814" s="34"/>
      <c r="CT814" s="34"/>
      <c r="CU814" s="34"/>
      <c r="CV814" s="34"/>
      <c r="CW814" s="34"/>
      <c r="CX814" s="34"/>
      <c r="CY814" s="34"/>
      <c r="CZ814" s="34"/>
      <c r="DA814" s="34"/>
      <c r="DB814" s="34"/>
      <c r="DC814" s="34"/>
      <c r="DD814" s="34"/>
      <c r="DE814" s="34"/>
      <c r="DF814" s="34"/>
      <c r="DG814" s="34"/>
      <c r="DH814" s="34"/>
    </row>
    <row r="815" spans="1:112" customFormat="1" ht="136" x14ac:dyDescent="0.2">
      <c r="A815" s="7" t="s">
        <v>5578</v>
      </c>
      <c r="B815" s="7" t="s">
        <v>5579</v>
      </c>
      <c r="C815" s="2" t="s">
        <v>5579</v>
      </c>
      <c r="D815" s="5">
        <v>5</v>
      </c>
      <c r="E815" s="6" t="s">
        <v>23</v>
      </c>
      <c r="F815" s="6"/>
      <c r="G815" s="6" t="s">
        <v>2190</v>
      </c>
      <c r="H815" s="6" t="s">
        <v>6054</v>
      </c>
      <c r="I815" s="6" t="s">
        <v>6803</v>
      </c>
      <c r="J815" s="34" t="s">
        <v>763</v>
      </c>
      <c r="K815" s="34" t="s">
        <v>764</v>
      </c>
      <c r="L815" s="34" t="s">
        <v>764</v>
      </c>
      <c r="M815" s="34" t="s">
        <v>765</v>
      </c>
      <c r="N815" s="34" t="s">
        <v>5580</v>
      </c>
      <c r="O815" s="34" t="s">
        <v>767</v>
      </c>
      <c r="P815" s="34" t="s">
        <v>93</v>
      </c>
      <c r="Q815" s="34" t="s">
        <v>41</v>
      </c>
      <c r="R815" s="34" t="s">
        <v>32</v>
      </c>
      <c r="S815" s="34" t="s">
        <v>33</v>
      </c>
      <c r="T815" s="34" t="s">
        <v>5581</v>
      </c>
      <c r="U815" s="34" t="s">
        <v>5582</v>
      </c>
      <c r="V815" s="34" t="s">
        <v>5582</v>
      </c>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34"/>
      <c r="BU815" s="34"/>
      <c r="BV815" s="34"/>
      <c r="BW815" s="34"/>
      <c r="BX815" s="34"/>
      <c r="BY815" s="34"/>
      <c r="BZ815" s="34"/>
      <c r="CA815" s="34"/>
      <c r="CB815" s="34"/>
      <c r="CC815" s="34"/>
      <c r="CD815" s="34"/>
      <c r="CE815" s="34"/>
      <c r="CF815" s="34"/>
      <c r="CG815" s="34"/>
      <c r="CH815" s="34"/>
      <c r="CI815" s="34"/>
      <c r="CJ815" s="34"/>
      <c r="CK815" s="34"/>
      <c r="CL815" s="34"/>
      <c r="CM815" s="34"/>
      <c r="CN815" s="34"/>
      <c r="CO815" s="34"/>
      <c r="CP815" s="34"/>
      <c r="CQ815" s="34"/>
      <c r="CR815" s="34"/>
      <c r="CS815" s="34"/>
      <c r="CT815" s="34"/>
      <c r="CU815" s="34"/>
      <c r="CV815" s="34"/>
      <c r="CW815" s="34"/>
      <c r="CX815" s="34"/>
      <c r="CY815" s="34"/>
      <c r="CZ815" s="34"/>
      <c r="DA815" s="34"/>
      <c r="DB815" s="34"/>
      <c r="DC815" s="34"/>
      <c r="DD815" s="34"/>
      <c r="DE815" s="34"/>
      <c r="DF815" s="34"/>
      <c r="DG815" s="34"/>
      <c r="DH815" s="34"/>
    </row>
    <row r="816" spans="1:112" customFormat="1" ht="102" x14ac:dyDescent="0.2">
      <c r="A816" s="7" t="s">
        <v>5587</v>
      </c>
      <c r="B816" s="7" t="s">
        <v>5588</v>
      </c>
      <c r="C816" s="2" t="s">
        <v>5588</v>
      </c>
      <c r="D816" s="1">
        <v>5</v>
      </c>
      <c r="E816" s="2" t="s">
        <v>23</v>
      </c>
      <c r="F816" s="2"/>
      <c r="G816" s="2" t="s">
        <v>2190</v>
      </c>
      <c r="H816" s="2" t="s">
        <v>370</v>
      </c>
      <c r="I816" s="2" t="s">
        <v>790</v>
      </c>
      <c r="J816" s="34" t="s">
        <v>763</v>
      </c>
      <c r="K816" s="34" t="s">
        <v>764</v>
      </c>
      <c r="L816" s="34" t="s">
        <v>764</v>
      </c>
      <c r="M816" s="34" t="s">
        <v>765</v>
      </c>
      <c r="N816" s="34" t="s">
        <v>2376</v>
      </c>
      <c r="O816" s="34" t="s">
        <v>767</v>
      </c>
      <c r="P816" s="34" t="s">
        <v>208</v>
      </c>
      <c r="Q816" s="34" t="s">
        <v>199</v>
      </c>
      <c r="R816" s="34" t="s">
        <v>32</v>
      </c>
      <c r="S816" s="34" t="s">
        <v>33</v>
      </c>
      <c r="T816" s="34" t="s">
        <v>815</v>
      </c>
      <c r="U816" s="34" t="s">
        <v>5589</v>
      </c>
      <c r="V816" s="34" t="s">
        <v>5589</v>
      </c>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34"/>
      <c r="BU816" s="34"/>
      <c r="BV816" s="34"/>
      <c r="BW816" s="34"/>
      <c r="BX816" s="34"/>
      <c r="BY816" s="34"/>
      <c r="BZ816" s="34"/>
      <c r="CA816" s="34"/>
      <c r="CB816" s="34"/>
      <c r="CC816" s="34"/>
      <c r="CD816" s="34"/>
      <c r="CE816" s="34"/>
      <c r="CF816" s="34"/>
      <c r="CG816" s="34"/>
      <c r="CH816" s="34"/>
      <c r="CI816" s="34"/>
      <c r="CJ816" s="34"/>
      <c r="CK816" s="34"/>
      <c r="CL816" s="34"/>
      <c r="CM816" s="34"/>
      <c r="CN816" s="34"/>
      <c r="CO816" s="34"/>
      <c r="CP816" s="34"/>
      <c r="CQ816" s="34"/>
      <c r="CR816" s="34"/>
      <c r="CS816" s="34"/>
      <c r="CT816" s="34"/>
      <c r="CU816" s="34"/>
      <c r="CV816" s="34"/>
      <c r="CW816" s="34"/>
      <c r="CX816" s="34"/>
      <c r="CY816" s="34"/>
      <c r="CZ816" s="34"/>
      <c r="DA816" s="34"/>
      <c r="DB816" s="34"/>
      <c r="DC816" s="34"/>
      <c r="DD816" s="34"/>
      <c r="DE816" s="34"/>
      <c r="DF816" s="34"/>
      <c r="DG816" s="34"/>
      <c r="DH816" s="34"/>
    </row>
    <row r="817" spans="1:112" customFormat="1" ht="136" x14ac:dyDescent="0.2">
      <c r="A817" s="7" t="s">
        <v>5590</v>
      </c>
      <c r="B817" s="7" t="s">
        <v>5591</v>
      </c>
      <c r="C817" s="2" t="s">
        <v>5591</v>
      </c>
      <c r="D817" s="5">
        <v>5</v>
      </c>
      <c r="E817" s="6" t="s">
        <v>23</v>
      </c>
      <c r="F817" s="6"/>
      <c r="G817" s="6" t="s">
        <v>2190</v>
      </c>
      <c r="H817" s="6" t="s">
        <v>6054</v>
      </c>
      <c r="I817" s="6" t="s">
        <v>6803</v>
      </c>
      <c r="J817" s="34" t="s">
        <v>763</v>
      </c>
      <c r="K817" s="34" t="s">
        <v>764</v>
      </c>
      <c r="L817" s="34" t="s">
        <v>764</v>
      </c>
      <c r="M817" s="34" t="s">
        <v>765</v>
      </c>
      <c r="N817" s="34" t="s">
        <v>5592</v>
      </c>
      <c r="O817" s="34" t="s">
        <v>767</v>
      </c>
      <c r="P817" s="34" t="s">
        <v>214</v>
      </c>
      <c r="Q817" s="34" t="s">
        <v>41</v>
      </c>
      <c r="R817" s="34" t="s">
        <v>32</v>
      </c>
      <c r="S817" s="34" t="s">
        <v>33</v>
      </c>
      <c r="T817" s="34" t="s">
        <v>815</v>
      </c>
      <c r="U817" s="34" t="s">
        <v>5593</v>
      </c>
      <c r="V817" s="34" t="s">
        <v>5593</v>
      </c>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34"/>
      <c r="BU817" s="34"/>
      <c r="BV817" s="34"/>
      <c r="BW817" s="34"/>
      <c r="BX817" s="34"/>
      <c r="BY817" s="34"/>
      <c r="BZ817" s="34"/>
      <c r="CA817" s="34"/>
      <c r="CB817" s="34"/>
      <c r="CC817" s="34"/>
      <c r="CD817" s="34"/>
      <c r="CE817" s="34"/>
      <c r="CF817" s="34"/>
      <c r="CG817" s="34"/>
      <c r="CH817" s="34"/>
      <c r="CI817" s="34"/>
      <c r="CJ817" s="34"/>
      <c r="CK817" s="34"/>
      <c r="CL817" s="34"/>
      <c r="CM817" s="34"/>
      <c r="CN817" s="34"/>
      <c r="CO817" s="34"/>
      <c r="CP817" s="34"/>
      <c r="CQ817" s="34"/>
      <c r="CR817" s="34"/>
      <c r="CS817" s="34"/>
      <c r="CT817" s="34"/>
      <c r="CU817" s="34"/>
      <c r="CV817" s="34"/>
      <c r="CW817" s="34"/>
      <c r="CX817" s="34"/>
      <c r="CY817" s="34"/>
      <c r="CZ817" s="34"/>
      <c r="DA817" s="34"/>
      <c r="DB817" s="34"/>
      <c r="DC817" s="34"/>
      <c r="DD817" s="34"/>
      <c r="DE817" s="34"/>
      <c r="DF817" s="34"/>
      <c r="DG817" s="34"/>
      <c r="DH817" s="34"/>
    </row>
    <row r="818" spans="1:112" customFormat="1" ht="136" x14ac:dyDescent="0.2">
      <c r="A818" s="7" t="s">
        <v>5594</v>
      </c>
      <c r="B818" s="7" t="s">
        <v>5595</v>
      </c>
      <c r="C818" s="2" t="s">
        <v>5595</v>
      </c>
      <c r="D818" s="5">
        <v>5</v>
      </c>
      <c r="E818" s="6" t="s">
        <v>23</v>
      </c>
      <c r="F818" s="6"/>
      <c r="G818" s="6" t="s">
        <v>2190</v>
      </c>
      <c r="H818" s="6" t="s">
        <v>6054</v>
      </c>
      <c r="I818" s="6" t="s">
        <v>6803</v>
      </c>
      <c r="J818" s="34" t="s">
        <v>763</v>
      </c>
      <c r="K818" s="34" t="s">
        <v>764</v>
      </c>
      <c r="L818" s="34" t="s">
        <v>764</v>
      </c>
      <c r="M818" s="34" t="s">
        <v>765</v>
      </c>
      <c r="N818" s="34" t="s">
        <v>5596</v>
      </c>
      <c r="O818" s="34" t="s">
        <v>767</v>
      </c>
      <c r="P818" s="34" t="s">
        <v>767</v>
      </c>
      <c r="Q818" s="34" t="s">
        <v>41</v>
      </c>
      <c r="R818" s="34" t="s">
        <v>32</v>
      </c>
      <c r="S818" s="34" t="s">
        <v>33</v>
      </c>
      <c r="T818" s="34" t="s">
        <v>815</v>
      </c>
      <c r="U818" s="34" t="s">
        <v>5597</v>
      </c>
      <c r="V818" s="34" t="s">
        <v>5597</v>
      </c>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34"/>
      <c r="BU818" s="34"/>
      <c r="BV818" s="34"/>
      <c r="BW818" s="34"/>
      <c r="BX818" s="34"/>
      <c r="BY818" s="34"/>
      <c r="BZ818" s="34"/>
      <c r="CA818" s="34"/>
      <c r="CB818" s="34"/>
      <c r="CC818" s="34"/>
      <c r="CD818" s="34"/>
      <c r="CE818" s="34"/>
      <c r="CF818" s="34"/>
      <c r="CG818" s="34"/>
      <c r="CH818" s="34"/>
      <c r="CI818" s="34"/>
      <c r="CJ818" s="34"/>
      <c r="CK818" s="34"/>
      <c r="CL818" s="34"/>
      <c r="CM818" s="34"/>
      <c r="CN818" s="34"/>
      <c r="CO818" s="34"/>
      <c r="CP818" s="34"/>
      <c r="CQ818" s="34"/>
      <c r="CR818" s="34"/>
      <c r="CS818" s="34"/>
      <c r="CT818" s="34"/>
      <c r="CU818" s="34"/>
      <c r="CV818" s="34"/>
      <c r="CW818" s="34"/>
      <c r="CX818" s="34"/>
      <c r="CY818" s="34"/>
      <c r="CZ818" s="34"/>
      <c r="DA818" s="34"/>
      <c r="DB818" s="34"/>
      <c r="DC818" s="34"/>
      <c r="DD818" s="34"/>
      <c r="DE818" s="34"/>
      <c r="DF818" s="34"/>
      <c r="DG818" s="34"/>
      <c r="DH818" s="34"/>
    </row>
    <row r="819" spans="1:112" customFormat="1" ht="136" x14ac:dyDescent="0.2">
      <c r="A819" s="7" t="s">
        <v>5598</v>
      </c>
      <c r="B819" s="7" t="s">
        <v>5599</v>
      </c>
      <c r="C819" s="2" t="s">
        <v>5599</v>
      </c>
      <c r="D819" s="5">
        <v>5</v>
      </c>
      <c r="E819" s="6" t="s">
        <v>23</v>
      </c>
      <c r="F819" s="6"/>
      <c r="G819" s="6" t="s">
        <v>2190</v>
      </c>
      <c r="H819" s="6" t="s">
        <v>6054</v>
      </c>
      <c r="I819" s="6" t="s">
        <v>6803</v>
      </c>
      <c r="J819" s="34" t="s">
        <v>763</v>
      </c>
      <c r="K819" s="34" t="s">
        <v>764</v>
      </c>
      <c r="L819" s="34" t="s">
        <v>764</v>
      </c>
      <c r="M819" s="34" t="s">
        <v>765</v>
      </c>
      <c r="N819" s="34" t="s">
        <v>5600</v>
      </c>
      <c r="O819" s="34" t="s">
        <v>767</v>
      </c>
      <c r="P819" s="34" t="s">
        <v>848</v>
      </c>
      <c r="Q819" s="34" t="s">
        <v>41</v>
      </c>
      <c r="R819" s="34" t="s">
        <v>32</v>
      </c>
      <c r="S819" s="34" t="s">
        <v>33</v>
      </c>
      <c r="T819" s="34" t="s">
        <v>5601</v>
      </c>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34"/>
      <c r="BU819" s="34"/>
      <c r="BV819" s="34"/>
      <c r="BW819" s="34"/>
      <c r="BX819" s="34"/>
      <c r="BY819" s="34"/>
      <c r="BZ819" s="34"/>
      <c r="CA819" s="34"/>
      <c r="CB819" s="34"/>
      <c r="CC819" s="34"/>
      <c r="CD819" s="34"/>
      <c r="CE819" s="34"/>
      <c r="CF819" s="34"/>
      <c r="CG819" s="34"/>
      <c r="CH819" s="34"/>
      <c r="CI819" s="34"/>
      <c r="CJ819" s="34"/>
      <c r="CK819" s="34"/>
      <c r="CL819" s="34"/>
      <c r="CM819" s="34"/>
      <c r="CN819" s="34"/>
      <c r="CO819" s="34"/>
      <c r="CP819" s="34"/>
      <c r="CQ819" s="34"/>
      <c r="CR819" s="34"/>
      <c r="CS819" s="34"/>
      <c r="CT819" s="34"/>
      <c r="CU819" s="34"/>
      <c r="CV819" s="34"/>
      <c r="CW819" s="34"/>
      <c r="CX819" s="34"/>
      <c r="CY819" s="34"/>
      <c r="CZ819" s="34"/>
      <c r="DA819" s="34"/>
      <c r="DB819" s="34"/>
      <c r="DC819" s="34"/>
      <c r="DD819" s="34"/>
      <c r="DE819" s="34"/>
      <c r="DF819" s="34"/>
      <c r="DG819" s="34"/>
      <c r="DH819" s="34"/>
    </row>
    <row r="820" spans="1:112" customFormat="1" ht="136" x14ac:dyDescent="0.2">
      <c r="A820" s="7" t="s">
        <v>5602</v>
      </c>
      <c r="B820" s="7" t="s">
        <v>5603</v>
      </c>
      <c r="C820" s="2" t="s">
        <v>5603</v>
      </c>
      <c r="D820" s="5">
        <v>5</v>
      </c>
      <c r="E820" s="6" t="s">
        <v>23</v>
      </c>
      <c r="F820" s="6"/>
      <c r="G820" s="6" t="s">
        <v>2190</v>
      </c>
      <c r="H820" s="6" t="s">
        <v>6054</v>
      </c>
      <c r="I820" s="6" t="s">
        <v>6803</v>
      </c>
      <c r="J820" s="34" t="s">
        <v>763</v>
      </c>
      <c r="K820" s="34" t="s">
        <v>764</v>
      </c>
      <c r="L820" s="34" t="s">
        <v>764</v>
      </c>
      <c r="M820" s="34" t="s">
        <v>765</v>
      </c>
      <c r="N820" s="34" t="s">
        <v>5604</v>
      </c>
      <c r="O820" s="34" t="s">
        <v>848</v>
      </c>
      <c r="P820" s="34" t="s">
        <v>648</v>
      </c>
      <c r="Q820" s="34" t="s">
        <v>41</v>
      </c>
      <c r="R820" s="34" t="s">
        <v>32</v>
      </c>
      <c r="S820" s="34" t="s">
        <v>33</v>
      </c>
      <c r="T820" s="34" t="s">
        <v>793</v>
      </c>
      <c r="U820" s="34" t="s">
        <v>5605</v>
      </c>
      <c r="V820" s="34" t="s">
        <v>5606</v>
      </c>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34"/>
      <c r="BU820" s="34"/>
      <c r="BV820" s="34"/>
      <c r="BW820" s="34"/>
      <c r="BX820" s="34"/>
      <c r="BY820" s="34"/>
      <c r="BZ820" s="34"/>
      <c r="CA820" s="34"/>
      <c r="CB820" s="34"/>
      <c r="CC820" s="34"/>
      <c r="CD820" s="34"/>
      <c r="CE820" s="34"/>
      <c r="CF820" s="34"/>
      <c r="CG820" s="34"/>
      <c r="CH820" s="34"/>
      <c r="CI820" s="34"/>
      <c r="CJ820" s="34"/>
      <c r="CK820" s="34"/>
      <c r="CL820" s="34"/>
      <c r="CM820" s="34"/>
      <c r="CN820" s="34"/>
      <c r="CO820" s="34"/>
      <c r="CP820" s="34"/>
      <c r="CQ820" s="34"/>
      <c r="CR820" s="34"/>
      <c r="CS820" s="34"/>
      <c r="CT820" s="34"/>
      <c r="CU820" s="34"/>
      <c r="CV820" s="34"/>
      <c r="CW820" s="34"/>
      <c r="CX820" s="34"/>
      <c r="CY820" s="34"/>
      <c r="CZ820" s="34"/>
      <c r="DA820" s="34"/>
      <c r="DB820" s="34"/>
      <c r="DC820" s="34"/>
      <c r="DD820" s="34"/>
      <c r="DE820" s="34"/>
      <c r="DF820" s="34"/>
      <c r="DG820" s="34"/>
      <c r="DH820" s="34"/>
    </row>
    <row r="821" spans="1:112" customFormat="1" ht="136" x14ac:dyDescent="0.2">
      <c r="A821" s="7" t="s">
        <v>5616</v>
      </c>
      <c r="B821" s="7" t="s">
        <v>5617</v>
      </c>
      <c r="C821" s="2" t="s">
        <v>5617</v>
      </c>
      <c r="D821" s="5">
        <v>5</v>
      </c>
      <c r="E821" s="6" t="s">
        <v>23</v>
      </c>
      <c r="F821" s="6"/>
      <c r="G821" s="6" t="s">
        <v>2190</v>
      </c>
      <c r="H821" s="6" t="s">
        <v>6054</v>
      </c>
      <c r="I821" s="2" t="s">
        <v>6803</v>
      </c>
      <c r="J821" s="34" t="s">
        <v>763</v>
      </c>
      <c r="K821" s="34" t="s">
        <v>859</v>
      </c>
      <c r="L821" s="34" t="s">
        <v>860</v>
      </c>
      <c r="M821" s="34" t="s">
        <v>861</v>
      </c>
      <c r="N821" s="34" t="s">
        <v>5618</v>
      </c>
      <c r="O821" s="34" t="s">
        <v>5619</v>
      </c>
      <c r="P821" s="34" t="s">
        <v>2286</v>
      </c>
      <c r="Q821" s="34" t="s">
        <v>41</v>
      </c>
      <c r="R821" s="34" t="s">
        <v>32</v>
      </c>
      <c r="S821" s="34" t="s">
        <v>33</v>
      </c>
      <c r="T821" s="34" t="s">
        <v>5620</v>
      </c>
      <c r="U821" s="34" t="s">
        <v>5621</v>
      </c>
      <c r="V821" s="34" t="s">
        <v>5621</v>
      </c>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34"/>
      <c r="BU821" s="34"/>
      <c r="BV821" s="34"/>
      <c r="BW821" s="34"/>
      <c r="BX821" s="34"/>
      <c r="BY821" s="34"/>
      <c r="BZ821" s="34"/>
      <c r="CA821" s="34"/>
      <c r="CB821" s="34"/>
      <c r="CC821" s="34"/>
      <c r="CD821" s="34"/>
      <c r="CE821" s="34"/>
      <c r="CF821" s="34"/>
      <c r="CG821" s="34"/>
      <c r="CH821" s="34"/>
      <c r="CI821" s="34"/>
      <c r="CJ821" s="34"/>
      <c r="CK821" s="34"/>
      <c r="CL821" s="34"/>
      <c r="CM821" s="34"/>
      <c r="CN821" s="34"/>
      <c r="CO821" s="34"/>
      <c r="CP821" s="34"/>
      <c r="CQ821" s="34"/>
      <c r="CR821" s="34"/>
      <c r="CS821" s="34"/>
      <c r="CT821" s="34"/>
      <c r="CU821" s="34"/>
      <c r="CV821" s="34"/>
      <c r="CW821" s="34"/>
      <c r="CX821" s="34"/>
      <c r="CY821" s="34"/>
      <c r="CZ821" s="34"/>
      <c r="DA821" s="34"/>
      <c r="DB821" s="34"/>
      <c r="DC821" s="34"/>
      <c r="DD821" s="34"/>
      <c r="DE821" s="34"/>
      <c r="DF821" s="34"/>
      <c r="DG821" s="34"/>
      <c r="DH821" s="34"/>
    </row>
    <row r="822" spans="1:112" customFormat="1" ht="136" x14ac:dyDescent="0.2">
      <c r="A822" s="7" t="s">
        <v>5634</v>
      </c>
      <c r="B822" s="7" t="s">
        <v>5635</v>
      </c>
      <c r="C822" s="2" t="s">
        <v>5635</v>
      </c>
      <c r="D822" s="5">
        <v>5</v>
      </c>
      <c r="E822" s="6" t="s">
        <v>23</v>
      </c>
      <c r="F822" s="6"/>
      <c r="G822" s="6" t="s">
        <v>2190</v>
      </c>
      <c r="H822" s="6" t="s">
        <v>6054</v>
      </c>
      <c r="I822" s="6" t="s">
        <v>6803</v>
      </c>
      <c r="J822" s="34" t="s">
        <v>763</v>
      </c>
      <c r="K822" s="34" t="s">
        <v>859</v>
      </c>
      <c r="L822" s="34" t="s">
        <v>860</v>
      </c>
      <c r="M822" s="34" t="s">
        <v>861</v>
      </c>
      <c r="N822" s="34" t="s">
        <v>5636</v>
      </c>
      <c r="O822" s="34" t="s">
        <v>848</v>
      </c>
      <c r="P822" s="34" t="s">
        <v>2326</v>
      </c>
      <c r="Q822" s="34" t="s">
        <v>93</v>
      </c>
      <c r="R822" s="34" t="s">
        <v>32</v>
      </c>
      <c r="S822" s="34" t="s">
        <v>33</v>
      </c>
      <c r="T822" s="34" t="s">
        <v>5637</v>
      </c>
      <c r="U822" s="34" t="s">
        <v>5638</v>
      </c>
      <c r="V822" s="34" t="s">
        <v>5638</v>
      </c>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34"/>
      <c r="BU822" s="34"/>
      <c r="BV822" s="34"/>
      <c r="BW822" s="34"/>
      <c r="BX822" s="34"/>
      <c r="BY822" s="34"/>
      <c r="BZ822" s="34"/>
      <c r="CA822" s="34"/>
      <c r="CB822" s="34"/>
      <c r="CC822" s="34"/>
      <c r="CD822" s="34"/>
      <c r="CE822" s="34"/>
      <c r="CF822" s="34"/>
      <c r="CG822" s="34"/>
      <c r="CH822" s="34"/>
      <c r="CI822" s="34"/>
      <c r="CJ822" s="34"/>
      <c r="CK822" s="34"/>
      <c r="CL822" s="34"/>
      <c r="CM822" s="34"/>
      <c r="CN822" s="34"/>
      <c r="CO822" s="34"/>
      <c r="CP822" s="34"/>
      <c r="CQ822" s="34"/>
      <c r="CR822" s="34"/>
      <c r="CS822" s="34"/>
      <c r="CT822" s="34"/>
      <c r="CU822" s="34"/>
      <c r="CV822" s="34"/>
      <c r="CW822" s="34"/>
      <c r="CX822" s="34"/>
      <c r="CY822" s="34"/>
      <c r="CZ822" s="34"/>
      <c r="DA822" s="34"/>
      <c r="DB822" s="34"/>
      <c r="DC822" s="34"/>
      <c r="DD822" s="34"/>
      <c r="DE822" s="34"/>
      <c r="DF822" s="34"/>
      <c r="DG822" s="34"/>
      <c r="DH822" s="34"/>
    </row>
    <row r="823" spans="1:112" customFormat="1" ht="136" x14ac:dyDescent="0.2">
      <c r="A823" s="7" t="s">
        <v>5639</v>
      </c>
      <c r="B823" s="7" t="s">
        <v>5640</v>
      </c>
      <c r="C823" s="2" t="s">
        <v>5640</v>
      </c>
      <c r="D823" s="5">
        <v>5</v>
      </c>
      <c r="E823" s="6" t="s">
        <v>23</v>
      </c>
      <c r="F823" s="6"/>
      <c r="G823" s="6" t="s">
        <v>2190</v>
      </c>
      <c r="H823" s="6" t="s">
        <v>6054</v>
      </c>
      <c r="I823" s="6" t="s">
        <v>6803</v>
      </c>
      <c r="J823" s="34" t="s">
        <v>763</v>
      </c>
      <c r="K823" s="34" t="s">
        <v>859</v>
      </c>
      <c r="L823" s="34" t="s">
        <v>860</v>
      </c>
      <c r="M823" s="34" t="s">
        <v>861</v>
      </c>
      <c r="N823" s="34" t="s">
        <v>5641</v>
      </c>
      <c r="O823" s="34" t="s">
        <v>848</v>
      </c>
      <c r="P823" s="34" t="s">
        <v>2753</v>
      </c>
      <c r="Q823" s="34" t="s">
        <v>41</v>
      </c>
      <c r="R823" s="34" t="s">
        <v>32</v>
      </c>
      <c r="S823" s="34" t="s">
        <v>33</v>
      </c>
      <c r="T823" s="34" t="s">
        <v>5642</v>
      </c>
      <c r="U823" s="34" t="s">
        <v>5643</v>
      </c>
      <c r="V823" s="34" t="s">
        <v>5643</v>
      </c>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34"/>
      <c r="BU823" s="34"/>
      <c r="BV823" s="34"/>
      <c r="BW823" s="34"/>
      <c r="BX823" s="34"/>
      <c r="BY823" s="34"/>
      <c r="BZ823" s="34"/>
      <c r="CA823" s="34"/>
      <c r="CB823" s="34"/>
      <c r="CC823" s="34"/>
      <c r="CD823" s="34"/>
      <c r="CE823" s="34"/>
      <c r="CF823" s="34"/>
      <c r="CG823" s="34"/>
      <c r="CH823" s="34"/>
      <c r="CI823" s="34"/>
      <c r="CJ823" s="34"/>
      <c r="CK823" s="34"/>
      <c r="CL823" s="34"/>
      <c r="CM823" s="34"/>
      <c r="CN823" s="34"/>
      <c r="CO823" s="34"/>
      <c r="CP823" s="34"/>
      <c r="CQ823" s="34"/>
      <c r="CR823" s="34"/>
      <c r="CS823" s="34"/>
      <c r="CT823" s="34"/>
      <c r="CU823" s="34"/>
      <c r="CV823" s="34"/>
      <c r="CW823" s="34"/>
      <c r="CX823" s="34"/>
      <c r="CY823" s="34"/>
      <c r="CZ823" s="34"/>
      <c r="DA823" s="34"/>
      <c r="DB823" s="34"/>
      <c r="DC823" s="34"/>
      <c r="DD823" s="34"/>
      <c r="DE823" s="34"/>
      <c r="DF823" s="34"/>
      <c r="DG823" s="34"/>
      <c r="DH823" s="34"/>
    </row>
    <row r="824" spans="1:112" customFormat="1" ht="136" x14ac:dyDescent="0.2">
      <c r="A824" s="7" t="s">
        <v>5644</v>
      </c>
      <c r="B824" s="7" t="s">
        <v>5645</v>
      </c>
      <c r="C824" s="2" t="s">
        <v>5645</v>
      </c>
      <c r="D824" s="5">
        <v>5</v>
      </c>
      <c r="E824" s="6" t="s">
        <v>23</v>
      </c>
      <c r="F824" s="6"/>
      <c r="G824" s="6" t="s">
        <v>2190</v>
      </c>
      <c r="H824" s="6" t="s">
        <v>6054</v>
      </c>
      <c r="I824" s="6" t="s">
        <v>6803</v>
      </c>
      <c r="J824" s="34" t="s">
        <v>763</v>
      </c>
      <c r="K824" s="34" t="s">
        <v>859</v>
      </c>
      <c r="L824" s="34" t="s">
        <v>860</v>
      </c>
      <c r="M824" s="34" t="s">
        <v>861</v>
      </c>
      <c r="N824" s="34" t="s">
        <v>5646</v>
      </c>
      <c r="O824" s="34" t="s">
        <v>848</v>
      </c>
      <c r="P824" s="34" t="s">
        <v>2281</v>
      </c>
      <c r="Q824" s="34" t="s">
        <v>41</v>
      </c>
      <c r="R824" s="34" t="s">
        <v>32</v>
      </c>
      <c r="S824" s="34" t="s">
        <v>33</v>
      </c>
      <c r="T824" s="34" t="s">
        <v>5647</v>
      </c>
      <c r="U824" s="34" t="s">
        <v>5648</v>
      </c>
      <c r="V824" s="34" t="s">
        <v>5648</v>
      </c>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34"/>
      <c r="BU824" s="34"/>
      <c r="BV824" s="34"/>
      <c r="BW824" s="34"/>
      <c r="BX824" s="34"/>
      <c r="BY824" s="34"/>
      <c r="BZ824" s="34"/>
      <c r="CA824" s="34"/>
      <c r="CB824" s="34"/>
      <c r="CC824" s="34"/>
      <c r="CD824" s="34"/>
      <c r="CE824" s="34"/>
      <c r="CF824" s="34"/>
      <c r="CG824" s="34"/>
      <c r="CH824" s="34"/>
      <c r="CI824" s="34"/>
      <c r="CJ824" s="34"/>
      <c r="CK824" s="34"/>
      <c r="CL824" s="34"/>
      <c r="CM824" s="34"/>
      <c r="CN824" s="34"/>
      <c r="CO824" s="34"/>
      <c r="CP824" s="34"/>
      <c r="CQ824" s="34"/>
      <c r="CR824" s="34"/>
      <c r="CS824" s="34"/>
      <c r="CT824" s="34"/>
      <c r="CU824" s="34"/>
      <c r="CV824" s="34"/>
      <c r="CW824" s="34"/>
      <c r="CX824" s="34"/>
      <c r="CY824" s="34"/>
      <c r="CZ824" s="34"/>
      <c r="DA824" s="34"/>
      <c r="DB824" s="34"/>
      <c r="DC824" s="34"/>
      <c r="DD824" s="34"/>
      <c r="DE824" s="34"/>
      <c r="DF824" s="34"/>
      <c r="DG824" s="34"/>
      <c r="DH824" s="34"/>
    </row>
    <row r="825" spans="1:112" customFormat="1" ht="136" x14ac:dyDescent="0.2">
      <c r="A825" s="7" t="s">
        <v>6262</v>
      </c>
      <c r="B825" s="2" t="s">
        <v>6468</v>
      </c>
      <c r="C825" s="2" t="s">
        <v>6468</v>
      </c>
      <c r="D825" s="5">
        <v>5</v>
      </c>
      <c r="E825" s="6" t="s">
        <v>23</v>
      </c>
      <c r="F825" s="6"/>
      <c r="G825" s="6" t="s">
        <v>2190</v>
      </c>
      <c r="H825" s="6" t="s">
        <v>6054</v>
      </c>
      <c r="I825" s="2" t="s">
        <v>6803</v>
      </c>
      <c r="J825" s="25"/>
      <c r="K825" s="25"/>
      <c r="L825" s="25" t="s">
        <v>6767</v>
      </c>
      <c r="M825" s="25"/>
      <c r="N825" s="34" t="s">
        <v>6609</v>
      </c>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c r="BJ825" s="25"/>
      <c r="BK825" s="25"/>
      <c r="BL825" s="25"/>
      <c r="BM825" s="25"/>
      <c r="BN825" s="25"/>
      <c r="BO825" s="25"/>
      <c r="BP825" s="25"/>
      <c r="BQ825" s="25"/>
      <c r="BR825" s="25"/>
      <c r="BS825" s="25"/>
      <c r="BT825" s="25"/>
      <c r="BU825" s="25"/>
      <c r="BV825" s="25"/>
      <c r="BW825" s="25"/>
      <c r="BX825" s="25"/>
      <c r="BY825" s="25"/>
      <c r="BZ825" s="25"/>
      <c r="CA825" s="25"/>
      <c r="CB825" s="25"/>
      <c r="CC825" s="25"/>
      <c r="CD825" s="25"/>
      <c r="CE825" s="25"/>
      <c r="CF825" s="25"/>
      <c r="CG825" s="25"/>
      <c r="CH825" s="25"/>
      <c r="CI825" s="25"/>
      <c r="CJ825" s="25"/>
      <c r="CK825" s="25"/>
      <c r="CL825" s="25"/>
      <c r="CM825" s="25"/>
      <c r="CN825" s="25"/>
      <c r="CO825" s="25"/>
      <c r="CP825" s="25"/>
      <c r="CQ825" s="25"/>
      <c r="CR825" s="25"/>
      <c r="CS825" s="25"/>
      <c r="CT825" s="25"/>
      <c r="CU825" s="25"/>
      <c r="CV825" s="25"/>
      <c r="CW825" s="25"/>
      <c r="CX825" s="25"/>
      <c r="CY825" s="25"/>
      <c r="CZ825" s="25"/>
      <c r="DA825" s="25"/>
      <c r="DB825" s="25"/>
      <c r="DC825" s="25"/>
      <c r="DD825" s="25"/>
      <c r="DE825" s="25"/>
      <c r="DF825" s="25"/>
      <c r="DG825" s="25"/>
      <c r="DH825" s="25"/>
    </row>
    <row r="826" spans="1:112" customFormat="1" ht="153" x14ac:dyDescent="0.2">
      <c r="A826" s="7" t="s">
        <v>6263</v>
      </c>
      <c r="B826" s="2" t="s">
        <v>6469</v>
      </c>
      <c r="C826" s="2" t="s">
        <v>6469</v>
      </c>
      <c r="D826" s="5">
        <v>5</v>
      </c>
      <c r="E826" s="6" t="s">
        <v>23</v>
      </c>
      <c r="F826" s="6"/>
      <c r="G826" s="6" t="s">
        <v>2190</v>
      </c>
      <c r="H826" s="6" t="s">
        <v>6054</v>
      </c>
      <c r="I826" s="2" t="s">
        <v>6803</v>
      </c>
      <c r="J826" s="25"/>
      <c r="K826" s="25"/>
      <c r="L826" s="25" t="s">
        <v>6768</v>
      </c>
      <c r="M826" s="25"/>
      <c r="N826" s="34" t="s">
        <v>6610</v>
      </c>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c r="BJ826" s="25"/>
      <c r="BK826" s="25"/>
      <c r="BL826" s="25"/>
      <c r="BM826" s="25"/>
      <c r="BN826" s="25"/>
      <c r="BO826" s="25"/>
      <c r="BP826" s="25"/>
      <c r="BQ826" s="25"/>
      <c r="BR826" s="25"/>
      <c r="BS826" s="25"/>
      <c r="BT826" s="25"/>
      <c r="BU826" s="25"/>
      <c r="BV826" s="25"/>
      <c r="BW826" s="25"/>
      <c r="BX826" s="25"/>
      <c r="BY826" s="25"/>
      <c r="BZ826" s="25"/>
      <c r="CA826" s="25"/>
      <c r="CB826" s="25"/>
      <c r="CC826" s="25"/>
      <c r="CD826" s="25"/>
      <c r="CE826" s="25"/>
      <c r="CF826" s="25"/>
      <c r="CG826" s="25"/>
      <c r="CH826" s="25"/>
      <c r="CI826" s="25"/>
      <c r="CJ826" s="25"/>
      <c r="CK826" s="25"/>
      <c r="CL826" s="25"/>
      <c r="CM826" s="25"/>
      <c r="CN826" s="25"/>
      <c r="CO826" s="25"/>
      <c r="CP826" s="25"/>
      <c r="CQ826" s="25"/>
      <c r="CR826" s="25"/>
      <c r="CS826" s="25"/>
      <c r="CT826" s="25"/>
      <c r="CU826" s="25"/>
      <c r="CV826" s="25"/>
      <c r="CW826" s="25"/>
      <c r="CX826" s="25"/>
      <c r="CY826" s="25"/>
      <c r="CZ826" s="25"/>
      <c r="DA826" s="25"/>
      <c r="DB826" s="25"/>
      <c r="DC826" s="25"/>
      <c r="DD826" s="25"/>
      <c r="DE826" s="25"/>
      <c r="DF826" s="25"/>
      <c r="DG826" s="25"/>
      <c r="DH826" s="25"/>
    </row>
    <row r="827" spans="1:112" customFormat="1" ht="102" x14ac:dyDescent="0.2">
      <c r="A827" s="7" t="s">
        <v>6845</v>
      </c>
      <c r="B827" s="7" t="s">
        <v>6846</v>
      </c>
      <c r="C827" s="7" t="s">
        <v>6846</v>
      </c>
      <c r="D827" s="1">
        <v>5</v>
      </c>
      <c r="E827" s="2"/>
      <c r="F827" s="2"/>
      <c r="G827" s="2"/>
      <c r="H827" s="2"/>
      <c r="I827" s="2" t="s">
        <v>6756</v>
      </c>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c r="BJ827" s="25"/>
      <c r="BK827" s="25"/>
      <c r="BL827" s="25"/>
      <c r="BM827" s="25"/>
      <c r="BN827" s="25"/>
      <c r="BO827" s="25"/>
      <c r="BP827" s="25"/>
      <c r="BQ827" s="25"/>
      <c r="BR827" s="25"/>
      <c r="BS827" s="25"/>
      <c r="BT827" s="25"/>
      <c r="BU827" s="25"/>
      <c r="BV827" s="25"/>
      <c r="BW827" s="25"/>
      <c r="BX827" s="25"/>
      <c r="BY827" s="25"/>
      <c r="BZ827" s="25"/>
      <c r="CA827" s="25"/>
      <c r="CB827" s="25"/>
      <c r="CC827" s="25"/>
      <c r="CD827" s="25"/>
      <c r="CE827" s="25"/>
      <c r="CF827" s="25"/>
      <c r="CG827" s="25"/>
      <c r="CH827" s="25"/>
      <c r="CI827" s="25"/>
      <c r="CJ827" s="25"/>
      <c r="CK827" s="25"/>
      <c r="CL827" s="25"/>
      <c r="CM827" s="25"/>
      <c r="CN827" s="25"/>
      <c r="CO827" s="25"/>
      <c r="CP827" s="25"/>
      <c r="CQ827" s="25"/>
      <c r="CR827" s="25"/>
      <c r="CS827" s="25"/>
      <c r="CT827" s="25"/>
      <c r="CU827" s="25"/>
      <c r="CV827" s="25"/>
      <c r="CW827" s="25"/>
      <c r="CX827" s="25"/>
      <c r="CY827" s="25"/>
      <c r="CZ827" s="25"/>
      <c r="DA827" s="25"/>
      <c r="DB827" s="25"/>
      <c r="DC827" s="25"/>
      <c r="DD827" s="25"/>
      <c r="DE827" s="25"/>
      <c r="DF827" s="25"/>
      <c r="DG827" s="25"/>
      <c r="DH827" s="25"/>
    </row>
    <row r="828" spans="1:112" customFormat="1" ht="119" x14ac:dyDescent="0.2">
      <c r="A828" s="7" t="s">
        <v>6251</v>
      </c>
      <c r="B828" s="7" t="s">
        <v>6457</v>
      </c>
      <c r="C828" s="7" t="s">
        <v>6457</v>
      </c>
      <c r="D828" s="1">
        <v>5</v>
      </c>
      <c r="E828" s="2" t="s">
        <v>23</v>
      </c>
      <c r="F828" s="2"/>
      <c r="G828" s="2"/>
      <c r="H828" s="2"/>
      <c r="I828" s="2" t="s">
        <v>762</v>
      </c>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c r="BJ828" s="25"/>
      <c r="BK828" s="25"/>
      <c r="BL828" s="25"/>
      <c r="BM828" s="25"/>
      <c r="BN828" s="25"/>
      <c r="BO828" s="25"/>
      <c r="BP828" s="25"/>
      <c r="BQ828" s="25"/>
      <c r="BR828" s="25"/>
      <c r="BS828" s="25"/>
      <c r="BT828" s="25"/>
      <c r="BU828" s="25"/>
      <c r="BV828" s="25"/>
      <c r="BW828" s="25"/>
      <c r="BX828" s="25"/>
      <c r="BY828" s="25"/>
      <c r="BZ828" s="25"/>
      <c r="CA828" s="25"/>
      <c r="CB828" s="25"/>
      <c r="CC828" s="25"/>
      <c r="CD828" s="25"/>
      <c r="CE828" s="25"/>
      <c r="CF828" s="25"/>
      <c r="CG828" s="25"/>
      <c r="CH828" s="25"/>
      <c r="CI828" s="25"/>
      <c r="CJ828" s="25"/>
      <c r="CK828" s="25"/>
      <c r="CL828" s="25"/>
      <c r="CM828" s="25"/>
      <c r="CN828" s="25"/>
      <c r="CO828" s="25"/>
      <c r="CP828" s="25"/>
      <c r="CQ828" s="25"/>
      <c r="CR828" s="25"/>
      <c r="CS828" s="25"/>
      <c r="CT828" s="25"/>
      <c r="CU828" s="25"/>
      <c r="CV828" s="25"/>
      <c r="CW828" s="25"/>
      <c r="CX828" s="25"/>
      <c r="CY828" s="25"/>
      <c r="CZ828" s="25"/>
      <c r="DA828" s="25"/>
      <c r="DB828" s="25"/>
      <c r="DC828" s="25"/>
      <c r="DD828" s="25"/>
      <c r="DE828" s="25"/>
      <c r="DF828" s="25"/>
      <c r="DG828" s="25"/>
      <c r="DH828" s="25"/>
    </row>
    <row r="829" spans="1:112" customFormat="1" ht="119" x14ac:dyDescent="0.2">
      <c r="A829" s="7" t="s">
        <v>5551</v>
      </c>
      <c r="B829" s="7" t="s">
        <v>5552</v>
      </c>
      <c r="C829" s="7" t="s">
        <v>5552</v>
      </c>
      <c r="D829" s="1">
        <v>5</v>
      </c>
      <c r="E829" s="2" t="s">
        <v>23</v>
      </c>
      <c r="F829" s="2"/>
      <c r="G829" s="2"/>
      <c r="H829" s="2"/>
      <c r="I829" s="2" t="s">
        <v>762</v>
      </c>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c r="BJ829" s="25"/>
      <c r="BK829" s="25"/>
      <c r="BL829" s="25"/>
      <c r="BM829" s="25"/>
      <c r="BN829" s="25"/>
      <c r="BO829" s="25"/>
      <c r="BP829" s="25"/>
      <c r="BQ829" s="25"/>
      <c r="BR829" s="25"/>
      <c r="BS829" s="25"/>
      <c r="BT829" s="25"/>
      <c r="BU829" s="25"/>
      <c r="BV829" s="25"/>
      <c r="BW829" s="25"/>
      <c r="BX829" s="25"/>
      <c r="BY829" s="25"/>
      <c r="BZ829" s="25"/>
      <c r="CA829" s="25"/>
      <c r="CB829" s="25"/>
      <c r="CC829" s="25"/>
      <c r="CD829" s="25"/>
      <c r="CE829" s="25"/>
      <c r="CF829" s="25"/>
      <c r="CG829" s="25"/>
      <c r="CH829" s="25"/>
      <c r="CI829" s="25"/>
      <c r="CJ829" s="25"/>
      <c r="CK829" s="25"/>
      <c r="CL829" s="25"/>
      <c r="CM829" s="25"/>
      <c r="CN829" s="25"/>
      <c r="CO829" s="25"/>
      <c r="CP829" s="25"/>
      <c r="CQ829" s="25"/>
      <c r="CR829" s="25"/>
      <c r="CS829" s="25"/>
      <c r="CT829" s="25"/>
      <c r="CU829" s="25"/>
      <c r="CV829" s="25"/>
      <c r="CW829" s="25"/>
      <c r="CX829" s="25"/>
      <c r="CY829" s="25"/>
      <c r="CZ829" s="25"/>
      <c r="DA829" s="25"/>
      <c r="DB829" s="25"/>
      <c r="DC829" s="25"/>
      <c r="DD829" s="25"/>
      <c r="DE829" s="25"/>
      <c r="DF829" s="25"/>
      <c r="DG829" s="25"/>
      <c r="DH829" s="25"/>
    </row>
    <row r="830" spans="1:112" customFormat="1" ht="119" x14ac:dyDescent="0.2">
      <c r="A830" s="7" t="s">
        <v>6851</v>
      </c>
      <c r="B830" s="7" t="s">
        <v>6852</v>
      </c>
      <c r="C830" s="7" t="s">
        <v>6852</v>
      </c>
      <c r="D830" s="1">
        <v>5</v>
      </c>
      <c r="E830" s="2" t="s">
        <v>23</v>
      </c>
      <c r="F830" s="2"/>
      <c r="G830" s="2"/>
      <c r="H830" s="2"/>
      <c r="I830" s="2" t="s">
        <v>762</v>
      </c>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c r="BM830" s="25"/>
      <c r="BN830" s="25"/>
      <c r="BO830" s="25"/>
      <c r="BP830" s="25"/>
      <c r="BQ830" s="25"/>
      <c r="BR830" s="25"/>
      <c r="BS830" s="25"/>
      <c r="BT830" s="25"/>
      <c r="BU830" s="25"/>
      <c r="BV830" s="25"/>
      <c r="BW830" s="25"/>
      <c r="BX830" s="25"/>
      <c r="BY830" s="25"/>
      <c r="BZ830" s="25"/>
      <c r="CA830" s="25"/>
      <c r="CB830" s="25"/>
      <c r="CC830" s="25"/>
      <c r="CD830" s="25"/>
      <c r="CE830" s="25"/>
      <c r="CF830" s="25"/>
      <c r="CG830" s="25"/>
      <c r="CH830" s="25"/>
      <c r="CI830" s="25"/>
      <c r="CJ830" s="25"/>
      <c r="CK830" s="25"/>
      <c r="CL830" s="25"/>
      <c r="CM830" s="25"/>
      <c r="CN830" s="25"/>
      <c r="CO830" s="25"/>
      <c r="CP830" s="25"/>
      <c r="CQ830" s="25"/>
      <c r="CR830" s="25"/>
      <c r="CS830" s="25"/>
      <c r="CT830" s="25"/>
      <c r="CU830" s="25"/>
      <c r="CV830" s="25"/>
      <c r="CW830" s="25"/>
      <c r="CX830" s="25"/>
      <c r="CY830" s="25"/>
      <c r="CZ830" s="25"/>
      <c r="DA830" s="25"/>
      <c r="DB830" s="25"/>
      <c r="DC830" s="25"/>
      <c r="DD830" s="25"/>
      <c r="DE830" s="25"/>
      <c r="DF830" s="25"/>
      <c r="DG830" s="25"/>
      <c r="DH830" s="25"/>
    </row>
    <row r="831" spans="1:112" customFormat="1" ht="119" x14ac:dyDescent="0.2">
      <c r="A831" s="7" t="s">
        <v>6853</v>
      </c>
      <c r="B831" s="7" t="s">
        <v>6854</v>
      </c>
      <c r="C831" s="7" t="s">
        <v>6854</v>
      </c>
      <c r="D831" s="1">
        <v>5</v>
      </c>
      <c r="E831" s="2" t="s">
        <v>23</v>
      </c>
      <c r="F831" s="2"/>
      <c r="G831" s="2"/>
      <c r="H831" s="2"/>
      <c r="I831" s="2" t="s">
        <v>762</v>
      </c>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c r="BM831" s="25"/>
      <c r="BN831" s="25"/>
      <c r="BO831" s="25"/>
      <c r="BP831" s="25"/>
      <c r="BQ831" s="25"/>
      <c r="BR831" s="25"/>
      <c r="BS831" s="25"/>
      <c r="BT831" s="25"/>
      <c r="BU831" s="25"/>
      <c r="BV831" s="25"/>
      <c r="BW831" s="25"/>
      <c r="BX831" s="25"/>
      <c r="BY831" s="25"/>
      <c r="BZ831" s="25"/>
      <c r="CA831" s="25"/>
      <c r="CB831" s="25"/>
      <c r="CC831" s="25"/>
      <c r="CD831" s="25"/>
      <c r="CE831" s="25"/>
      <c r="CF831" s="25"/>
      <c r="CG831" s="25"/>
      <c r="CH831" s="25"/>
      <c r="CI831" s="25"/>
      <c r="CJ831" s="25"/>
      <c r="CK831" s="25"/>
      <c r="CL831" s="25"/>
      <c r="CM831" s="25"/>
      <c r="CN831" s="25"/>
      <c r="CO831" s="25"/>
      <c r="CP831" s="25"/>
      <c r="CQ831" s="25"/>
      <c r="CR831" s="25"/>
      <c r="CS831" s="25"/>
      <c r="CT831" s="25"/>
      <c r="CU831" s="25"/>
      <c r="CV831" s="25"/>
      <c r="CW831" s="25"/>
      <c r="CX831" s="25"/>
      <c r="CY831" s="25"/>
      <c r="CZ831" s="25"/>
      <c r="DA831" s="25"/>
      <c r="DB831" s="25"/>
      <c r="DC831" s="25"/>
      <c r="DD831" s="25"/>
      <c r="DE831" s="25"/>
      <c r="DF831" s="25"/>
      <c r="DG831" s="25"/>
      <c r="DH831" s="25"/>
    </row>
    <row r="832" spans="1:112" customFormat="1" ht="119" x14ac:dyDescent="0.2">
      <c r="A832" s="7" t="s">
        <v>6855</v>
      </c>
      <c r="B832" s="7" t="s">
        <v>6856</v>
      </c>
      <c r="C832" s="7" t="s">
        <v>6856</v>
      </c>
      <c r="D832" s="1">
        <v>5</v>
      </c>
      <c r="E832" s="2" t="s">
        <v>23</v>
      </c>
      <c r="F832" s="2"/>
      <c r="G832" s="2"/>
      <c r="H832" s="2"/>
      <c r="I832" s="2" t="s">
        <v>762</v>
      </c>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c r="BM832" s="25"/>
      <c r="BN832" s="25"/>
      <c r="BO832" s="25"/>
      <c r="BP832" s="25"/>
      <c r="BQ832" s="25"/>
      <c r="BR832" s="25"/>
      <c r="BS832" s="25"/>
      <c r="BT832" s="25"/>
      <c r="BU832" s="25"/>
      <c r="BV832" s="25"/>
      <c r="BW832" s="25"/>
      <c r="BX832" s="25"/>
      <c r="BY832" s="25"/>
      <c r="BZ832" s="25"/>
      <c r="CA832" s="25"/>
      <c r="CB832" s="25"/>
      <c r="CC832" s="25"/>
      <c r="CD832" s="25"/>
      <c r="CE832" s="25"/>
      <c r="CF832" s="25"/>
      <c r="CG832" s="25"/>
      <c r="CH832" s="25"/>
      <c r="CI832" s="25"/>
      <c r="CJ832" s="25"/>
      <c r="CK832" s="25"/>
      <c r="CL832" s="25"/>
      <c r="CM832" s="25"/>
      <c r="CN832" s="25"/>
      <c r="CO832" s="25"/>
      <c r="CP832" s="25"/>
      <c r="CQ832" s="25"/>
      <c r="CR832" s="25"/>
      <c r="CS832" s="25"/>
      <c r="CT832" s="25"/>
      <c r="CU832" s="25"/>
      <c r="CV832" s="25"/>
      <c r="CW832" s="25"/>
      <c r="CX832" s="25"/>
      <c r="CY832" s="25"/>
      <c r="CZ832" s="25"/>
      <c r="DA832" s="25"/>
      <c r="DB832" s="25"/>
      <c r="DC832" s="25"/>
      <c r="DD832" s="25"/>
      <c r="DE832" s="25"/>
      <c r="DF832" s="25"/>
      <c r="DG832" s="25"/>
      <c r="DH832" s="25"/>
    </row>
    <row r="833" spans="1:112" customFormat="1" ht="119" x14ac:dyDescent="0.2">
      <c r="A833" s="7" t="s">
        <v>6857</v>
      </c>
      <c r="B833" s="7" t="s">
        <v>6858</v>
      </c>
      <c r="C833" s="7" t="s">
        <v>6858</v>
      </c>
      <c r="D833" s="1">
        <v>5</v>
      </c>
      <c r="E833" s="2" t="s">
        <v>23</v>
      </c>
      <c r="F833" s="2"/>
      <c r="G833" s="2"/>
      <c r="H833" s="2"/>
      <c r="I833" s="2" t="s">
        <v>762</v>
      </c>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c r="BM833" s="25"/>
      <c r="BN833" s="25"/>
      <c r="BO833" s="25"/>
      <c r="BP833" s="25"/>
      <c r="BQ833" s="25"/>
      <c r="BR833" s="25"/>
      <c r="BS833" s="25"/>
      <c r="BT833" s="25"/>
      <c r="BU833" s="25"/>
      <c r="BV833" s="25"/>
      <c r="BW833" s="25"/>
      <c r="BX833" s="25"/>
      <c r="BY833" s="25"/>
      <c r="BZ833" s="25"/>
      <c r="CA833" s="25"/>
      <c r="CB833" s="25"/>
      <c r="CC833" s="25"/>
      <c r="CD833" s="25"/>
      <c r="CE833" s="25"/>
      <c r="CF833" s="25"/>
      <c r="CG833" s="25"/>
      <c r="CH833" s="25"/>
      <c r="CI833" s="25"/>
      <c r="CJ833" s="25"/>
      <c r="CK833" s="25"/>
      <c r="CL833" s="25"/>
      <c r="CM833" s="25"/>
      <c r="CN833" s="25"/>
      <c r="CO833" s="25"/>
      <c r="CP833" s="25"/>
      <c r="CQ833" s="25"/>
      <c r="CR833" s="25"/>
      <c r="CS833" s="25"/>
      <c r="CT833" s="25"/>
      <c r="CU833" s="25"/>
      <c r="CV833" s="25"/>
      <c r="CW833" s="25"/>
      <c r="CX833" s="25"/>
      <c r="CY833" s="25"/>
      <c r="CZ833" s="25"/>
      <c r="DA833" s="25"/>
      <c r="DB833" s="25"/>
      <c r="DC833" s="25"/>
      <c r="DD833" s="25"/>
      <c r="DE833" s="25"/>
      <c r="DF833" s="25"/>
      <c r="DG833" s="25"/>
      <c r="DH833" s="25"/>
    </row>
    <row r="834" spans="1:112" customFormat="1" ht="119" x14ac:dyDescent="0.2">
      <c r="A834" s="7" t="s">
        <v>6859</v>
      </c>
      <c r="B834" s="7" t="s">
        <v>6860</v>
      </c>
      <c r="C834" s="7" t="s">
        <v>6860</v>
      </c>
      <c r="D834" s="1">
        <v>5</v>
      </c>
      <c r="E834" s="2" t="s">
        <v>23</v>
      </c>
      <c r="F834" s="2"/>
      <c r="G834" s="2"/>
      <c r="H834" s="2"/>
      <c r="I834" s="2" t="s">
        <v>762</v>
      </c>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c r="BM834" s="25"/>
      <c r="BN834" s="25"/>
      <c r="BO834" s="25"/>
      <c r="BP834" s="25"/>
      <c r="BQ834" s="25"/>
      <c r="BR834" s="25"/>
      <c r="BS834" s="25"/>
      <c r="BT834" s="25"/>
      <c r="BU834" s="25"/>
      <c r="BV834" s="25"/>
      <c r="BW834" s="25"/>
      <c r="BX834" s="25"/>
      <c r="BY834" s="25"/>
      <c r="BZ834" s="25"/>
      <c r="CA834" s="25"/>
      <c r="CB834" s="25"/>
      <c r="CC834" s="25"/>
      <c r="CD834" s="25"/>
      <c r="CE834" s="25"/>
      <c r="CF834" s="25"/>
      <c r="CG834" s="25"/>
      <c r="CH834" s="25"/>
      <c r="CI834" s="25"/>
      <c r="CJ834" s="25"/>
      <c r="CK834" s="25"/>
      <c r="CL834" s="25"/>
      <c r="CM834" s="25"/>
      <c r="CN834" s="25"/>
      <c r="CO834" s="25"/>
      <c r="CP834" s="25"/>
      <c r="CQ834" s="25"/>
      <c r="CR834" s="25"/>
      <c r="CS834" s="25"/>
      <c r="CT834" s="25"/>
      <c r="CU834" s="25"/>
      <c r="CV834" s="25"/>
      <c r="CW834" s="25"/>
      <c r="CX834" s="25"/>
      <c r="CY834" s="25"/>
      <c r="CZ834" s="25"/>
      <c r="DA834" s="25"/>
      <c r="DB834" s="25"/>
      <c r="DC834" s="25"/>
      <c r="DD834" s="25"/>
      <c r="DE834" s="25"/>
      <c r="DF834" s="25"/>
      <c r="DG834" s="25"/>
      <c r="DH834" s="25"/>
    </row>
    <row r="835" spans="1:112" customFormat="1" ht="119" x14ac:dyDescent="0.2">
      <c r="A835" s="7" t="s">
        <v>6861</v>
      </c>
      <c r="B835" s="7" t="s">
        <v>6862</v>
      </c>
      <c r="C835" s="7" t="s">
        <v>6862</v>
      </c>
      <c r="D835" s="1">
        <v>5</v>
      </c>
      <c r="E835" s="2" t="s">
        <v>23</v>
      </c>
      <c r="F835" s="2"/>
      <c r="G835" s="2"/>
      <c r="H835" s="2"/>
      <c r="I835" s="2" t="s">
        <v>762</v>
      </c>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c r="BM835" s="25"/>
      <c r="BN835" s="25"/>
      <c r="BO835" s="25"/>
      <c r="BP835" s="25"/>
      <c r="BQ835" s="25"/>
      <c r="BR835" s="25"/>
      <c r="BS835" s="25"/>
      <c r="BT835" s="25"/>
      <c r="BU835" s="25"/>
      <c r="BV835" s="25"/>
      <c r="BW835" s="25"/>
      <c r="BX835" s="25"/>
      <c r="BY835" s="25"/>
      <c r="BZ835" s="25"/>
      <c r="CA835" s="25"/>
      <c r="CB835" s="25"/>
      <c r="CC835" s="25"/>
      <c r="CD835" s="25"/>
      <c r="CE835" s="25"/>
      <c r="CF835" s="25"/>
      <c r="CG835" s="25"/>
      <c r="CH835" s="25"/>
      <c r="CI835" s="25"/>
      <c r="CJ835" s="25"/>
      <c r="CK835" s="25"/>
      <c r="CL835" s="25"/>
      <c r="CM835" s="25"/>
      <c r="CN835" s="25"/>
      <c r="CO835" s="25"/>
      <c r="CP835" s="25"/>
      <c r="CQ835" s="25"/>
      <c r="CR835" s="25"/>
      <c r="CS835" s="25"/>
      <c r="CT835" s="25"/>
      <c r="CU835" s="25"/>
      <c r="CV835" s="25"/>
      <c r="CW835" s="25"/>
      <c r="CX835" s="25"/>
      <c r="CY835" s="25"/>
      <c r="CZ835" s="25"/>
      <c r="DA835" s="25"/>
      <c r="DB835" s="25"/>
      <c r="DC835" s="25"/>
      <c r="DD835" s="25"/>
      <c r="DE835" s="25"/>
      <c r="DF835" s="25"/>
      <c r="DG835" s="25"/>
      <c r="DH835" s="25"/>
    </row>
    <row r="836" spans="1:112" customFormat="1" ht="119" x14ac:dyDescent="0.2">
      <c r="A836" s="7" t="s">
        <v>6863</v>
      </c>
      <c r="B836" s="7" t="s">
        <v>6864</v>
      </c>
      <c r="C836" s="7" t="s">
        <v>6864</v>
      </c>
      <c r="D836" s="1">
        <v>5</v>
      </c>
      <c r="E836" s="2" t="s">
        <v>23</v>
      </c>
      <c r="F836" s="2"/>
      <c r="G836" s="2"/>
      <c r="H836" s="2"/>
      <c r="I836" s="2" t="s">
        <v>762</v>
      </c>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c r="BM836" s="25"/>
      <c r="BN836" s="25"/>
      <c r="BO836" s="25"/>
      <c r="BP836" s="25"/>
      <c r="BQ836" s="25"/>
      <c r="BR836" s="25"/>
      <c r="BS836" s="25"/>
      <c r="BT836" s="25"/>
      <c r="BU836" s="25"/>
      <c r="BV836" s="25"/>
      <c r="BW836" s="25"/>
      <c r="BX836" s="25"/>
      <c r="BY836" s="25"/>
      <c r="BZ836" s="25"/>
      <c r="CA836" s="25"/>
      <c r="CB836" s="25"/>
      <c r="CC836" s="25"/>
      <c r="CD836" s="25"/>
      <c r="CE836" s="25"/>
      <c r="CF836" s="25"/>
      <c r="CG836" s="25"/>
      <c r="CH836" s="25"/>
      <c r="CI836" s="25"/>
      <c r="CJ836" s="25"/>
      <c r="CK836" s="25"/>
      <c r="CL836" s="25"/>
      <c r="CM836" s="25"/>
      <c r="CN836" s="25"/>
      <c r="CO836" s="25"/>
      <c r="CP836" s="25"/>
      <c r="CQ836" s="25"/>
      <c r="CR836" s="25"/>
      <c r="CS836" s="25"/>
      <c r="CT836" s="25"/>
      <c r="CU836" s="25"/>
      <c r="CV836" s="25"/>
      <c r="CW836" s="25"/>
      <c r="CX836" s="25"/>
      <c r="CY836" s="25"/>
      <c r="CZ836" s="25"/>
      <c r="DA836" s="25"/>
      <c r="DB836" s="25"/>
      <c r="DC836" s="25"/>
      <c r="DD836" s="25"/>
      <c r="DE836" s="25"/>
      <c r="DF836" s="25"/>
      <c r="DG836" s="25"/>
      <c r="DH836" s="25"/>
    </row>
    <row r="837" spans="1:112" customFormat="1" ht="136" x14ac:dyDescent="0.2">
      <c r="A837" s="7" t="s">
        <v>5602</v>
      </c>
      <c r="B837" s="7" t="s">
        <v>5603</v>
      </c>
      <c r="C837" s="7" t="s">
        <v>5603</v>
      </c>
      <c r="D837" s="5">
        <v>5</v>
      </c>
      <c r="E837" s="6" t="s">
        <v>23</v>
      </c>
      <c r="F837" s="6"/>
      <c r="G837" s="6" t="s">
        <v>2190</v>
      </c>
      <c r="H837" s="6" t="s">
        <v>6054</v>
      </c>
      <c r="I837" s="6" t="s">
        <v>6803</v>
      </c>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c r="BM837" s="25"/>
      <c r="BN837" s="25"/>
      <c r="BO837" s="25"/>
      <c r="BP837" s="25"/>
      <c r="BQ837" s="25"/>
      <c r="BR837" s="25"/>
      <c r="BS837" s="25"/>
      <c r="BT837" s="25"/>
      <c r="BU837" s="25"/>
      <c r="BV837" s="25"/>
      <c r="BW837" s="25"/>
      <c r="BX837" s="25"/>
      <c r="BY837" s="25"/>
      <c r="BZ837" s="25"/>
      <c r="CA837" s="25"/>
      <c r="CB837" s="25"/>
      <c r="CC837" s="25"/>
      <c r="CD837" s="25"/>
      <c r="CE837" s="25"/>
      <c r="CF837" s="25"/>
      <c r="CG837" s="25"/>
      <c r="CH837" s="25"/>
      <c r="CI837" s="25"/>
      <c r="CJ837" s="25"/>
      <c r="CK837" s="25"/>
      <c r="CL837" s="25"/>
      <c r="CM837" s="25"/>
      <c r="CN837" s="25"/>
      <c r="CO837" s="25"/>
      <c r="CP837" s="25"/>
      <c r="CQ837" s="25"/>
      <c r="CR837" s="25"/>
      <c r="CS837" s="25"/>
      <c r="CT837" s="25"/>
      <c r="CU837" s="25"/>
      <c r="CV837" s="25"/>
      <c r="CW837" s="25"/>
      <c r="CX837" s="25"/>
      <c r="CY837" s="25"/>
      <c r="CZ837" s="25"/>
      <c r="DA837" s="25"/>
      <c r="DB837" s="25"/>
      <c r="DC837" s="25"/>
      <c r="DD837" s="25"/>
      <c r="DE837" s="25"/>
      <c r="DF837" s="25"/>
      <c r="DG837" s="25"/>
      <c r="DH837" s="25"/>
    </row>
    <row r="838" spans="1:112" customFormat="1" ht="136" x14ac:dyDescent="0.2">
      <c r="A838" s="7" t="s">
        <v>6865</v>
      </c>
      <c r="B838" s="7" t="s">
        <v>6866</v>
      </c>
      <c r="C838" s="7" t="s">
        <v>6866</v>
      </c>
      <c r="D838" s="5">
        <v>5</v>
      </c>
      <c r="E838" s="6" t="s">
        <v>23</v>
      </c>
      <c r="F838" s="6"/>
      <c r="G838" s="6" t="s">
        <v>2190</v>
      </c>
      <c r="H838" s="6" t="s">
        <v>6054</v>
      </c>
      <c r="I838" s="6" t="s">
        <v>6803</v>
      </c>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c r="BM838" s="25"/>
      <c r="BN838" s="25"/>
      <c r="BO838" s="25"/>
      <c r="BP838" s="25"/>
      <c r="BQ838" s="25"/>
      <c r="BR838" s="25"/>
      <c r="BS838" s="25"/>
      <c r="BT838" s="25"/>
      <c r="BU838" s="25"/>
      <c r="BV838" s="25"/>
      <c r="BW838" s="25"/>
      <c r="BX838" s="25"/>
      <c r="BY838" s="25"/>
      <c r="BZ838" s="25"/>
      <c r="CA838" s="25"/>
      <c r="CB838" s="25"/>
      <c r="CC838" s="25"/>
      <c r="CD838" s="25"/>
      <c r="CE838" s="25"/>
      <c r="CF838" s="25"/>
      <c r="CG838" s="25"/>
      <c r="CH838" s="25"/>
      <c r="CI838" s="25"/>
      <c r="CJ838" s="25"/>
      <c r="CK838" s="25"/>
      <c r="CL838" s="25"/>
      <c r="CM838" s="25"/>
      <c r="CN838" s="25"/>
      <c r="CO838" s="25"/>
      <c r="CP838" s="25"/>
      <c r="CQ838" s="25"/>
      <c r="CR838" s="25"/>
      <c r="CS838" s="25"/>
      <c r="CT838" s="25"/>
      <c r="CU838" s="25"/>
      <c r="CV838" s="25"/>
      <c r="CW838" s="25"/>
      <c r="CX838" s="25"/>
      <c r="CY838" s="25"/>
      <c r="CZ838" s="25"/>
      <c r="DA838" s="25"/>
      <c r="DB838" s="25"/>
      <c r="DC838" s="25"/>
      <c r="DD838" s="25"/>
      <c r="DE838" s="25"/>
      <c r="DF838" s="25"/>
      <c r="DG838" s="25"/>
      <c r="DH838" s="25"/>
    </row>
    <row r="839" spans="1:112" customFormat="1" ht="136" x14ac:dyDescent="0.2">
      <c r="A839" s="7" t="s">
        <v>6867</v>
      </c>
      <c r="B839" s="7" t="s">
        <v>6868</v>
      </c>
      <c r="C839" s="7" t="s">
        <v>6868</v>
      </c>
      <c r="D839" s="5">
        <v>5</v>
      </c>
      <c r="E839" s="6" t="s">
        <v>23</v>
      </c>
      <c r="F839" s="6"/>
      <c r="G839" s="6" t="s">
        <v>2190</v>
      </c>
      <c r="H839" s="6" t="s">
        <v>6054</v>
      </c>
      <c r="I839" s="6" t="s">
        <v>6803</v>
      </c>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c r="BM839" s="25"/>
      <c r="BN839" s="25"/>
      <c r="BO839" s="25"/>
      <c r="BP839" s="25"/>
      <c r="BQ839" s="25"/>
      <c r="BR839" s="25"/>
      <c r="BS839" s="25"/>
      <c r="BT839" s="25"/>
      <c r="BU839" s="25"/>
      <c r="BV839" s="25"/>
      <c r="BW839" s="25"/>
      <c r="BX839" s="25"/>
      <c r="BY839" s="25"/>
      <c r="BZ839" s="25"/>
      <c r="CA839" s="25"/>
      <c r="CB839" s="25"/>
      <c r="CC839" s="25"/>
      <c r="CD839" s="25"/>
      <c r="CE839" s="25"/>
      <c r="CF839" s="25"/>
      <c r="CG839" s="25"/>
      <c r="CH839" s="25"/>
      <c r="CI839" s="25"/>
      <c r="CJ839" s="25"/>
      <c r="CK839" s="25"/>
      <c r="CL839" s="25"/>
      <c r="CM839" s="25"/>
      <c r="CN839" s="25"/>
      <c r="CO839" s="25"/>
      <c r="CP839" s="25"/>
      <c r="CQ839" s="25"/>
      <c r="CR839" s="25"/>
      <c r="CS839" s="25"/>
      <c r="CT839" s="25"/>
      <c r="CU839" s="25"/>
      <c r="CV839" s="25"/>
      <c r="CW839" s="25"/>
      <c r="CX839" s="25"/>
      <c r="CY839" s="25"/>
      <c r="CZ839" s="25"/>
      <c r="DA839" s="25"/>
      <c r="DB839" s="25"/>
      <c r="DC839" s="25"/>
      <c r="DD839" s="25"/>
      <c r="DE839" s="25"/>
      <c r="DF839" s="25"/>
      <c r="DG839" s="25"/>
      <c r="DH839" s="25"/>
    </row>
    <row r="840" spans="1:112" customFormat="1" ht="136" x14ac:dyDescent="0.2">
      <c r="A840" s="7" t="s">
        <v>5572</v>
      </c>
      <c r="B840" s="7" t="s">
        <v>5573</v>
      </c>
      <c r="C840" s="7" t="s">
        <v>5573</v>
      </c>
      <c r="D840" s="5">
        <v>5</v>
      </c>
      <c r="E840" s="6" t="s">
        <v>23</v>
      </c>
      <c r="F840" s="6"/>
      <c r="G840" s="6" t="s">
        <v>2190</v>
      </c>
      <c r="H840" s="6" t="s">
        <v>6054</v>
      </c>
      <c r="I840" s="6" t="s">
        <v>6803</v>
      </c>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c r="BM840" s="25"/>
      <c r="BN840" s="25"/>
      <c r="BO840" s="25"/>
      <c r="BP840" s="25"/>
      <c r="BQ840" s="25"/>
      <c r="BR840" s="25"/>
      <c r="BS840" s="25"/>
      <c r="BT840" s="25"/>
      <c r="BU840" s="25"/>
      <c r="BV840" s="25"/>
      <c r="BW840" s="25"/>
      <c r="BX840" s="25"/>
      <c r="BY840" s="25"/>
      <c r="BZ840" s="25"/>
      <c r="CA840" s="25"/>
      <c r="CB840" s="25"/>
      <c r="CC840" s="25"/>
      <c r="CD840" s="25"/>
      <c r="CE840" s="25"/>
      <c r="CF840" s="25"/>
      <c r="CG840" s="25"/>
      <c r="CH840" s="25"/>
      <c r="CI840" s="25"/>
      <c r="CJ840" s="25"/>
      <c r="CK840" s="25"/>
      <c r="CL840" s="25"/>
      <c r="CM840" s="25"/>
      <c r="CN840" s="25"/>
      <c r="CO840" s="25"/>
      <c r="CP840" s="25"/>
      <c r="CQ840" s="25"/>
      <c r="CR840" s="25"/>
      <c r="CS840" s="25"/>
      <c r="CT840" s="25"/>
      <c r="CU840" s="25"/>
      <c r="CV840" s="25"/>
      <c r="CW840" s="25"/>
      <c r="CX840" s="25"/>
      <c r="CY840" s="25"/>
      <c r="CZ840" s="25"/>
      <c r="DA840" s="25"/>
      <c r="DB840" s="25"/>
      <c r="DC840" s="25"/>
      <c r="DD840" s="25"/>
      <c r="DE840" s="25"/>
      <c r="DF840" s="25"/>
      <c r="DG840" s="25"/>
      <c r="DH840" s="25"/>
    </row>
    <row r="841" spans="1:112" customFormat="1" ht="102" customHeight="1" x14ac:dyDescent="0.2">
      <c r="A841" s="7" t="s">
        <v>6869</v>
      </c>
      <c r="B841" s="7" t="s">
        <v>6870</v>
      </c>
      <c r="C841" s="7" t="s">
        <v>6870</v>
      </c>
      <c r="D841" s="5">
        <v>5</v>
      </c>
      <c r="E841" s="6" t="s">
        <v>23</v>
      </c>
      <c r="F841" s="6"/>
      <c r="G841" s="6" t="s">
        <v>2190</v>
      </c>
      <c r="H841" s="6" t="s">
        <v>6054</v>
      </c>
      <c r="I841" s="6" t="s">
        <v>6803</v>
      </c>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c r="BM841" s="25"/>
      <c r="BN841" s="25"/>
      <c r="BO841" s="25"/>
      <c r="BP841" s="25"/>
      <c r="BQ841" s="25"/>
      <c r="BR841" s="25"/>
      <c r="BS841" s="25"/>
      <c r="BT841" s="25"/>
      <c r="BU841" s="25"/>
      <c r="BV841" s="25"/>
      <c r="BW841" s="25"/>
      <c r="BX841" s="25"/>
      <c r="BY841" s="25"/>
      <c r="BZ841" s="25"/>
      <c r="CA841" s="25"/>
      <c r="CB841" s="25"/>
      <c r="CC841" s="25"/>
      <c r="CD841" s="25"/>
      <c r="CE841" s="25"/>
      <c r="CF841" s="25"/>
      <c r="CG841" s="25"/>
      <c r="CH841" s="25"/>
      <c r="CI841" s="25"/>
      <c r="CJ841" s="25"/>
      <c r="CK841" s="25"/>
      <c r="CL841" s="25"/>
      <c r="CM841" s="25"/>
      <c r="CN841" s="25"/>
      <c r="CO841" s="25"/>
      <c r="CP841" s="25"/>
      <c r="CQ841" s="25"/>
      <c r="CR841" s="25"/>
      <c r="CS841" s="25"/>
      <c r="CT841" s="25"/>
      <c r="CU841" s="25"/>
      <c r="CV841" s="25"/>
      <c r="CW841" s="25"/>
      <c r="CX841" s="25"/>
      <c r="CY841" s="25"/>
      <c r="CZ841" s="25"/>
      <c r="DA841" s="25"/>
      <c r="DB841" s="25"/>
      <c r="DC841" s="25"/>
      <c r="DD841" s="25"/>
      <c r="DE841" s="25"/>
      <c r="DF841" s="25"/>
      <c r="DG841" s="25"/>
      <c r="DH841" s="25"/>
    </row>
    <row r="842" spans="1:112" customFormat="1" ht="136" x14ac:dyDescent="0.2">
      <c r="A842" s="7" t="s">
        <v>6871</v>
      </c>
      <c r="B842" s="7" t="s">
        <v>6872</v>
      </c>
      <c r="C842" s="7" t="s">
        <v>6872</v>
      </c>
      <c r="D842" s="5">
        <v>5</v>
      </c>
      <c r="E842" s="6" t="s">
        <v>23</v>
      </c>
      <c r="F842" s="6"/>
      <c r="G842" s="6" t="s">
        <v>2190</v>
      </c>
      <c r="H842" s="6" t="s">
        <v>6054</v>
      </c>
      <c r="I842" s="6" t="s">
        <v>6803</v>
      </c>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c r="BM842" s="25"/>
      <c r="BN842" s="25"/>
      <c r="BO842" s="25"/>
      <c r="BP842" s="25"/>
      <c r="BQ842" s="25"/>
      <c r="BR842" s="25"/>
      <c r="BS842" s="25"/>
      <c r="BT842" s="25"/>
      <c r="BU842" s="25"/>
      <c r="BV842" s="25"/>
      <c r="BW842" s="25"/>
      <c r="BX842" s="25"/>
      <c r="BY842" s="25"/>
      <c r="BZ842" s="25"/>
      <c r="CA842" s="25"/>
      <c r="CB842" s="25"/>
      <c r="CC842" s="25"/>
      <c r="CD842" s="25"/>
      <c r="CE842" s="25"/>
      <c r="CF842" s="25"/>
      <c r="CG842" s="25"/>
      <c r="CH842" s="25"/>
      <c r="CI842" s="25"/>
      <c r="CJ842" s="25"/>
      <c r="CK842" s="25"/>
      <c r="CL842" s="25"/>
      <c r="CM842" s="25"/>
      <c r="CN842" s="25"/>
      <c r="CO842" s="25"/>
      <c r="CP842" s="25"/>
      <c r="CQ842" s="25"/>
      <c r="CR842" s="25"/>
      <c r="CS842" s="25"/>
      <c r="CT842" s="25"/>
      <c r="CU842" s="25"/>
      <c r="CV842" s="25"/>
      <c r="CW842" s="25"/>
      <c r="CX842" s="25"/>
      <c r="CY842" s="25"/>
      <c r="CZ842" s="25"/>
      <c r="DA842" s="25"/>
      <c r="DB842" s="25"/>
      <c r="DC842" s="25"/>
      <c r="DD842" s="25"/>
      <c r="DE842" s="25"/>
      <c r="DF842" s="25"/>
      <c r="DG842" s="25"/>
      <c r="DH842" s="25"/>
    </row>
    <row r="843" spans="1:112" customFormat="1" ht="153" x14ac:dyDescent="0.2">
      <c r="A843" s="7" t="s">
        <v>6873</v>
      </c>
      <c r="B843" s="7" t="s">
        <v>6874</v>
      </c>
      <c r="C843" s="7" t="s">
        <v>6874</v>
      </c>
      <c r="D843" s="1">
        <v>5</v>
      </c>
      <c r="E843" s="6" t="s">
        <v>23</v>
      </c>
      <c r="F843" s="2"/>
      <c r="G843" s="2"/>
      <c r="H843" s="2"/>
      <c r="I843" s="2" t="s">
        <v>6768</v>
      </c>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c r="BM843" s="25"/>
      <c r="BN843" s="25"/>
      <c r="BO843" s="25"/>
      <c r="BP843" s="25"/>
      <c r="BQ843" s="25"/>
      <c r="BR843" s="25"/>
      <c r="BS843" s="25"/>
      <c r="BT843" s="25"/>
      <c r="BU843" s="25"/>
      <c r="BV843" s="25"/>
      <c r="BW843" s="25"/>
      <c r="BX843" s="25"/>
      <c r="BY843" s="25"/>
      <c r="BZ843" s="25"/>
      <c r="CA843" s="25"/>
      <c r="CB843" s="25"/>
      <c r="CC843" s="25"/>
      <c r="CD843" s="25"/>
      <c r="CE843" s="25"/>
      <c r="CF843" s="25"/>
      <c r="CG843" s="25"/>
      <c r="CH843" s="25"/>
      <c r="CI843" s="25"/>
      <c r="CJ843" s="25"/>
      <c r="CK843" s="25"/>
      <c r="CL843" s="25"/>
      <c r="CM843" s="25"/>
      <c r="CN843" s="25"/>
      <c r="CO843" s="25"/>
      <c r="CP843" s="25"/>
      <c r="CQ843" s="25"/>
      <c r="CR843" s="25"/>
      <c r="CS843" s="25"/>
      <c r="CT843" s="25"/>
      <c r="CU843" s="25"/>
      <c r="CV843" s="25"/>
      <c r="CW843" s="25"/>
      <c r="CX843" s="25"/>
      <c r="CY843" s="25"/>
      <c r="CZ843" s="25"/>
      <c r="DA843" s="25"/>
      <c r="DB843" s="25"/>
      <c r="DC843" s="25"/>
      <c r="DD843" s="25"/>
      <c r="DE843" s="25"/>
      <c r="DF843" s="25"/>
      <c r="DG843" s="25"/>
      <c r="DH843" s="25"/>
    </row>
    <row r="844" spans="1:112" customFormat="1" ht="153" x14ac:dyDescent="0.2">
      <c r="A844" s="7" t="s">
        <v>5590</v>
      </c>
      <c r="B844" s="7" t="s">
        <v>5591</v>
      </c>
      <c r="C844" s="7" t="s">
        <v>5591</v>
      </c>
      <c r="D844" s="1">
        <v>5</v>
      </c>
      <c r="E844" s="6" t="s">
        <v>23</v>
      </c>
      <c r="F844" s="2"/>
      <c r="G844" s="2"/>
      <c r="H844" s="2"/>
      <c r="I844" s="2" t="s">
        <v>6768</v>
      </c>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c r="BM844" s="25"/>
      <c r="BN844" s="25"/>
      <c r="BO844" s="25"/>
      <c r="BP844" s="25"/>
      <c r="BQ844" s="25"/>
      <c r="BR844" s="25"/>
      <c r="BS844" s="25"/>
      <c r="BT844" s="25"/>
      <c r="BU844" s="25"/>
      <c r="BV844" s="25"/>
      <c r="BW844" s="25"/>
      <c r="BX844" s="25"/>
      <c r="BY844" s="25"/>
      <c r="BZ844" s="25"/>
      <c r="CA844" s="25"/>
      <c r="CB844" s="25"/>
      <c r="CC844" s="25"/>
      <c r="CD844" s="25"/>
      <c r="CE844" s="25"/>
      <c r="CF844" s="25"/>
      <c r="CG844" s="25"/>
      <c r="CH844" s="25"/>
      <c r="CI844" s="25"/>
      <c r="CJ844" s="25"/>
      <c r="CK844" s="25"/>
      <c r="CL844" s="25"/>
      <c r="CM844" s="25"/>
      <c r="CN844" s="25"/>
      <c r="CO844" s="25"/>
      <c r="CP844" s="25"/>
      <c r="CQ844" s="25"/>
      <c r="CR844" s="25"/>
      <c r="CS844" s="25"/>
      <c r="CT844" s="25"/>
      <c r="CU844" s="25"/>
      <c r="CV844" s="25"/>
      <c r="CW844" s="25"/>
      <c r="CX844" s="25"/>
      <c r="CY844" s="25"/>
      <c r="CZ844" s="25"/>
      <c r="DA844" s="25"/>
      <c r="DB844" s="25"/>
      <c r="DC844" s="25"/>
      <c r="DD844" s="25"/>
      <c r="DE844" s="25"/>
      <c r="DF844" s="25"/>
      <c r="DG844" s="25"/>
      <c r="DH844" s="25"/>
    </row>
    <row r="845" spans="1:112" customFormat="1" ht="153" x14ac:dyDescent="0.2">
      <c r="A845" s="7" t="s">
        <v>6875</v>
      </c>
      <c r="B845" s="7" t="s">
        <v>6876</v>
      </c>
      <c r="C845" s="7" t="s">
        <v>6876</v>
      </c>
      <c r="D845" s="1">
        <v>5</v>
      </c>
      <c r="E845" s="6" t="s">
        <v>23</v>
      </c>
      <c r="F845" s="2"/>
      <c r="G845" s="2"/>
      <c r="H845" s="2"/>
      <c r="I845" s="2" t="s">
        <v>6768</v>
      </c>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c r="BM845" s="25"/>
      <c r="BN845" s="25"/>
      <c r="BO845" s="25"/>
      <c r="BP845" s="25"/>
      <c r="BQ845" s="25"/>
      <c r="BR845" s="25"/>
      <c r="BS845" s="25"/>
      <c r="BT845" s="25"/>
      <c r="BU845" s="25"/>
      <c r="BV845" s="25"/>
      <c r="BW845" s="25"/>
      <c r="BX845" s="25"/>
      <c r="BY845" s="25"/>
      <c r="BZ845" s="25"/>
      <c r="CA845" s="25"/>
      <c r="CB845" s="25"/>
      <c r="CC845" s="25"/>
      <c r="CD845" s="25"/>
      <c r="CE845" s="25"/>
      <c r="CF845" s="25"/>
      <c r="CG845" s="25"/>
      <c r="CH845" s="25"/>
      <c r="CI845" s="25"/>
      <c r="CJ845" s="25"/>
      <c r="CK845" s="25"/>
      <c r="CL845" s="25"/>
      <c r="CM845" s="25"/>
      <c r="CN845" s="25"/>
      <c r="CO845" s="25"/>
      <c r="CP845" s="25"/>
      <c r="CQ845" s="25"/>
      <c r="CR845" s="25"/>
      <c r="CS845" s="25"/>
      <c r="CT845" s="25"/>
      <c r="CU845" s="25"/>
      <c r="CV845" s="25"/>
      <c r="CW845" s="25"/>
      <c r="CX845" s="25"/>
      <c r="CY845" s="25"/>
      <c r="CZ845" s="25"/>
      <c r="DA845" s="25"/>
      <c r="DB845" s="25"/>
      <c r="DC845" s="25"/>
      <c r="DD845" s="25"/>
      <c r="DE845" s="25"/>
      <c r="DF845" s="25"/>
      <c r="DG845" s="25"/>
      <c r="DH845" s="25"/>
    </row>
    <row r="846" spans="1:112" customFormat="1" ht="153" x14ac:dyDescent="0.2">
      <c r="A846" s="7" t="s">
        <v>6877</v>
      </c>
      <c r="B846" s="7" t="s">
        <v>6878</v>
      </c>
      <c r="C846" s="7" t="s">
        <v>6878</v>
      </c>
      <c r="D846" s="1">
        <v>5</v>
      </c>
      <c r="E846" s="6" t="s">
        <v>23</v>
      </c>
      <c r="F846" s="2"/>
      <c r="G846" s="2"/>
      <c r="H846" s="2"/>
      <c r="I846" s="2" t="s">
        <v>6768</v>
      </c>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c r="BM846" s="25"/>
      <c r="BN846" s="25"/>
      <c r="BO846" s="25"/>
      <c r="BP846" s="25"/>
      <c r="BQ846" s="25"/>
      <c r="BR846" s="25"/>
      <c r="BS846" s="25"/>
      <c r="BT846" s="25"/>
      <c r="BU846" s="25"/>
      <c r="BV846" s="25"/>
      <c r="BW846" s="25"/>
      <c r="BX846" s="25"/>
      <c r="BY846" s="25"/>
      <c r="BZ846" s="25"/>
      <c r="CA846" s="25"/>
      <c r="CB846" s="25"/>
      <c r="CC846" s="25"/>
      <c r="CD846" s="25"/>
      <c r="CE846" s="25"/>
      <c r="CF846" s="25"/>
      <c r="CG846" s="25"/>
      <c r="CH846" s="25"/>
      <c r="CI846" s="25"/>
      <c r="CJ846" s="25"/>
      <c r="CK846" s="25"/>
      <c r="CL846" s="25"/>
      <c r="CM846" s="25"/>
      <c r="CN846" s="25"/>
      <c r="CO846" s="25"/>
      <c r="CP846" s="25"/>
      <c r="CQ846" s="25"/>
      <c r="CR846" s="25"/>
      <c r="CS846" s="25"/>
      <c r="CT846" s="25"/>
      <c r="CU846" s="25"/>
      <c r="CV846" s="25"/>
      <c r="CW846" s="25"/>
      <c r="CX846" s="25"/>
      <c r="CY846" s="25"/>
      <c r="CZ846" s="25"/>
      <c r="DA846" s="25"/>
      <c r="DB846" s="25"/>
      <c r="DC846" s="25"/>
      <c r="DD846" s="25"/>
      <c r="DE846" s="25"/>
      <c r="DF846" s="25"/>
      <c r="DG846" s="25"/>
      <c r="DH846" s="25"/>
    </row>
    <row r="847" spans="1:112" customFormat="1" ht="51" x14ac:dyDescent="0.2">
      <c r="A847" s="2" t="s">
        <v>2497</v>
      </c>
      <c r="B847" s="2" t="s">
        <v>2498</v>
      </c>
      <c r="C847" s="2" t="s">
        <v>2498</v>
      </c>
      <c r="D847" s="1">
        <v>4</v>
      </c>
      <c r="E847" s="2" t="s">
        <v>61</v>
      </c>
      <c r="F847" s="2"/>
      <c r="G847" s="2" t="s">
        <v>2499</v>
      </c>
      <c r="H847" s="2" t="s">
        <v>2500</v>
      </c>
      <c r="I847" s="2"/>
      <c r="J847" s="25" t="s">
        <v>469</v>
      </c>
      <c r="K847" s="25" t="s">
        <v>470</v>
      </c>
      <c r="L847" s="25" t="s">
        <v>2501</v>
      </c>
      <c r="M847" s="25" t="s">
        <v>540</v>
      </c>
      <c r="N847" s="25" t="s">
        <v>2502</v>
      </c>
      <c r="O847" s="25" t="s">
        <v>540</v>
      </c>
      <c r="P847" s="25" t="s">
        <v>41</v>
      </c>
      <c r="Q847" s="25" t="s">
        <v>41</v>
      </c>
      <c r="R847" s="25" t="s">
        <v>32</v>
      </c>
      <c r="S847" s="25" t="s">
        <v>33</v>
      </c>
      <c r="T847" s="25" t="s">
        <v>2503</v>
      </c>
      <c r="U847" s="25" t="s">
        <v>4641</v>
      </c>
      <c r="V847" s="25" t="s">
        <v>4642</v>
      </c>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c r="BM847" s="25"/>
      <c r="BN847" s="25"/>
      <c r="BO847" s="25"/>
      <c r="BP847" s="25"/>
      <c r="BQ847" s="25"/>
      <c r="BR847" s="25"/>
      <c r="BS847" s="25"/>
      <c r="BT847" s="25"/>
      <c r="BU847" s="25"/>
      <c r="BV847" s="25"/>
      <c r="BW847" s="25"/>
      <c r="BX847" s="25"/>
      <c r="BY847" s="25"/>
      <c r="BZ847" s="25"/>
      <c r="CA847" s="25"/>
      <c r="CB847" s="25"/>
      <c r="CC847" s="25"/>
      <c r="CD847" s="25"/>
      <c r="CE847" s="25"/>
      <c r="CF847" s="25"/>
      <c r="CG847" s="25"/>
      <c r="CH847" s="25"/>
      <c r="CI847" s="25"/>
      <c r="CJ847" s="25"/>
      <c r="CK847" s="25"/>
      <c r="CL847" s="25"/>
      <c r="CM847" s="25"/>
      <c r="CN847" s="25"/>
      <c r="CO847" s="25"/>
      <c r="CP847" s="25"/>
      <c r="CQ847" s="25"/>
      <c r="CR847" s="25"/>
      <c r="CS847" s="25"/>
      <c r="CT847" s="25"/>
      <c r="CU847" s="25"/>
      <c r="CV847" s="25"/>
      <c r="CW847" s="25"/>
      <c r="CX847" s="25"/>
      <c r="CY847" s="25"/>
      <c r="CZ847" s="25"/>
      <c r="DA847" s="25"/>
      <c r="DB847" s="25"/>
      <c r="DC847" s="25"/>
      <c r="DD847" s="25"/>
      <c r="DE847" s="25"/>
      <c r="DF847" s="25"/>
      <c r="DG847" s="25"/>
      <c r="DH847" s="25"/>
    </row>
    <row r="848" spans="1:112" customFormat="1" ht="68" x14ac:dyDescent="0.2">
      <c r="A848" s="7" t="s">
        <v>5455</v>
      </c>
      <c r="B848" s="7" t="s">
        <v>5456</v>
      </c>
      <c r="C848" s="2" t="s">
        <v>5456</v>
      </c>
      <c r="D848" s="1">
        <v>4</v>
      </c>
      <c r="E848" s="2" t="s">
        <v>61</v>
      </c>
      <c r="F848" s="2" t="s">
        <v>2506</v>
      </c>
      <c r="G848" s="2" t="s">
        <v>2507</v>
      </c>
      <c r="H848" s="2" t="s">
        <v>1863</v>
      </c>
      <c r="I848" s="2" t="s">
        <v>2508</v>
      </c>
      <c r="J848" s="34" t="s">
        <v>469</v>
      </c>
      <c r="K848" s="34" t="s">
        <v>470</v>
      </c>
      <c r="L848" s="34" t="s">
        <v>718</v>
      </c>
      <c r="M848" s="34" t="s">
        <v>719</v>
      </c>
      <c r="N848" s="34" t="s">
        <v>5457</v>
      </c>
      <c r="O848" s="34" t="s">
        <v>719</v>
      </c>
      <c r="P848" s="34" t="s">
        <v>30</v>
      </c>
      <c r="Q848" s="34" t="s">
        <v>41</v>
      </c>
      <c r="R848" s="34" t="s">
        <v>32</v>
      </c>
      <c r="S848" s="34" t="s">
        <v>33</v>
      </c>
      <c r="T848" s="34" t="s">
        <v>5458</v>
      </c>
      <c r="U848" s="34" t="s">
        <v>5459</v>
      </c>
      <c r="V848" s="34" t="s">
        <v>5459</v>
      </c>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34"/>
      <c r="BU848" s="34"/>
      <c r="BV848" s="34"/>
      <c r="BW848" s="34"/>
      <c r="BX848" s="34"/>
      <c r="BY848" s="34"/>
      <c r="BZ848" s="34"/>
      <c r="CA848" s="34"/>
      <c r="CB848" s="34"/>
      <c r="CC848" s="34"/>
      <c r="CD848" s="34"/>
      <c r="CE848" s="34"/>
      <c r="CF848" s="34"/>
      <c r="CG848" s="34"/>
      <c r="CH848" s="34"/>
      <c r="CI848" s="34"/>
      <c r="CJ848" s="34"/>
      <c r="CK848" s="34"/>
      <c r="CL848" s="34"/>
      <c r="CM848" s="34"/>
      <c r="CN848" s="34"/>
      <c r="CO848" s="34"/>
      <c r="CP848" s="34"/>
      <c r="CQ848" s="34"/>
      <c r="CR848" s="34"/>
      <c r="CS848" s="34"/>
      <c r="CT848" s="34"/>
      <c r="CU848" s="34"/>
      <c r="CV848" s="34"/>
      <c r="CW848" s="34"/>
      <c r="CX848" s="34"/>
      <c r="CY848" s="34"/>
      <c r="CZ848" s="34"/>
      <c r="DA848" s="34"/>
      <c r="DB848" s="34"/>
      <c r="DC848" s="34"/>
      <c r="DD848" s="34"/>
      <c r="DE848" s="34"/>
      <c r="DF848" s="34"/>
      <c r="DG848" s="34"/>
      <c r="DH848" s="34"/>
    </row>
    <row r="849" spans="1:112" customFormat="1" ht="68" x14ac:dyDescent="0.2">
      <c r="A849" s="7" t="s">
        <v>5460</v>
      </c>
      <c r="B849" s="7" t="s">
        <v>5461</v>
      </c>
      <c r="C849" s="2" t="s">
        <v>5461</v>
      </c>
      <c r="D849" s="1">
        <v>4</v>
      </c>
      <c r="E849" s="2" t="s">
        <v>61</v>
      </c>
      <c r="F849" s="2" t="s">
        <v>2506</v>
      </c>
      <c r="G849" s="2" t="s">
        <v>2507</v>
      </c>
      <c r="H849" s="2" t="s">
        <v>1863</v>
      </c>
      <c r="I849" s="2" t="s">
        <v>2508</v>
      </c>
      <c r="J849" s="34" t="s">
        <v>469</v>
      </c>
      <c r="K849" s="34" t="s">
        <v>470</v>
      </c>
      <c r="L849" s="34" t="s">
        <v>718</v>
      </c>
      <c r="M849" s="34" t="s">
        <v>719</v>
      </c>
      <c r="N849" s="34" t="s">
        <v>5462</v>
      </c>
      <c r="O849" s="34" t="s">
        <v>719</v>
      </c>
      <c r="P849" s="34" t="s">
        <v>159</v>
      </c>
      <c r="Q849" s="34" t="s">
        <v>41</v>
      </c>
      <c r="R849" s="34" t="s">
        <v>32</v>
      </c>
      <c r="S849" s="34" t="s">
        <v>33</v>
      </c>
      <c r="T849" s="34" t="s">
        <v>2510</v>
      </c>
      <c r="U849" s="34" t="s">
        <v>5463</v>
      </c>
      <c r="V849" s="34" t="s">
        <v>5463</v>
      </c>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34"/>
      <c r="BU849" s="34"/>
      <c r="BV849" s="34"/>
      <c r="BW849" s="34"/>
      <c r="BX849" s="34"/>
      <c r="BY849" s="34"/>
      <c r="BZ849" s="34"/>
      <c r="CA849" s="34"/>
      <c r="CB849" s="34"/>
      <c r="CC849" s="34"/>
      <c r="CD849" s="34"/>
      <c r="CE849" s="34"/>
      <c r="CF849" s="34"/>
      <c r="CG849" s="34"/>
      <c r="CH849" s="34"/>
      <c r="CI849" s="34"/>
      <c r="CJ849" s="34"/>
      <c r="CK849" s="34"/>
      <c r="CL849" s="34"/>
      <c r="CM849" s="34"/>
      <c r="CN849" s="34"/>
      <c r="CO849" s="34"/>
      <c r="CP849" s="34"/>
      <c r="CQ849" s="34"/>
      <c r="CR849" s="34"/>
      <c r="CS849" s="34"/>
      <c r="CT849" s="34"/>
      <c r="CU849" s="34"/>
      <c r="CV849" s="34"/>
      <c r="CW849" s="34"/>
      <c r="CX849" s="34"/>
      <c r="CY849" s="34"/>
      <c r="CZ849" s="34"/>
      <c r="DA849" s="34"/>
      <c r="DB849" s="34"/>
      <c r="DC849" s="34"/>
      <c r="DD849" s="34"/>
      <c r="DE849" s="34"/>
      <c r="DF849" s="34"/>
      <c r="DG849" s="34"/>
      <c r="DH849" s="34"/>
    </row>
    <row r="850" spans="1:112" customFormat="1" ht="68" x14ac:dyDescent="0.2">
      <c r="A850" s="2" t="s">
        <v>2504</v>
      </c>
      <c r="B850" s="2" t="s">
        <v>2505</v>
      </c>
      <c r="C850" s="2" t="s">
        <v>2505</v>
      </c>
      <c r="D850" s="1">
        <v>4</v>
      </c>
      <c r="E850" s="2" t="s">
        <v>61</v>
      </c>
      <c r="F850" s="2" t="s">
        <v>2506</v>
      </c>
      <c r="G850" s="2" t="s">
        <v>2507</v>
      </c>
      <c r="H850" s="2" t="s">
        <v>1863</v>
      </c>
      <c r="I850" s="2" t="s">
        <v>2508</v>
      </c>
      <c r="J850" s="25" t="s">
        <v>469</v>
      </c>
      <c r="K850" s="25" t="s">
        <v>470</v>
      </c>
      <c r="L850" s="25" t="s">
        <v>718</v>
      </c>
      <c r="M850" s="25" t="s">
        <v>719</v>
      </c>
      <c r="N850" s="25" t="s">
        <v>2509</v>
      </c>
      <c r="O850" s="25" t="s">
        <v>719</v>
      </c>
      <c r="P850" s="25" t="s">
        <v>353</v>
      </c>
      <c r="Q850" s="25" t="s">
        <v>41</v>
      </c>
      <c r="R850" s="25" t="s">
        <v>32</v>
      </c>
      <c r="S850" s="25" t="s">
        <v>33</v>
      </c>
      <c r="T850" s="25" t="s">
        <v>2510</v>
      </c>
      <c r="U850" s="25" t="s">
        <v>2511</v>
      </c>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c r="BM850" s="25"/>
      <c r="BN850" s="25"/>
      <c r="BO850" s="25"/>
      <c r="BP850" s="25"/>
      <c r="BQ850" s="25"/>
      <c r="BR850" s="25"/>
      <c r="BS850" s="25"/>
      <c r="BT850" s="25"/>
      <c r="BU850" s="25"/>
      <c r="BV850" s="25"/>
      <c r="BW850" s="25"/>
      <c r="BX850" s="25"/>
      <c r="BY850" s="25"/>
      <c r="BZ850" s="25"/>
      <c r="CA850" s="25"/>
      <c r="CB850" s="25"/>
      <c r="CC850" s="25"/>
      <c r="CD850" s="25"/>
      <c r="CE850" s="25"/>
      <c r="CF850" s="25"/>
      <c r="CG850" s="25"/>
      <c r="CH850" s="25"/>
      <c r="CI850" s="25"/>
      <c r="CJ850" s="25"/>
      <c r="CK850" s="25"/>
      <c r="CL850" s="25"/>
      <c r="CM850" s="25"/>
      <c r="CN850" s="25"/>
      <c r="CO850" s="25"/>
      <c r="CP850" s="25"/>
      <c r="CQ850" s="25"/>
      <c r="CR850" s="25"/>
      <c r="CS850" s="25"/>
      <c r="CT850" s="25"/>
      <c r="CU850" s="25"/>
      <c r="CV850" s="25"/>
      <c r="CW850" s="25"/>
      <c r="CX850" s="25"/>
      <c r="CY850" s="25"/>
      <c r="CZ850" s="25"/>
      <c r="DA850" s="25"/>
      <c r="DB850" s="25"/>
      <c r="DC850" s="25"/>
      <c r="DD850" s="25"/>
      <c r="DE850" s="25"/>
      <c r="DF850" s="25"/>
      <c r="DG850" s="25"/>
      <c r="DH850" s="25"/>
    </row>
    <row r="851" spans="1:112" customFormat="1" ht="68" x14ac:dyDescent="0.2">
      <c r="A851" s="7" t="s">
        <v>5464</v>
      </c>
      <c r="B851" s="7" t="s">
        <v>5465</v>
      </c>
      <c r="C851" s="2" t="s">
        <v>5465</v>
      </c>
      <c r="D851" s="1">
        <v>4</v>
      </c>
      <c r="E851" s="2" t="s">
        <v>61</v>
      </c>
      <c r="F851" s="2" t="s">
        <v>2506</v>
      </c>
      <c r="G851" s="2" t="s">
        <v>2507</v>
      </c>
      <c r="H851" s="2" t="s">
        <v>1863</v>
      </c>
      <c r="I851" s="2" t="s">
        <v>2508</v>
      </c>
      <c r="J851" s="34" t="s">
        <v>469</v>
      </c>
      <c r="K851" s="34" t="s">
        <v>470</v>
      </c>
      <c r="L851" s="34" t="s">
        <v>718</v>
      </c>
      <c r="M851" s="34" t="s">
        <v>719</v>
      </c>
      <c r="N851" s="34" t="s">
        <v>5466</v>
      </c>
      <c r="O851" s="34" t="s">
        <v>719</v>
      </c>
      <c r="P851" s="34" t="s">
        <v>137</v>
      </c>
      <c r="Q851" s="34" t="s">
        <v>41</v>
      </c>
      <c r="R851" s="34" t="s">
        <v>32</v>
      </c>
      <c r="S851" s="34" t="s">
        <v>33</v>
      </c>
      <c r="T851" s="34" t="s">
        <v>2510</v>
      </c>
      <c r="U851" s="34" t="s">
        <v>5467</v>
      </c>
      <c r="V851" s="34" t="s">
        <v>5467</v>
      </c>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34"/>
      <c r="BU851" s="34"/>
      <c r="BV851" s="34"/>
      <c r="BW851" s="34"/>
      <c r="BX851" s="34"/>
      <c r="BY851" s="34"/>
      <c r="BZ851" s="34"/>
      <c r="CA851" s="34"/>
      <c r="CB851" s="34"/>
      <c r="CC851" s="34"/>
      <c r="CD851" s="34"/>
      <c r="CE851" s="34"/>
      <c r="CF851" s="34"/>
      <c r="CG851" s="34"/>
      <c r="CH851" s="34"/>
      <c r="CI851" s="34"/>
      <c r="CJ851" s="34"/>
      <c r="CK851" s="34"/>
      <c r="CL851" s="34"/>
      <c r="CM851" s="34"/>
      <c r="CN851" s="34"/>
      <c r="CO851" s="34"/>
      <c r="CP851" s="34"/>
      <c r="CQ851" s="34"/>
      <c r="CR851" s="34"/>
      <c r="CS851" s="34"/>
      <c r="CT851" s="34"/>
      <c r="CU851" s="34"/>
      <c r="CV851" s="34"/>
      <c r="CW851" s="34"/>
      <c r="CX851" s="34"/>
      <c r="CY851" s="34"/>
      <c r="CZ851" s="34"/>
      <c r="DA851" s="34"/>
      <c r="DB851" s="34"/>
      <c r="DC851" s="34"/>
      <c r="DD851" s="34"/>
      <c r="DE851" s="34"/>
      <c r="DF851" s="34"/>
      <c r="DG851" s="34"/>
      <c r="DH851" s="34"/>
    </row>
    <row r="852" spans="1:112" customFormat="1" ht="68" x14ac:dyDescent="0.2">
      <c r="A852" s="2" t="s">
        <v>2512</v>
      </c>
      <c r="B852" s="2" t="s">
        <v>2513</v>
      </c>
      <c r="C852" s="2" t="s">
        <v>2513</v>
      </c>
      <c r="D852" s="1">
        <v>4</v>
      </c>
      <c r="E852" s="2" t="s">
        <v>61</v>
      </c>
      <c r="F852" s="2" t="s">
        <v>2506</v>
      </c>
      <c r="G852" s="2" t="s">
        <v>2507</v>
      </c>
      <c r="H852" s="2" t="s">
        <v>680</v>
      </c>
      <c r="I852" s="2" t="s">
        <v>2508</v>
      </c>
      <c r="J852" s="25" t="s">
        <v>469</v>
      </c>
      <c r="K852" s="25" t="s">
        <v>470</v>
      </c>
      <c r="L852" s="25" t="s">
        <v>718</v>
      </c>
      <c r="M852" s="25" t="s">
        <v>719</v>
      </c>
      <c r="N852" s="25" t="s">
        <v>2514</v>
      </c>
      <c r="O852" s="25" t="s">
        <v>719</v>
      </c>
      <c r="P852" s="25" t="s">
        <v>229</v>
      </c>
      <c r="Q852" s="25" t="s">
        <v>41</v>
      </c>
      <c r="R852" s="25" t="s">
        <v>32</v>
      </c>
      <c r="S852" s="25" t="s">
        <v>33</v>
      </c>
      <c r="T852" s="25" t="s">
        <v>2510</v>
      </c>
      <c r="U852" s="25" t="s">
        <v>2515</v>
      </c>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c r="BM852" s="25"/>
      <c r="BN852" s="25"/>
      <c r="BO852" s="25"/>
      <c r="BP852" s="25"/>
      <c r="BQ852" s="25"/>
      <c r="BR852" s="25"/>
      <c r="BS852" s="25"/>
      <c r="BT852" s="25"/>
      <c r="BU852" s="25"/>
      <c r="BV852" s="25"/>
      <c r="BW852" s="25"/>
      <c r="BX852" s="25"/>
      <c r="BY852" s="25"/>
      <c r="BZ852" s="25"/>
      <c r="CA852" s="25"/>
      <c r="CB852" s="25"/>
      <c r="CC852" s="25"/>
      <c r="CD852" s="25"/>
      <c r="CE852" s="25"/>
      <c r="CF852" s="25"/>
      <c r="CG852" s="25"/>
      <c r="CH852" s="25"/>
      <c r="CI852" s="25"/>
      <c r="CJ852" s="25"/>
      <c r="CK852" s="25"/>
      <c r="CL852" s="25"/>
      <c r="CM852" s="25"/>
      <c r="CN852" s="25"/>
      <c r="CO852" s="25"/>
      <c r="CP852" s="25"/>
      <c r="CQ852" s="25"/>
      <c r="CR852" s="25"/>
      <c r="CS852" s="25"/>
      <c r="CT852" s="25"/>
      <c r="CU852" s="25"/>
      <c r="CV852" s="25"/>
      <c r="CW852" s="25"/>
      <c r="CX852" s="25"/>
      <c r="CY852" s="25"/>
      <c r="CZ852" s="25"/>
      <c r="DA852" s="25"/>
      <c r="DB852" s="25"/>
      <c r="DC852" s="25"/>
      <c r="DD852" s="25"/>
      <c r="DE852" s="25"/>
      <c r="DF852" s="25"/>
      <c r="DG852" s="25"/>
      <c r="DH852" s="25"/>
    </row>
    <row r="853" spans="1:112" customFormat="1" ht="68" x14ac:dyDescent="0.2">
      <c r="A853" s="2" t="s">
        <v>2516</v>
      </c>
      <c r="B853" s="2" t="s">
        <v>2517</v>
      </c>
      <c r="C853" s="2" t="s">
        <v>2517</v>
      </c>
      <c r="D853" s="1">
        <v>4</v>
      </c>
      <c r="E853" s="2" t="s">
        <v>61</v>
      </c>
      <c r="F853" s="2" t="s">
        <v>2506</v>
      </c>
      <c r="G853" s="2" t="s">
        <v>2507</v>
      </c>
      <c r="H853" s="2" t="s">
        <v>680</v>
      </c>
      <c r="I853" s="2" t="s">
        <v>2508</v>
      </c>
      <c r="J853" s="25" t="s">
        <v>469</v>
      </c>
      <c r="K853" s="25" t="s">
        <v>470</v>
      </c>
      <c r="L853" s="25" t="s">
        <v>718</v>
      </c>
      <c r="M853" s="25" t="s">
        <v>719</v>
      </c>
      <c r="N853" s="25" t="s">
        <v>2514</v>
      </c>
      <c r="O853" s="25" t="s">
        <v>719</v>
      </c>
      <c r="P853" s="25" t="s">
        <v>229</v>
      </c>
      <c r="Q853" s="25" t="s">
        <v>199</v>
      </c>
      <c r="R853" s="25" t="s">
        <v>32</v>
      </c>
      <c r="S853" s="25" t="s">
        <v>33</v>
      </c>
      <c r="T853" s="25" t="s">
        <v>2510</v>
      </c>
      <c r="U853" s="25" t="s">
        <v>2515</v>
      </c>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c r="BM853" s="25"/>
      <c r="BN853" s="25"/>
      <c r="BO853" s="25"/>
      <c r="BP853" s="25"/>
      <c r="BQ853" s="25"/>
      <c r="BR853" s="25"/>
      <c r="BS853" s="25"/>
      <c r="BT853" s="25"/>
      <c r="BU853" s="25"/>
      <c r="BV853" s="25"/>
      <c r="BW853" s="25"/>
      <c r="BX853" s="25"/>
      <c r="BY853" s="25"/>
      <c r="BZ853" s="25"/>
      <c r="CA853" s="25"/>
      <c r="CB853" s="25"/>
      <c r="CC853" s="25"/>
      <c r="CD853" s="25"/>
      <c r="CE853" s="25"/>
      <c r="CF853" s="25"/>
      <c r="CG853" s="25"/>
      <c r="CH853" s="25"/>
      <c r="CI853" s="25"/>
      <c r="CJ853" s="25"/>
      <c r="CK853" s="25"/>
      <c r="CL853" s="25"/>
      <c r="CM853" s="25"/>
      <c r="CN853" s="25"/>
      <c r="CO853" s="25"/>
      <c r="CP853" s="25"/>
      <c r="CQ853" s="25"/>
      <c r="CR853" s="25"/>
      <c r="CS853" s="25"/>
      <c r="CT853" s="25"/>
      <c r="CU853" s="25"/>
      <c r="CV853" s="25"/>
      <c r="CW853" s="25"/>
      <c r="CX853" s="25"/>
      <c r="CY853" s="25"/>
      <c r="CZ853" s="25"/>
      <c r="DA853" s="25"/>
      <c r="DB853" s="25"/>
      <c r="DC853" s="25"/>
      <c r="DD853" s="25"/>
      <c r="DE853" s="25"/>
      <c r="DF853" s="25"/>
      <c r="DG853" s="25"/>
      <c r="DH853" s="25"/>
    </row>
    <row r="854" spans="1:112" customFormat="1" ht="68" x14ac:dyDescent="0.2">
      <c r="A854" s="7" t="s">
        <v>5468</v>
      </c>
      <c r="B854" s="7" t="s">
        <v>5469</v>
      </c>
      <c r="C854" s="2" t="s">
        <v>5469</v>
      </c>
      <c r="D854" s="1">
        <v>4</v>
      </c>
      <c r="E854" s="2" t="s">
        <v>61</v>
      </c>
      <c r="F854" s="2" t="s">
        <v>2506</v>
      </c>
      <c r="G854" s="2" t="s">
        <v>2507</v>
      </c>
      <c r="H854" s="2" t="s">
        <v>1863</v>
      </c>
      <c r="I854" s="2" t="s">
        <v>2508</v>
      </c>
      <c r="J854" s="34" t="s">
        <v>469</v>
      </c>
      <c r="K854" s="34" t="s">
        <v>470</v>
      </c>
      <c r="L854" s="34" t="s">
        <v>718</v>
      </c>
      <c r="M854" s="34" t="s">
        <v>719</v>
      </c>
      <c r="N854" s="34" t="s">
        <v>5470</v>
      </c>
      <c r="O854" s="34" t="s">
        <v>719</v>
      </c>
      <c r="P854" s="34" t="s">
        <v>123</v>
      </c>
      <c r="Q854" s="34" t="s">
        <v>41</v>
      </c>
      <c r="R854" s="34" t="s">
        <v>32</v>
      </c>
      <c r="S854" s="34" t="s">
        <v>33</v>
      </c>
      <c r="T854" s="34" t="s">
        <v>5471</v>
      </c>
      <c r="U854" s="34" t="s">
        <v>5472</v>
      </c>
      <c r="V854" s="34" t="s">
        <v>5472</v>
      </c>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34"/>
      <c r="BU854" s="34"/>
      <c r="BV854" s="34"/>
      <c r="BW854" s="34"/>
      <c r="BX854" s="34"/>
      <c r="BY854" s="34"/>
      <c r="BZ854" s="34"/>
      <c r="CA854" s="34"/>
      <c r="CB854" s="34"/>
      <c r="CC854" s="34"/>
      <c r="CD854" s="34"/>
      <c r="CE854" s="34"/>
      <c r="CF854" s="34"/>
      <c r="CG854" s="34"/>
      <c r="CH854" s="34"/>
      <c r="CI854" s="34"/>
      <c r="CJ854" s="34"/>
      <c r="CK854" s="34"/>
      <c r="CL854" s="34"/>
      <c r="CM854" s="34"/>
      <c r="CN854" s="34"/>
      <c r="CO854" s="34"/>
      <c r="CP854" s="34"/>
      <c r="CQ854" s="34"/>
      <c r="CR854" s="34"/>
      <c r="CS854" s="34"/>
      <c r="CT854" s="34"/>
      <c r="CU854" s="34"/>
      <c r="CV854" s="34"/>
      <c r="CW854" s="34"/>
      <c r="CX854" s="34"/>
      <c r="CY854" s="34"/>
      <c r="CZ854" s="34"/>
      <c r="DA854" s="34"/>
      <c r="DB854" s="34"/>
      <c r="DC854" s="34"/>
      <c r="DD854" s="34"/>
      <c r="DE854" s="34"/>
      <c r="DF854" s="34"/>
      <c r="DG854" s="34"/>
      <c r="DH854" s="34"/>
    </row>
    <row r="855" spans="1:112" customFormat="1" ht="102" x14ac:dyDescent="0.2">
      <c r="A855" s="2" t="s">
        <v>2518</v>
      </c>
      <c r="B855" s="2" t="s">
        <v>2519</v>
      </c>
      <c r="C855" s="2" t="s">
        <v>2519</v>
      </c>
      <c r="D855" s="1">
        <v>3</v>
      </c>
      <c r="E855" s="2" t="s">
        <v>23</v>
      </c>
      <c r="F855" s="2"/>
      <c r="G855" s="2" t="s">
        <v>2520</v>
      </c>
      <c r="H855" s="2" t="s">
        <v>1360</v>
      </c>
      <c r="I855" s="2" t="s">
        <v>2521</v>
      </c>
      <c r="J855" s="25" t="s">
        <v>1761</v>
      </c>
      <c r="K855" s="25" t="s">
        <v>2522</v>
      </c>
      <c r="L855" s="25" t="s">
        <v>2522</v>
      </c>
      <c r="M855" s="25" t="s">
        <v>2523</v>
      </c>
      <c r="N855" s="25" t="s">
        <v>2524</v>
      </c>
      <c r="O855" s="25" t="s">
        <v>2523</v>
      </c>
      <c r="P855" s="25" t="s">
        <v>41</v>
      </c>
      <c r="Q855" s="25" t="s">
        <v>41</v>
      </c>
      <c r="R855" s="25" t="s">
        <v>32</v>
      </c>
      <c r="S855" s="25" t="s">
        <v>33</v>
      </c>
      <c r="T855" s="25" t="s">
        <v>2525</v>
      </c>
      <c r="U855" s="25" t="s">
        <v>4643</v>
      </c>
      <c r="V855" s="25" t="s">
        <v>4644</v>
      </c>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c r="BP855" s="25"/>
      <c r="BQ855" s="25"/>
      <c r="BR855" s="25"/>
      <c r="BS855" s="25"/>
      <c r="BT855" s="25"/>
      <c r="BU855" s="25"/>
      <c r="BV855" s="25"/>
      <c r="BW855" s="25"/>
      <c r="BX855" s="25"/>
      <c r="BY855" s="25"/>
      <c r="BZ855" s="25"/>
      <c r="CA855" s="25"/>
      <c r="CB855" s="25"/>
      <c r="CC855" s="25"/>
      <c r="CD855" s="25"/>
      <c r="CE855" s="25"/>
      <c r="CF855" s="25"/>
      <c r="CG855" s="25"/>
      <c r="CH855" s="25"/>
      <c r="CI855" s="25"/>
      <c r="CJ855" s="25"/>
      <c r="CK855" s="25"/>
      <c r="CL855" s="25"/>
      <c r="CM855" s="25"/>
      <c r="CN855" s="25"/>
      <c r="CO855" s="25"/>
      <c r="CP855" s="25"/>
      <c r="CQ855" s="25"/>
      <c r="CR855" s="25"/>
      <c r="CS855" s="25"/>
      <c r="CT855" s="25"/>
      <c r="CU855" s="25"/>
      <c r="CV855" s="25"/>
      <c r="CW855" s="25"/>
      <c r="CX855" s="25"/>
      <c r="CY855" s="25"/>
      <c r="CZ855" s="25"/>
      <c r="DA855" s="25"/>
      <c r="DB855" s="25"/>
      <c r="DC855" s="25"/>
      <c r="DD855" s="25"/>
      <c r="DE855" s="25"/>
      <c r="DF855" s="25"/>
      <c r="DG855" s="25"/>
      <c r="DH855" s="25"/>
    </row>
    <row r="856" spans="1:112" customFormat="1" ht="102" x14ac:dyDescent="0.2">
      <c r="A856" s="2" t="s">
        <v>2526</v>
      </c>
      <c r="B856" s="2" t="s">
        <v>2527</v>
      </c>
      <c r="C856" s="2" t="s">
        <v>2527</v>
      </c>
      <c r="D856" s="1">
        <v>3</v>
      </c>
      <c r="E856" s="2" t="s">
        <v>971</v>
      </c>
      <c r="F856" s="2"/>
      <c r="G856" s="2" t="s">
        <v>2520</v>
      </c>
      <c r="H856" s="2" t="s">
        <v>1360</v>
      </c>
      <c r="I856" s="2" t="s">
        <v>2521</v>
      </c>
      <c r="J856" s="25" t="s">
        <v>1761</v>
      </c>
      <c r="K856" s="25" t="s">
        <v>2522</v>
      </c>
      <c r="L856" s="25" t="s">
        <v>2522</v>
      </c>
      <c r="M856" s="25" t="s">
        <v>2523</v>
      </c>
      <c r="N856" s="25" t="s">
        <v>2524</v>
      </c>
      <c r="O856" s="25" t="s">
        <v>2523</v>
      </c>
      <c r="P856" s="25" t="s">
        <v>41</v>
      </c>
      <c r="Q856" s="25" t="s">
        <v>199</v>
      </c>
      <c r="R856" s="25" t="s">
        <v>32</v>
      </c>
      <c r="S856" s="25" t="s">
        <v>33</v>
      </c>
      <c r="T856" s="25" t="s">
        <v>2525</v>
      </c>
      <c r="U856" s="25" t="s">
        <v>4643</v>
      </c>
      <c r="V856" s="25" t="s">
        <v>4644</v>
      </c>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c r="BP856" s="25"/>
      <c r="BQ856" s="25"/>
      <c r="BR856" s="25"/>
      <c r="BS856" s="25"/>
      <c r="BT856" s="25"/>
      <c r="BU856" s="25"/>
      <c r="BV856" s="25"/>
      <c r="BW856" s="25"/>
      <c r="BX856" s="25"/>
      <c r="BY856" s="25"/>
      <c r="BZ856" s="25"/>
      <c r="CA856" s="25"/>
      <c r="CB856" s="25"/>
      <c r="CC856" s="25"/>
      <c r="CD856" s="25"/>
      <c r="CE856" s="25"/>
      <c r="CF856" s="25"/>
      <c r="CG856" s="25"/>
      <c r="CH856" s="25"/>
      <c r="CI856" s="25"/>
      <c r="CJ856" s="25"/>
      <c r="CK856" s="25"/>
      <c r="CL856" s="25"/>
      <c r="CM856" s="25"/>
      <c r="CN856" s="25"/>
      <c r="CO856" s="25"/>
      <c r="CP856" s="25"/>
      <c r="CQ856" s="25"/>
      <c r="CR856" s="25"/>
      <c r="CS856" s="25"/>
      <c r="CT856" s="25"/>
      <c r="CU856" s="25"/>
      <c r="CV856" s="25"/>
      <c r="CW856" s="25"/>
      <c r="CX856" s="25"/>
      <c r="CY856" s="25"/>
      <c r="CZ856" s="25"/>
      <c r="DA856" s="25"/>
      <c r="DB856" s="25"/>
      <c r="DC856" s="25"/>
      <c r="DD856" s="25"/>
      <c r="DE856" s="25"/>
      <c r="DF856" s="25"/>
      <c r="DG856" s="25"/>
      <c r="DH856" s="25"/>
    </row>
    <row r="857" spans="1:112" customFormat="1" ht="102" x14ac:dyDescent="0.2">
      <c r="A857" s="2" t="s">
        <v>2528</v>
      </c>
      <c r="B857" s="2" t="s">
        <v>2529</v>
      </c>
      <c r="C857" s="2" t="s">
        <v>2529</v>
      </c>
      <c r="D857" s="1">
        <v>3</v>
      </c>
      <c r="E857" s="2" t="s">
        <v>971</v>
      </c>
      <c r="F857" s="2"/>
      <c r="G857" s="2" t="s">
        <v>2520</v>
      </c>
      <c r="H857" s="2" t="s">
        <v>1360</v>
      </c>
      <c r="I857" s="2" t="s">
        <v>2521</v>
      </c>
      <c r="J857" s="25" t="s">
        <v>1761</v>
      </c>
      <c r="K857" s="25" t="s">
        <v>2522</v>
      </c>
      <c r="L857" s="25" t="s">
        <v>2522</v>
      </c>
      <c r="M857" s="25" t="s">
        <v>2523</v>
      </c>
      <c r="N857" s="25" t="s">
        <v>2530</v>
      </c>
      <c r="O857" s="25" t="s">
        <v>2531</v>
      </c>
      <c r="P857" s="25" t="s">
        <v>913</v>
      </c>
      <c r="Q857" s="25" t="s">
        <v>41</v>
      </c>
      <c r="R857" s="25" t="s">
        <v>32</v>
      </c>
      <c r="S857" s="25" t="s">
        <v>33</v>
      </c>
      <c r="T857" s="25" t="s">
        <v>2532</v>
      </c>
      <c r="U857" s="25" t="s">
        <v>2533</v>
      </c>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c r="BP857" s="25"/>
      <c r="BQ857" s="25"/>
      <c r="BR857" s="25"/>
      <c r="BS857" s="25"/>
      <c r="BT857" s="25"/>
      <c r="BU857" s="25"/>
      <c r="BV857" s="25"/>
      <c r="BW857" s="25"/>
      <c r="BX857" s="25"/>
      <c r="BY857" s="25"/>
      <c r="BZ857" s="25"/>
      <c r="CA857" s="25"/>
      <c r="CB857" s="25"/>
      <c r="CC857" s="25"/>
      <c r="CD857" s="25"/>
      <c r="CE857" s="25"/>
      <c r="CF857" s="25"/>
      <c r="CG857" s="25"/>
      <c r="CH857" s="25"/>
      <c r="CI857" s="25"/>
      <c r="CJ857" s="25"/>
      <c r="CK857" s="25"/>
      <c r="CL857" s="25"/>
      <c r="CM857" s="25"/>
      <c r="CN857" s="25"/>
      <c r="CO857" s="25"/>
      <c r="CP857" s="25"/>
      <c r="CQ857" s="25"/>
      <c r="CR857" s="25"/>
      <c r="CS857" s="25"/>
      <c r="CT857" s="25"/>
      <c r="CU857" s="25"/>
      <c r="CV857" s="25"/>
      <c r="CW857" s="25"/>
      <c r="CX857" s="25"/>
      <c r="CY857" s="25"/>
      <c r="CZ857" s="25"/>
      <c r="DA857" s="25"/>
      <c r="DB857" s="25"/>
      <c r="DC857" s="25"/>
      <c r="DD857" s="25"/>
      <c r="DE857" s="25"/>
      <c r="DF857" s="25"/>
      <c r="DG857" s="25"/>
      <c r="DH857" s="25"/>
    </row>
    <row r="858" spans="1:112" customFormat="1" ht="102" x14ac:dyDescent="0.2">
      <c r="A858" s="2" t="s">
        <v>2534</v>
      </c>
      <c r="B858" s="2" t="s">
        <v>2535</v>
      </c>
      <c r="C858" s="2" t="s">
        <v>2535</v>
      </c>
      <c r="D858" s="1">
        <v>3</v>
      </c>
      <c r="E858" s="2" t="s">
        <v>971</v>
      </c>
      <c r="F858" s="2"/>
      <c r="G858" s="2" t="s">
        <v>2520</v>
      </c>
      <c r="H858" s="2" t="s">
        <v>1360</v>
      </c>
      <c r="I858" s="2" t="s">
        <v>2521</v>
      </c>
      <c r="J858" s="25" t="s">
        <v>1761</v>
      </c>
      <c r="K858" s="25" t="s">
        <v>2522</v>
      </c>
      <c r="L858" s="25" t="s">
        <v>2522</v>
      </c>
      <c r="M858" s="25" t="s">
        <v>2523</v>
      </c>
      <c r="N858" s="25" t="s">
        <v>2530</v>
      </c>
      <c r="O858" s="25" t="s">
        <v>2531</v>
      </c>
      <c r="P858" s="25" t="s">
        <v>913</v>
      </c>
      <c r="Q858" s="25" t="s">
        <v>199</v>
      </c>
      <c r="R858" s="25" t="s">
        <v>32</v>
      </c>
      <c r="S858" s="25" t="s">
        <v>33</v>
      </c>
      <c r="T858" s="25" t="s">
        <v>2532</v>
      </c>
      <c r="U858" s="25" t="s">
        <v>2533</v>
      </c>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c r="BP858" s="25"/>
      <c r="BQ858" s="25"/>
      <c r="BR858" s="25"/>
      <c r="BS858" s="25"/>
      <c r="BT858" s="25"/>
      <c r="BU858" s="25"/>
      <c r="BV858" s="25"/>
      <c r="BW858" s="25"/>
      <c r="BX858" s="25"/>
      <c r="BY858" s="25"/>
      <c r="BZ858" s="25"/>
      <c r="CA858" s="25"/>
      <c r="CB858" s="25"/>
      <c r="CC858" s="25"/>
      <c r="CD858" s="25"/>
      <c r="CE858" s="25"/>
      <c r="CF858" s="25"/>
      <c r="CG858" s="25"/>
      <c r="CH858" s="25"/>
      <c r="CI858" s="25"/>
      <c r="CJ858" s="25"/>
      <c r="CK858" s="25"/>
      <c r="CL858" s="25"/>
      <c r="CM858" s="25"/>
      <c r="CN858" s="25"/>
      <c r="CO858" s="25"/>
      <c r="CP858" s="25"/>
      <c r="CQ858" s="25"/>
      <c r="CR858" s="25"/>
      <c r="CS858" s="25"/>
      <c r="CT858" s="25"/>
      <c r="CU858" s="25"/>
      <c r="CV858" s="25"/>
      <c r="CW858" s="25"/>
      <c r="CX858" s="25"/>
      <c r="CY858" s="25"/>
      <c r="CZ858" s="25"/>
      <c r="DA858" s="25"/>
      <c r="DB858" s="25"/>
      <c r="DC858" s="25"/>
      <c r="DD858" s="25"/>
      <c r="DE858" s="25"/>
      <c r="DF858" s="25"/>
      <c r="DG858" s="25"/>
      <c r="DH858" s="25"/>
    </row>
    <row r="859" spans="1:112" customFormat="1" ht="102" x14ac:dyDescent="0.2">
      <c r="A859" s="2" t="s">
        <v>2536</v>
      </c>
      <c r="B859" s="2" t="s">
        <v>2537</v>
      </c>
      <c r="C859" s="2" t="s">
        <v>2537</v>
      </c>
      <c r="D859" s="1">
        <v>3</v>
      </c>
      <c r="E859" s="2" t="s">
        <v>23</v>
      </c>
      <c r="F859" s="2"/>
      <c r="G859" s="2" t="s">
        <v>2520</v>
      </c>
      <c r="H859" s="2" t="s">
        <v>1863</v>
      </c>
      <c r="I859" s="2" t="s">
        <v>2538</v>
      </c>
      <c r="J859" s="25" t="s">
        <v>469</v>
      </c>
      <c r="K859" s="25" t="s">
        <v>470</v>
      </c>
      <c r="L859" s="25" t="s">
        <v>2539</v>
      </c>
      <c r="M859" s="25" t="s">
        <v>802</v>
      </c>
      <c r="N859" s="25" t="s">
        <v>2540</v>
      </c>
      <c r="O859" s="25" t="s">
        <v>802</v>
      </c>
      <c r="P859" s="25" t="s">
        <v>41</v>
      </c>
      <c r="Q859" s="25" t="s">
        <v>41</v>
      </c>
      <c r="R859" s="25" t="s">
        <v>32</v>
      </c>
      <c r="S859" s="25" t="s">
        <v>33</v>
      </c>
      <c r="T859" s="25" t="s">
        <v>2541</v>
      </c>
      <c r="U859" s="25" t="s">
        <v>4645</v>
      </c>
      <c r="V859" s="25" t="s">
        <v>4646</v>
      </c>
      <c r="W859" s="25" t="s">
        <v>4647</v>
      </c>
      <c r="X859" s="25" t="s">
        <v>4648</v>
      </c>
      <c r="Y859" s="25" t="s">
        <v>4649</v>
      </c>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c r="BP859" s="25"/>
      <c r="BQ859" s="25"/>
      <c r="BR859" s="25"/>
      <c r="BS859" s="25"/>
      <c r="BT859" s="25"/>
      <c r="BU859" s="25"/>
      <c r="BV859" s="25"/>
      <c r="BW859" s="25"/>
      <c r="BX859" s="25"/>
      <c r="BY859" s="25"/>
      <c r="BZ859" s="25"/>
      <c r="CA859" s="25"/>
      <c r="CB859" s="25"/>
      <c r="CC859" s="25"/>
      <c r="CD859" s="25"/>
      <c r="CE859" s="25"/>
      <c r="CF859" s="25"/>
      <c r="CG859" s="25"/>
      <c r="CH859" s="25"/>
      <c r="CI859" s="25"/>
      <c r="CJ859" s="25"/>
      <c r="CK859" s="25"/>
      <c r="CL859" s="25"/>
      <c r="CM859" s="25"/>
      <c r="CN859" s="25"/>
      <c r="CO859" s="25"/>
      <c r="CP859" s="25"/>
      <c r="CQ859" s="25"/>
      <c r="CR859" s="25"/>
      <c r="CS859" s="25"/>
      <c r="CT859" s="25"/>
      <c r="CU859" s="25"/>
      <c r="CV859" s="25"/>
      <c r="CW859" s="25"/>
      <c r="CX859" s="25"/>
      <c r="CY859" s="25"/>
      <c r="CZ859" s="25"/>
      <c r="DA859" s="25"/>
      <c r="DB859" s="25"/>
      <c r="DC859" s="25"/>
      <c r="DD859" s="25"/>
      <c r="DE859" s="25"/>
      <c r="DF859" s="25"/>
      <c r="DG859" s="25"/>
      <c r="DH859" s="25"/>
    </row>
    <row r="860" spans="1:112" customFormat="1" ht="102" x14ac:dyDescent="0.2">
      <c r="A860" s="2" t="s">
        <v>2542</v>
      </c>
      <c r="B860" s="2" t="s">
        <v>2543</v>
      </c>
      <c r="C860" s="2" t="s">
        <v>2543</v>
      </c>
      <c r="D860" s="1">
        <v>3</v>
      </c>
      <c r="E860" s="2" t="s">
        <v>23</v>
      </c>
      <c r="F860" s="2"/>
      <c r="G860" s="2" t="s">
        <v>2520</v>
      </c>
      <c r="H860" s="2" t="s">
        <v>1863</v>
      </c>
      <c r="I860" s="2" t="s">
        <v>2538</v>
      </c>
      <c r="J860" s="25" t="s">
        <v>469</v>
      </c>
      <c r="K860" s="25" t="s">
        <v>470</v>
      </c>
      <c r="L860" s="25" t="s">
        <v>2539</v>
      </c>
      <c r="M860" s="25" t="s">
        <v>802</v>
      </c>
      <c r="N860" s="25" t="s">
        <v>2540</v>
      </c>
      <c r="O860" s="25" t="s">
        <v>802</v>
      </c>
      <c r="P860" s="25" t="s">
        <v>41</v>
      </c>
      <c r="Q860" s="25" t="s">
        <v>199</v>
      </c>
      <c r="R860" s="25" t="s">
        <v>32</v>
      </c>
      <c r="S860" s="25" t="s">
        <v>33</v>
      </c>
      <c r="T860" s="25" t="s">
        <v>2541</v>
      </c>
      <c r="U860" s="25" t="s">
        <v>4645</v>
      </c>
      <c r="V860" s="25" t="s">
        <v>4646</v>
      </c>
      <c r="W860" s="25" t="s">
        <v>4647</v>
      </c>
      <c r="X860" s="25" t="s">
        <v>4648</v>
      </c>
      <c r="Y860" s="25" t="s">
        <v>4649</v>
      </c>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c r="BM860" s="25"/>
      <c r="BN860" s="25"/>
      <c r="BO860" s="25"/>
      <c r="BP860" s="25"/>
      <c r="BQ860" s="25"/>
      <c r="BR860" s="25"/>
      <c r="BS860" s="25"/>
      <c r="BT860" s="25"/>
      <c r="BU860" s="25"/>
      <c r="BV860" s="25"/>
      <c r="BW860" s="25"/>
      <c r="BX860" s="25"/>
      <c r="BY860" s="25"/>
      <c r="BZ860" s="25"/>
      <c r="CA860" s="25"/>
      <c r="CB860" s="25"/>
      <c r="CC860" s="25"/>
      <c r="CD860" s="25"/>
      <c r="CE860" s="25"/>
      <c r="CF860" s="25"/>
      <c r="CG860" s="25"/>
      <c r="CH860" s="25"/>
      <c r="CI860" s="25"/>
      <c r="CJ860" s="25"/>
      <c r="CK860" s="25"/>
      <c r="CL860" s="25"/>
      <c r="CM860" s="25"/>
      <c r="CN860" s="25"/>
      <c r="CO860" s="25"/>
      <c r="CP860" s="25"/>
      <c r="CQ860" s="25"/>
      <c r="CR860" s="25"/>
      <c r="CS860" s="25"/>
      <c r="CT860" s="25"/>
      <c r="CU860" s="25"/>
      <c r="CV860" s="25"/>
      <c r="CW860" s="25"/>
      <c r="CX860" s="25"/>
      <c r="CY860" s="25"/>
      <c r="CZ860" s="25"/>
      <c r="DA860" s="25"/>
      <c r="DB860" s="25"/>
      <c r="DC860" s="25"/>
      <c r="DD860" s="25"/>
      <c r="DE860" s="25"/>
      <c r="DF860" s="25"/>
      <c r="DG860" s="25"/>
      <c r="DH860" s="25"/>
    </row>
    <row r="861" spans="1:112" customFormat="1" ht="119" x14ac:dyDescent="0.2">
      <c r="A861" s="7" t="s">
        <v>5332</v>
      </c>
      <c r="B861" s="7" t="s">
        <v>5333</v>
      </c>
      <c r="C861" s="2" t="s">
        <v>5333</v>
      </c>
      <c r="D861" s="5">
        <v>3</v>
      </c>
      <c r="E861" s="6" t="s">
        <v>61</v>
      </c>
      <c r="F861" s="6" t="s">
        <v>6041</v>
      </c>
      <c r="G861" s="6"/>
      <c r="H861" s="6" t="s">
        <v>6039</v>
      </c>
      <c r="I861" s="6" t="s">
        <v>6040</v>
      </c>
      <c r="J861" s="34" t="s">
        <v>645</v>
      </c>
      <c r="K861" s="34" t="s">
        <v>646</v>
      </c>
      <c r="L861" s="34" t="s">
        <v>647</v>
      </c>
      <c r="M861" s="34" t="s">
        <v>648</v>
      </c>
      <c r="N861" s="34" t="s">
        <v>5334</v>
      </c>
      <c r="O861" s="34" t="s">
        <v>648</v>
      </c>
      <c r="P861" s="34" t="s">
        <v>40</v>
      </c>
      <c r="Q861" s="34" t="s">
        <v>41</v>
      </c>
      <c r="R861" s="34" t="s">
        <v>32</v>
      </c>
      <c r="S861" s="34" t="s">
        <v>33</v>
      </c>
      <c r="T861" s="34" t="s">
        <v>456</v>
      </c>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c r="BQ861" s="34"/>
      <c r="BR861" s="34"/>
      <c r="BS861" s="34"/>
      <c r="BT861" s="34"/>
      <c r="BU861" s="34"/>
      <c r="BV861" s="34"/>
      <c r="BW861" s="34"/>
      <c r="BX861" s="34"/>
      <c r="BY861" s="34"/>
      <c r="BZ861" s="34"/>
      <c r="CA861" s="34"/>
      <c r="CB861" s="34"/>
      <c r="CC861" s="34"/>
      <c r="CD861" s="34"/>
      <c r="CE861" s="34"/>
      <c r="CF861" s="34"/>
      <c r="CG861" s="34"/>
      <c r="CH861" s="34"/>
      <c r="CI861" s="34"/>
      <c r="CJ861" s="34"/>
      <c r="CK861" s="34"/>
      <c r="CL861" s="34"/>
      <c r="CM861" s="34"/>
      <c r="CN861" s="34"/>
      <c r="CO861" s="34"/>
      <c r="CP861" s="34"/>
      <c r="CQ861" s="34"/>
      <c r="CR861" s="34"/>
      <c r="CS861" s="34"/>
      <c r="CT861" s="34"/>
      <c r="CU861" s="34"/>
      <c r="CV861" s="34"/>
      <c r="CW861" s="34"/>
      <c r="CX861" s="34"/>
      <c r="CY861" s="34"/>
      <c r="CZ861" s="34"/>
      <c r="DA861" s="34"/>
      <c r="DB861" s="34"/>
      <c r="DC861" s="34"/>
      <c r="DD861" s="34"/>
      <c r="DE861" s="34"/>
      <c r="DF861" s="34"/>
      <c r="DG861" s="34"/>
      <c r="DH861" s="34"/>
    </row>
    <row r="862" spans="1:112" customFormat="1" ht="68" x14ac:dyDescent="0.2">
      <c r="A862" s="2" t="s">
        <v>2544</v>
      </c>
      <c r="B862" s="2" t="s">
        <v>2545</v>
      </c>
      <c r="C862" s="2" t="s">
        <v>2545</v>
      </c>
      <c r="D862" s="1">
        <v>3</v>
      </c>
      <c r="E862" s="2" t="s">
        <v>61</v>
      </c>
      <c r="F862" s="2" t="s">
        <v>2546</v>
      </c>
      <c r="G862" s="2" t="s">
        <v>2507</v>
      </c>
      <c r="H862" s="2" t="s">
        <v>680</v>
      </c>
      <c r="I862" s="2" t="s">
        <v>2547</v>
      </c>
      <c r="J862" s="25" t="s">
        <v>469</v>
      </c>
      <c r="K862" s="25" t="s">
        <v>470</v>
      </c>
      <c r="L862" s="25" t="s">
        <v>718</v>
      </c>
      <c r="M862" s="25" t="s">
        <v>719</v>
      </c>
      <c r="N862" s="25" t="s">
        <v>2548</v>
      </c>
      <c r="O862" s="25" t="s">
        <v>719</v>
      </c>
      <c r="P862" s="25" t="s">
        <v>52</v>
      </c>
      <c r="Q862" s="25" t="s">
        <v>41</v>
      </c>
      <c r="R862" s="25" t="s">
        <v>32</v>
      </c>
      <c r="S862" s="25" t="s">
        <v>33</v>
      </c>
      <c r="T862" s="25" t="s">
        <v>2549</v>
      </c>
      <c r="U862" s="25" t="s">
        <v>2550</v>
      </c>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c r="BM862" s="25"/>
      <c r="BN862" s="25"/>
      <c r="BO862" s="25"/>
      <c r="BP862" s="25"/>
      <c r="BQ862" s="25"/>
      <c r="BR862" s="25"/>
      <c r="BS862" s="25"/>
      <c r="BT862" s="25"/>
      <c r="BU862" s="25"/>
      <c r="BV862" s="25"/>
      <c r="BW862" s="25"/>
      <c r="BX862" s="25"/>
      <c r="BY862" s="25"/>
      <c r="BZ862" s="25"/>
      <c r="CA862" s="25"/>
      <c r="CB862" s="25"/>
      <c r="CC862" s="25"/>
      <c r="CD862" s="25"/>
      <c r="CE862" s="25"/>
      <c r="CF862" s="25"/>
      <c r="CG862" s="25"/>
      <c r="CH862" s="25"/>
      <c r="CI862" s="25"/>
      <c r="CJ862" s="25"/>
      <c r="CK862" s="25"/>
      <c r="CL862" s="25"/>
      <c r="CM862" s="25"/>
      <c r="CN862" s="25"/>
      <c r="CO862" s="25"/>
      <c r="CP862" s="25"/>
      <c r="CQ862" s="25"/>
      <c r="CR862" s="25"/>
      <c r="CS862" s="25"/>
      <c r="CT862" s="25"/>
      <c r="CU862" s="25"/>
      <c r="CV862" s="25"/>
      <c r="CW862" s="25"/>
      <c r="CX862" s="25"/>
      <c r="CY862" s="25"/>
      <c r="CZ862" s="25"/>
      <c r="DA862" s="25"/>
      <c r="DB862" s="25"/>
      <c r="DC862" s="25"/>
      <c r="DD862" s="25"/>
      <c r="DE862" s="25"/>
      <c r="DF862" s="25"/>
      <c r="DG862" s="25"/>
      <c r="DH862" s="25"/>
    </row>
    <row r="863" spans="1:112" customFormat="1" ht="119" x14ac:dyDescent="0.2">
      <c r="A863" s="7" t="s">
        <v>5551</v>
      </c>
      <c r="B863" s="7" t="s">
        <v>5552</v>
      </c>
      <c r="C863" s="2" t="s">
        <v>5552</v>
      </c>
      <c r="D863" s="5">
        <v>3</v>
      </c>
      <c r="E863" s="6" t="s">
        <v>23</v>
      </c>
      <c r="F863" s="6"/>
      <c r="G863" s="6" t="s">
        <v>2520</v>
      </c>
      <c r="H863" s="6" t="s">
        <v>1169</v>
      </c>
      <c r="I863" s="6" t="s">
        <v>762</v>
      </c>
      <c r="J863" s="34" t="s">
        <v>763</v>
      </c>
      <c r="K863" s="34" t="s">
        <v>764</v>
      </c>
      <c r="L863" s="34" t="s">
        <v>764</v>
      </c>
      <c r="M863" s="34" t="s">
        <v>765</v>
      </c>
      <c r="N863" s="34" t="s">
        <v>5553</v>
      </c>
      <c r="O863" s="34" t="s">
        <v>767</v>
      </c>
      <c r="P863" s="34" t="s">
        <v>441</v>
      </c>
      <c r="Q863" s="34" t="s">
        <v>41</v>
      </c>
      <c r="R863" s="34" t="s">
        <v>32</v>
      </c>
      <c r="S863" s="34" t="s">
        <v>33</v>
      </c>
      <c r="T863" s="34" t="s">
        <v>768</v>
      </c>
      <c r="U863" s="34" t="s">
        <v>5554</v>
      </c>
      <c r="V863" s="34" t="s">
        <v>5554</v>
      </c>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c r="BQ863" s="34"/>
      <c r="BR863" s="34"/>
      <c r="BS863" s="34"/>
      <c r="BT863" s="34"/>
      <c r="BU863" s="34"/>
      <c r="BV863" s="34"/>
      <c r="BW863" s="34"/>
      <c r="BX863" s="34"/>
      <c r="BY863" s="34"/>
      <c r="BZ863" s="34"/>
      <c r="CA863" s="34"/>
      <c r="CB863" s="34"/>
      <c r="CC863" s="34"/>
      <c r="CD863" s="34"/>
      <c r="CE863" s="34"/>
      <c r="CF863" s="34"/>
      <c r="CG863" s="34"/>
      <c r="CH863" s="34"/>
      <c r="CI863" s="34"/>
      <c r="CJ863" s="34"/>
      <c r="CK863" s="34"/>
      <c r="CL863" s="34"/>
      <c r="CM863" s="34"/>
      <c r="CN863" s="34"/>
      <c r="CO863" s="34"/>
      <c r="CP863" s="34"/>
      <c r="CQ863" s="34"/>
      <c r="CR863" s="34"/>
      <c r="CS863" s="34"/>
      <c r="CT863" s="34"/>
      <c r="CU863" s="34"/>
      <c r="CV863" s="34"/>
      <c r="CW863" s="34"/>
      <c r="CX863" s="34"/>
      <c r="CY863" s="34"/>
      <c r="CZ863" s="34"/>
      <c r="DA863" s="34"/>
      <c r="DB863" s="34"/>
      <c r="DC863" s="34"/>
      <c r="DD863" s="34"/>
      <c r="DE863" s="34"/>
      <c r="DF863" s="34"/>
      <c r="DG863" s="34"/>
      <c r="DH863" s="34"/>
    </row>
    <row r="864" spans="1:112" customFormat="1" ht="119" x14ac:dyDescent="0.2">
      <c r="A864" s="7" t="s">
        <v>5555</v>
      </c>
      <c r="B864" s="7" t="s">
        <v>5556</v>
      </c>
      <c r="C864" s="2" t="s">
        <v>5556</v>
      </c>
      <c r="D864" s="5">
        <v>3</v>
      </c>
      <c r="E864" s="6" t="s">
        <v>23</v>
      </c>
      <c r="F864" s="6"/>
      <c r="G864" s="6" t="s">
        <v>2520</v>
      </c>
      <c r="H864" s="6" t="s">
        <v>1169</v>
      </c>
      <c r="I864" s="6" t="s">
        <v>762</v>
      </c>
      <c r="J864" s="34" t="s">
        <v>763</v>
      </c>
      <c r="K864" s="34" t="s">
        <v>764</v>
      </c>
      <c r="L864" s="34" t="s">
        <v>764</v>
      </c>
      <c r="M864" s="34" t="s">
        <v>765</v>
      </c>
      <c r="N864" s="34" t="s">
        <v>783</v>
      </c>
      <c r="O864" s="34" t="s">
        <v>767</v>
      </c>
      <c r="P864" s="34" t="s">
        <v>227</v>
      </c>
      <c r="Q864" s="34" t="s">
        <v>199</v>
      </c>
      <c r="R864" s="34" t="s">
        <v>32</v>
      </c>
      <c r="S864" s="34" t="s">
        <v>33</v>
      </c>
      <c r="T864" s="34" t="s">
        <v>784</v>
      </c>
      <c r="U864" s="34" t="s">
        <v>5557</v>
      </c>
      <c r="V864" s="34" t="s">
        <v>5557</v>
      </c>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c r="BQ864" s="34"/>
      <c r="BR864" s="34"/>
      <c r="BS864" s="34"/>
      <c r="BT864" s="34"/>
      <c r="BU864" s="34"/>
      <c r="BV864" s="34"/>
      <c r="BW864" s="34"/>
      <c r="BX864" s="34"/>
      <c r="BY864" s="34"/>
      <c r="BZ864" s="34"/>
      <c r="CA864" s="34"/>
      <c r="CB864" s="34"/>
      <c r="CC864" s="34"/>
      <c r="CD864" s="34"/>
      <c r="CE864" s="34"/>
      <c r="CF864" s="34"/>
      <c r="CG864" s="34"/>
      <c r="CH864" s="34"/>
      <c r="CI864" s="34"/>
      <c r="CJ864" s="34"/>
      <c r="CK864" s="34"/>
      <c r="CL864" s="34"/>
      <c r="CM864" s="34"/>
      <c r="CN864" s="34"/>
      <c r="CO864" s="34"/>
      <c r="CP864" s="34"/>
      <c r="CQ864" s="34"/>
      <c r="CR864" s="34"/>
      <c r="CS864" s="34"/>
      <c r="CT864" s="34"/>
      <c r="CU864" s="34"/>
      <c r="CV864" s="34"/>
      <c r="CW864" s="34"/>
      <c r="CX864" s="34"/>
      <c r="CY864" s="34"/>
      <c r="CZ864" s="34"/>
      <c r="DA864" s="34"/>
      <c r="DB864" s="34"/>
      <c r="DC864" s="34"/>
      <c r="DD864" s="34"/>
      <c r="DE864" s="34"/>
      <c r="DF864" s="34"/>
      <c r="DG864" s="34"/>
      <c r="DH864" s="34"/>
    </row>
    <row r="865" spans="1:112" customFormat="1" ht="119" x14ac:dyDescent="0.2">
      <c r="A865" s="2" t="s">
        <v>2551</v>
      </c>
      <c r="B865" s="2" t="s">
        <v>2552</v>
      </c>
      <c r="C865" s="2" t="s">
        <v>2552</v>
      </c>
      <c r="D865" s="1">
        <v>3</v>
      </c>
      <c r="E865" s="2" t="s">
        <v>23</v>
      </c>
      <c r="F865" s="2"/>
      <c r="G865" s="2" t="s">
        <v>2520</v>
      </c>
      <c r="H865" s="2" t="s">
        <v>370</v>
      </c>
      <c r="I865" s="2" t="s">
        <v>762</v>
      </c>
      <c r="J865" s="25" t="s">
        <v>763</v>
      </c>
      <c r="K865" s="25" t="s">
        <v>764</v>
      </c>
      <c r="L865" s="25" t="s">
        <v>764</v>
      </c>
      <c r="M865" s="25" t="s">
        <v>765</v>
      </c>
      <c r="N865" s="25" t="s">
        <v>2553</v>
      </c>
      <c r="O865" s="25" t="s">
        <v>767</v>
      </c>
      <c r="P865" s="25" t="s">
        <v>540</v>
      </c>
      <c r="Q865" s="25" t="s">
        <v>41</v>
      </c>
      <c r="R865" s="25" t="s">
        <v>32</v>
      </c>
      <c r="S865" s="25" t="s">
        <v>33</v>
      </c>
      <c r="T865" s="25" t="s">
        <v>2554</v>
      </c>
      <c r="U865" s="25" t="s">
        <v>4650</v>
      </c>
      <c r="V865" s="25" t="s">
        <v>4651</v>
      </c>
      <c r="W865" s="25" t="s">
        <v>4652</v>
      </c>
      <c r="X865" s="25" t="s">
        <v>4653</v>
      </c>
      <c r="Y865" s="25" t="s">
        <v>4654</v>
      </c>
      <c r="Z865" s="25" t="s">
        <v>4655</v>
      </c>
      <c r="AA865" s="25" t="s">
        <v>4656</v>
      </c>
      <c r="AB865" s="25" t="s">
        <v>4657</v>
      </c>
      <c r="AC865" s="25" t="s">
        <v>4658</v>
      </c>
      <c r="AD865" s="25" t="s">
        <v>4659</v>
      </c>
      <c r="AE865" s="25" t="s">
        <v>4660</v>
      </c>
      <c r="AF865" s="25" t="s">
        <v>4661</v>
      </c>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c r="BP865" s="25"/>
      <c r="BQ865" s="25"/>
      <c r="BR865" s="25"/>
      <c r="BS865" s="25"/>
      <c r="BT865" s="25"/>
      <c r="BU865" s="25"/>
      <c r="BV865" s="25"/>
      <c r="BW865" s="25"/>
      <c r="BX865" s="25"/>
      <c r="BY865" s="25"/>
      <c r="BZ865" s="25"/>
      <c r="CA865" s="25"/>
      <c r="CB865" s="25"/>
      <c r="CC865" s="25"/>
      <c r="CD865" s="25"/>
      <c r="CE865" s="25"/>
      <c r="CF865" s="25"/>
      <c r="CG865" s="25"/>
      <c r="CH865" s="25"/>
      <c r="CI865" s="25"/>
      <c r="CJ865" s="25"/>
      <c r="CK865" s="25"/>
      <c r="CL865" s="25"/>
      <c r="CM865" s="25"/>
      <c r="CN865" s="25"/>
      <c r="CO865" s="25"/>
      <c r="CP865" s="25"/>
      <c r="CQ865" s="25"/>
      <c r="CR865" s="25"/>
      <c r="CS865" s="25"/>
      <c r="CT865" s="25"/>
      <c r="CU865" s="25"/>
      <c r="CV865" s="25"/>
      <c r="CW865" s="25"/>
      <c r="CX865" s="25"/>
      <c r="CY865" s="25"/>
      <c r="CZ865" s="25"/>
      <c r="DA865" s="25"/>
      <c r="DB865" s="25"/>
      <c r="DC865" s="25"/>
      <c r="DD865" s="25"/>
      <c r="DE865" s="25"/>
      <c r="DF865" s="25"/>
      <c r="DG865" s="25"/>
      <c r="DH865" s="25"/>
    </row>
    <row r="866" spans="1:112" customFormat="1" ht="119" x14ac:dyDescent="0.2">
      <c r="A866" s="2" t="s">
        <v>2555</v>
      </c>
      <c r="B866" s="2" t="s">
        <v>2556</v>
      </c>
      <c r="C866" s="2" t="s">
        <v>2556</v>
      </c>
      <c r="D866" s="1">
        <v>3</v>
      </c>
      <c r="E866" s="2" t="s">
        <v>1459</v>
      </c>
      <c r="F866" s="2" t="s">
        <v>2557</v>
      </c>
      <c r="G866" s="2" t="s">
        <v>2520</v>
      </c>
      <c r="H866" s="2" t="s">
        <v>370</v>
      </c>
      <c r="I866" s="2" t="s">
        <v>762</v>
      </c>
      <c r="J866" s="25" t="s">
        <v>763</v>
      </c>
      <c r="K866" s="25" t="s">
        <v>764</v>
      </c>
      <c r="L866" s="25" t="s">
        <v>764</v>
      </c>
      <c r="M866" s="25" t="s">
        <v>765</v>
      </c>
      <c r="N866" s="25" t="s">
        <v>2558</v>
      </c>
      <c r="O866" s="25" t="s">
        <v>767</v>
      </c>
      <c r="P866" s="25" t="s">
        <v>617</v>
      </c>
      <c r="Q866" s="25" t="s">
        <v>41</v>
      </c>
      <c r="R866" s="25" t="s">
        <v>32</v>
      </c>
      <c r="S866" s="25" t="s">
        <v>33</v>
      </c>
      <c r="T866" s="25" t="s">
        <v>768</v>
      </c>
      <c r="U866" s="25" t="s">
        <v>292</v>
      </c>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c r="BP866" s="25"/>
      <c r="BQ866" s="25"/>
      <c r="BR866" s="25"/>
      <c r="BS866" s="25"/>
      <c r="BT866" s="25"/>
      <c r="BU866" s="25"/>
      <c r="BV866" s="25"/>
      <c r="BW866" s="25"/>
      <c r="BX866" s="25"/>
      <c r="BY866" s="25"/>
      <c r="BZ866" s="25"/>
      <c r="CA866" s="25"/>
      <c r="CB866" s="25"/>
      <c r="CC866" s="25"/>
      <c r="CD866" s="25"/>
      <c r="CE866" s="25"/>
      <c r="CF866" s="25"/>
      <c r="CG866" s="25"/>
      <c r="CH866" s="25"/>
      <c r="CI866" s="25"/>
      <c r="CJ866" s="25"/>
      <c r="CK866" s="25"/>
      <c r="CL866" s="25"/>
      <c r="CM866" s="25"/>
      <c r="CN866" s="25"/>
      <c r="CO866" s="25"/>
      <c r="CP866" s="25"/>
      <c r="CQ866" s="25"/>
      <c r="CR866" s="25"/>
      <c r="CS866" s="25"/>
      <c r="CT866" s="25"/>
      <c r="CU866" s="25"/>
      <c r="CV866" s="25"/>
      <c r="CW866" s="25"/>
      <c r="CX866" s="25"/>
      <c r="CY866" s="25"/>
      <c r="CZ866" s="25"/>
      <c r="DA866" s="25"/>
      <c r="DB866" s="25"/>
      <c r="DC866" s="25"/>
      <c r="DD866" s="25"/>
      <c r="DE866" s="25"/>
      <c r="DF866" s="25"/>
      <c r="DG866" s="25"/>
      <c r="DH866" s="25"/>
    </row>
    <row r="867" spans="1:112" customFormat="1" ht="85" x14ac:dyDescent="0.2">
      <c r="A867" s="7" t="s">
        <v>5630</v>
      </c>
      <c r="B867" s="7" t="s">
        <v>5631</v>
      </c>
      <c r="C867" s="2" t="s">
        <v>5631</v>
      </c>
      <c r="D867" s="5">
        <v>3</v>
      </c>
      <c r="E867" s="6" t="s">
        <v>23</v>
      </c>
      <c r="F867" s="6"/>
      <c r="G867" s="6" t="s">
        <v>2520</v>
      </c>
      <c r="H867" s="6"/>
      <c r="I867" s="6" t="s">
        <v>6055</v>
      </c>
      <c r="J867" s="34" t="s">
        <v>763</v>
      </c>
      <c r="K867" s="34" t="s">
        <v>859</v>
      </c>
      <c r="L867" s="34" t="s">
        <v>860</v>
      </c>
      <c r="M867" s="34" t="s">
        <v>861</v>
      </c>
      <c r="N867" s="34" t="s">
        <v>5632</v>
      </c>
      <c r="O867" s="34" t="s">
        <v>848</v>
      </c>
      <c r="P867" s="34" t="s">
        <v>227</v>
      </c>
      <c r="Q867" s="34" t="s">
        <v>41</v>
      </c>
      <c r="R867" s="34" t="s">
        <v>32</v>
      </c>
      <c r="S867" s="34" t="s">
        <v>33</v>
      </c>
      <c r="T867" s="34" t="s">
        <v>2330</v>
      </c>
      <c r="U867" s="34" t="s">
        <v>5633</v>
      </c>
      <c r="V867" s="34" t="s">
        <v>5633</v>
      </c>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c r="BQ867" s="34"/>
      <c r="BR867" s="34"/>
      <c r="BS867" s="34"/>
      <c r="BT867" s="34"/>
      <c r="BU867" s="34"/>
      <c r="BV867" s="34"/>
      <c r="BW867" s="34"/>
      <c r="BX867" s="34"/>
      <c r="BY867" s="34"/>
      <c r="BZ867" s="34"/>
      <c r="CA867" s="34"/>
      <c r="CB867" s="34"/>
      <c r="CC867" s="34"/>
      <c r="CD867" s="34"/>
      <c r="CE867" s="34"/>
      <c r="CF867" s="34"/>
      <c r="CG867" s="34"/>
      <c r="CH867" s="34"/>
      <c r="CI867" s="34"/>
      <c r="CJ867" s="34"/>
      <c r="CK867" s="34"/>
      <c r="CL867" s="34"/>
      <c r="CM867" s="34"/>
      <c r="CN867" s="34"/>
      <c r="CO867" s="34"/>
      <c r="CP867" s="34"/>
      <c r="CQ867" s="34"/>
      <c r="CR867" s="34"/>
      <c r="CS867" s="34"/>
      <c r="CT867" s="34"/>
      <c r="CU867" s="34"/>
      <c r="CV867" s="34"/>
      <c r="CW867" s="34"/>
      <c r="CX867" s="34"/>
      <c r="CY867" s="34"/>
      <c r="CZ867" s="34"/>
      <c r="DA867" s="34"/>
      <c r="DB867" s="34"/>
      <c r="DC867" s="34"/>
      <c r="DD867" s="34"/>
      <c r="DE867" s="34"/>
      <c r="DF867" s="34"/>
      <c r="DG867" s="34"/>
      <c r="DH867" s="34"/>
    </row>
    <row r="868" spans="1:112" customFormat="1" ht="85" x14ac:dyDescent="0.2">
      <c r="A868" s="2" t="s">
        <v>2559</v>
      </c>
      <c r="B868" s="2" t="s">
        <v>2560</v>
      </c>
      <c r="C868" s="2" t="s">
        <v>2560</v>
      </c>
      <c r="D868" s="1">
        <v>3</v>
      </c>
      <c r="E868" s="2" t="s">
        <v>23</v>
      </c>
      <c r="F868" s="2"/>
      <c r="G868" s="2" t="s">
        <v>2520</v>
      </c>
      <c r="H868" s="2" t="s">
        <v>538</v>
      </c>
      <c r="I868" s="2" t="s">
        <v>6804</v>
      </c>
      <c r="J868" s="25" t="s">
        <v>763</v>
      </c>
      <c r="K868" s="25" t="s">
        <v>859</v>
      </c>
      <c r="L868" s="25" t="s">
        <v>2561</v>
      </c>
      <c r="M868" s="25" t="s">
        <v>2562</v>
      </c>
      <c r="N868" s="25" t="s">
        <v>2563</v>
      </c>
      <c r="O868" s="25" t="s">
        <v>767</v>
      </c>
      <c r="P868" s="25" t="s">
        <v>2564</v>
      </c>
      <c r="Q868" s="25" t="s">
        <v>41</v>
      </c>
      <c r="R868" s="25" t="s">
        <v>32</v>
      </c>
      <c r="S868" s="25" t="s">
        <v>33</v>
      </c>
      <c r="T868" s="25" t="s">
        <v>850</v>
      </c>
      <c r="U868" s="25" t="s">
        <v>4662</v>
      </c>
      <c r="V868" s="25" t="s">
        <v>4663</v>
      </c>
      <c r="W868" s="25" t="s">
        <v>4664</v>
      </c>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c r="BP868" s="25"/>
      <c r="BQ868" s="25"/>
      <c r="BR868" s="25"/>
      <c r="BS868" s="25"/>
      <c r="BT868" s="25"/>
      <c r="BU868" s="25"/>
      <c r="BV868" s="25"/>
      <c r="BW868" s="25"/>
      <c r="BX868" s="25"/>
      <c r="BY868" s="25"/>
      <c r="BZ868" s="25"/>
      <c r="CA868" s="25"/>
      <c r="CB868" s="25"/>
      <c r="CC868" s="25"/>
      <c r="CD868" s="25"/>
      <c r="CE868" s="25"/>
      <c r="CF868" s="25"/>
      <c r="CG868" s="25"/>
      <c r="CH868" s="25"/>
      <c r="CI868" s="25"/>
      <c r="CJ868" s="25"/>
      <c r="CK868" s="25"/>
      <c r="CL868" s="25"/>
      <c r="CM868" s="25"/>
      <c r="CN868" s="25"/>
      <c r="CO868" s="25"/>
      <c r="CP868" s="25"/>
      <c r="CQ868" s="25"/>
      <c r="CR868" s="25"/>
      <c r="CS868" s="25"/>
      <c r="CT868" s="25"/>
      <c r="CU868" s="25"/>
      <c r="CV868" s="25"/>
      <c r="CW868" s="25"/>
      <c r="CX868" s="25"/>
      <c r="CY868" s="25"/>
      <c r="CZ868" s="25"/>
      <c r="DA868" s="25"/>
      <c r="DB868" s="25"/>
      <c r="DC868" s="25"/>
      <c r="DD868" s="25"/>
      <c r="DE868" s="25"/>
      <c r="DF868" s="25"/>
      <c r="DG868" s="25"/>
      <c r="DH868" s="25"/>
    </row>
    <row r="869" spans="1:112" customFormat="1" ht="85" x14ac:dyDescent="0.2">
      <c r="A869" s="2" t="s">
        <v>2565</v>
      </c>
      <c r="B869" s="2" t="s">
        <v>2566</v>
      </c>
      <c r="C869" s="2" t="s">
        <v>2566</v>
      </c>
      <c r="D869" s="1">
        <v>3</v>
      </c>
      <c r="E869" s="2" t="s">
        <v>23</v>
      </c>
      <c r="F869" s="2"/>
      <c r="G869" s="2" t="s">
        <v>2520</v>
      </c>
      <c r="H869" s="2" t="s">
        <v>538</v>
      </c>
      <c r="I869" s="2" t="s">
        <v>6804</v>
      </c>
      <c r="J869" s="25" t="s">
        <v>763</v>
      </c>
      <c r="K869" s="25" t="s">
        <v>859</v>
      </c>
      <c r="L869" s="25" t="s">
        <v>2561</v>
      </c>
      <c r="M869" s="25" t="s">
        <v>2562</v>
      </c>
      <c r="N869" s="25" t="s">
        <v>2563</v>
      </c>
      <c r="O869" s="25" t="s">
        <v>767</v>
      </c>
      <c r="P869" s="25" t="s">
        <v>2564</v>
      </c>
      <c r="Q869" s="25" t="s">
        <v>199</v>
      </c>
      <c r="R869" s="25" t="s">
        <v>32</v>
      </c>
      <c r="S869" s="25" t="s">
        <v>33</v>
      </c>
      <c r="T869" s="25" t="s">
        <v>850</v>
      </c>
      <c r="U869" s="25" t="s">
        <v>4662</v>
      </c>
      <c r="V869" s="25" t="s">
        <v>4663</v>
      </c>
      <c r="W869" s="25" t="s">
        <v>4664</v>
      </c>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c r="BP869" s="25"/>
      <c r="BQ869" s="25"/>
      <c r="BR869" s="25"/>
      <c r="BS869" s="25"/>
      <c r="BT869" s="25"/>
      <c r="BU869" s="25"/>
      <c r="BV869" s="25"/>
      <c r="BW869" s="25"/>
      <c r="BX869" s="25"/>
      <c r="BY869" s="25"/>
      <c r="BZ869" s="25"/>
      <c r="CA869" s="25"/>
      <c r="CB869" s="25"/>
      <c r="CC869" s="25"/>
      <c r="CD869" s="25"/>
      <c r="CE869" s="25"/>
      <c r="CF869" s="25"/>
      <c r="CG869" s="25"/>
      <c r="CH869" s="25"/>
      <c r="CI869" s="25"/>
      <c r="CJ869" s="25"/>
      <c r="CK869" s="25"/>
      <c r="CL869" s="25"/>
      <c r="CM869" s="25"/>
      <c r="CN869" s="25"/>
      <c r="CO869" s="25"/>
      <c r="CP869" s="25"/>
      <c r="CQ869" s="25"/>
      <c r="CR869" s="25"/>
      <c r="CS869" s="25"/>
      <c r="CT869" s="25"/>
      <c r="CU869" s="25"/>
      <c r="CV869" s="25"/>
      <c r="CW869" s="25"/>
      <c r="CX869" s="25"/>
      <c r="CY869" s="25"/>
      <c r="CZ869" s="25"/>
      <c r="DA869" s="25"/>
      <c r="DB869" s="25"/>
      <c r="DC869" s="25"/>
      <c r="DD869" s="25"/>
      <c r="DE869" s="25"/>
      <c r="DF869" s="25"/>
      <c r="DG869" s="25"/>
      <c r="DH869" s="25"/>
    </row>
    <row r="870" spans="1:112" customFormat="1" ht="85" x14ac:dyDescent="0.2">
      <c r="A870" s="2" t="s">
        <v>2567</v>
      </c>
      <c r="B870" s="2" t="s">
        <v>2568</v>
      </c>
      <c r="C870" s="2" t="s">
        <v>2568</v>
      </c>
      <c r="D870" s="1">
        <v>3</v>
      </c>
      <c r="E870" s="2" t="s">
        <v>23</v>
      </c>
      <c r="F870" s="2"/>
      <c r="G870" s="2" t="s">
        <v>2520</v>
      </c>
      <c r="H870" s="2" t="s">
        <v>538</v>
      </c>
      <c r="I870" s="2" t="s">
        <v>6804</v>
      </c>
      <c r="J870" s="25" t="s">
        <v>763</v>
      </c>
      <c r="K870" s="25" t="s">
        <v>859</v>
      </c>
      <c r="L870" s="25" t="s">
        <v>2561</v>
      </c>
      <c r="M870" s="25" t="s">
        <v>2562</v>
      </c>
      <c r="N870" s="25" t="s">
        <v>2569</v>
      </c>
      <c r="O870" s="25" t="s">
        <v>767</v>
      </c>
      <c r="P870" s="25" t="s">
        <v>2570</v>
      </c>
      <c r="Q870" s="25" t="s">
        <v>41</v>
      </c>
      <c r="R870" s="25" t="s">
        <v>32</v>
      </c>
      <c r="S870" s="25" t="s">
        <v>33</v>
      </c>
      <c r="T870" s="25" t="s">
        <v>850</v>
      </c>
      <c r="U870" s="25" t="s">
        <v>4665</v>
      </c>
      <c r="V870" s="25" t="s">
        <v>4666</v>
      </c>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c r="BP870" s="25"/>
      <c r="BQ870" s="25"/>
      <c r="BR870" s="25"/>
      <c r="BS870" s="25"/>
      <c r="BT870" s="25"/>
      <c r="BU870" s="25"/>
      <c r="BV870" s="25"/>
      <c r="BW870" s="25"/>
      <c r="BX870" s="25"/>
      <c r="BY870" s="25"/>
      <c r="BZ870" s="25"/>
      <c r="CA870" s="25"/>
      <c r="CB870" s="25"/>
      <c r="CC870" s="25"/>
      <c r="CD870" s="25"/>
      <c r="CE870" s="25"/>
      <c r="CF870" s="25"/>
      <c r="CG870" s="25"/>
      <c r="CH870" s="25"/>
      <c r="CI870" s="25"/>
      <c r="CJ870" s="25"/>
      <c r="CK870" s="25"/>
      <c r="CL870" s="25"/>
      <c r="CM870" s="25"/>
      <c r="CN870" s="25"/>
      <c r="CO870" s="25"/>
      <c r="CP870" s="25"/>
      <c r="CQ870" s="25"/>
      <c r="CR870" s="25"/>
      <c r="CS870" s="25"/>
      <c r="CT870" s="25"/>
      <c r="CU870" s="25"/>
      <c r="CV870" s="25"/>
      <c r="CW870" s="25"/>
      <c r="CX870" s="25"/>
      <c r="CY870" s="25"/>
      <c r="CZ870" s="25"/>
      <c r="DA870" s="25"/>
      <c r="DB870" s="25"/>
      <c r="DC870" s="25"/>
      <c r="DD870" s="25"/>
      <c r="DE870" s="25"/>
      <c r="DF870" s="25"/>
      <c r="DG870" s="25"/>
      <c r="DH870" s="25"/>
    </row>
    <row r="871" spans="1:112" customFormat="1" ht="85" customHeight="1" x14ac:dyDescent="0.2">
      <c r="A871" s="7" t="s">
        <v>5649</v>
      </c>
      <c r="B871" s="7" t="s">
        <v>5650</v>
      </c>
      <c r="C871" s="2" t="s">
        <v>5650</v>
      </c>
      <c r="D871" s="1">
        <v>3</v>
      </c>
      <c r="E871" s="2" t="s">
        <v>23</v>
      </c>
      <c r="F871" s="2"/>
      <c r="G871" s="2" t="s">
        <v>2520</v>
      </c>
      <c r="H871" s="25" t="s">
        <v>538</v>
      </c>
      <c r="I871" s="2" t="s">
        <v>6804</v>
      </c>
      <c r="J871" s="34" t="s">
        <v>763</v>
      </c>
      <c r="K871" s="34" t="s">
        <v>859</v>
      </c>
      <c r="L871" s="34" t="s">
        <v>2561</v>
      </c>
      <c r="M871" s="34" t="s">
        <v>2562</v>
      </c>
      <c r="N871" s="34" t="s">
        <v>2569</v>
      </c>
      <c r="O871" s="34" t="s">
        <v>767</v>
      </c>
      <c r="P871" s="34" t="s">
        <v>2570</v>
      </c>
      <c r="Q871" s="34" t="s">
        <v>199</v>
      </c>
      <c r="R871" s="34" t="s">
        <v>32</v>
      </c>
      <c r="S871" s="34" t="s">
        <v>33</v>
      </c>
      <c r="T871" s="34" t="s">
        <v>850</v>
      </c>
      <c r="U871" s="34" t="s">
        <v>5651</v>
      </c>
      <c r="V871" s="34" t="s">
        <v>5651</v>
      </c>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c r="BQ871" s="34"/>
      <c r="BR871" s="34"/>
      <c r="BS871" s="34"/>
      <c r="BT871" s="34"/>
      <c r="BU871" s="34"/>
      <c r="BV871" s="34"/>
      <c r="BW871" s="34"/>
      <c r="BX871" s="34"/>
      <c r="BY871" s="34"/>
      <c r="BZ871" s="34"/>
      <c r="CA871" s="34"/>
      <c r="CB871" s="34"/>
      <c r="CC871" s="34"/>
      <c r="CD871" s="34"/>
      <c r="CE871" s="34"/>
      <c r="CF871" s="34"/>
      <c r="CG871" s="34"/>
      <c r="CH871" s="34"/>
      <c r="CI871" s="34"/>
      <c r="CJ871" s="34"/>
      <c r="CK871" s="34"/>
      <c r="CL871" s="34"/>
      <c r="CM871" s="34"/>
      <c r="CN871" s="34"/>
      <c r="CO871" s="34"/>
      <c r="CP871" s="34"/>
      <c r="CQ871" s="34"/>
      <c r="CR871" s="34"/>
      <c r="CS871" s="34"/>
      <c r="CT871" s="34"/>
      <c r="CU871" s="34"/>
      <c r="CV871" s="34"/>
      <c r="CW871" s="34"/>
      <c r="CX871" s="34"/>
      <c r="CY871" s="34"/>
      <c r="CZ871" s="34"/>
      <c r="DA871" s="34"/>
      <c r="DB871" s="34"/>
      <c r="DC871" s="34"/>
      <c r="DD871" s="34"/>
      <c r="DE871" s="34"/>
      <c r="DF871" s="34"/>
      <c r="DG871" s="34"/>
      <c r="DH871" s="34"/>
    </row>
    <row r="872" spans="1:112" customFormat="1" ht="85" x14ac:dyDescent="0.2">
      <c r="A872" s="2" t="s">
        <v>2571</v>
      </c>
      <c r="B872" s="2" t="s">
        <v>2572</v>
      </c>
      <c r="C872" s="2" t="s">
        <v>2572</v>
      </c>
      <c r="D872" s="1">
        <v>3</v>
      </c>
      <c r="E872" s="2" t="s">
        <v>23</v>
      </c>
      <c r="F872" s="2"/>
      <c r="G872" s="2" t="s">
        <v>2520</v>
      </c>
      <c r="H872" s="2" t="s">
        <v>538</v>
      </c>
      <c r="I872" s="2" t="s">
        <v>6804</v>
      </c>
      <c r="J872" s="25" t="s">
        <v>763</v>
      </c>
      <c r="K872" s="25" t="s">
        <v>859</v>
      </c>
      <c r="L872" s="25" t="s">
        <v>2561</v>
      </c>
      <c r="M872" s="25" t="s">
        <v>2562</v>
      </c>
      <c r="N872" s="25" t="s">
        <v>2573</v>
      </c>
      <c r="O872" s="25" t="s">
        <v>767</v>
      </c>
      <c r="P872" s="25" t="s">
        <v>497</v>
      </c>
      <c r="Q872" s="25" t="s">
        <v>41</v>
      </c>
      <c r="R872" s="25" t="s">
        <v>32</v>
      </c>
      <c r="S872" s="25" t="s">
        <v>33</v>
      </c>
      <c r="T872" s="25" t="s">
        <v>850</v>
      </c>
      <c r="U872" s="25" t="s">
        <v>4667</v>
      </c>
      <c r="V872" s="25" t="s">
        <v>4668</v>
      </c>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c r="BP872" s="25"/>
      <c r="BQ872" s="25"/>
      <c r="BR872" s="25"/>
      <c r="BS872" s="25"/>
      <c r="BT872" s="25"/>
      <c r="BU872" s="25"/>
      <c r="BV872" s="25"/>
      <c r="BW872" s="25"/>
      <c r="BX872" s="25"/>
      <c r="BY872" s="25"/>
      <c r="BZ872" s="25"/>
      <c r="CA872" s="25"/>
      <c r="CB872" s="25"/>
      <c r="CC872" s="25"/>
      <c r="CD872" s="25"/>
      <c r="CE872" s="25"/>
      <c r="CF872" s="25"/>
      <c r="CG872" s="25"/>
      <c r="CH872" s="25"/>
      <c r="CI872" s="25"/>
      <c r="CJ872" s="25"/>
      <c r="CK872" s="25"/>
      <c r="CL872" s="25"/>
      <c r="CM872" s="25"/>
      <c r="CN872" s="25"/>
      <c r="CO872" s="25"/>
      <c r="CP872" s="25"/>
      <c r="CQ872" s="25"/>
      <c r="CR872" s="25"/>
      <c r="CS872" s="25"/>
      <c r="CT872" s="25"/>
      <c r="CU872" s="25"/>
      <c r="CV872" s="25"/>
      <c r="CW872" s="25"/>
      <c r="CX872" s="25"/>
      <c r="CY872" s="25"/>
      <c r="CZ872" s="25"/>
      <c r="DA872" s="25"/>
      <c r="DB872" s="25"/>
      <c r="DC872" s="25"/>
      <c r="DD872" s="25"/>
      <c r="DE872" s="25"/>
      <c r="DF872" s="25"/>
      <c r="DG872" s="25"/>
      <c r="DH872" s="25"/>
    </row>
    <row r="873" spans="1:112" customFormat="1" ht="85" x14ac:dyDescent="0.2">
      <c r="A873" s="2" t="s">
        <v>2574</v>
      </c>
      <c r="B873" s="2" t="s">
        <v>2575</v>
      </c>
      <c r="C873" s="2" t="s">
        <v>2575</v>
      </c>
      <c r="D873" s="1">
        <v>3</v>
      </c>
      <c r="E873" s="2" t="s">
        <v>23</v>
      </c>
      <c r="F873" s="2"/>
      <c r="G873" s="2" t="s">
        <v>2520</v>
      </c>
      <c r="H873" s="2" t="s">
        <v>538</v>
      </c>
      <c r="I873" s="2" t="s">
        <v>6804</v>
      </c>
      <c r="J873" s="25" t="s">
        <v>763</v>
      </c>
      <c r="K873" s="25" t="s">
        <v>859</v>
      </c>
      <c r="L873" s="25" t="s">
        <v>2561</v>
      </c>
      <c r="M873" s="25" t="s">
        <v>2562</v>
      </c>
      <c r="N873" s="25" t="s">
        <v>2576</v>
      </c>
      <c r="O873" s="25" t="s">
        <v>767</v>
      </c>
      <c r="P873" s="25" t="s">
        <v>650</v>
      </c>
      <c r="Q873" s="25" t="s">
        <v>41</v>
      </c>
      <c r="R873" s="25" t="s">
        <v>32</v>
      </c>
      <c r="S873" s="25" t="s">
        <v>33</v>
      </c>
      <c r="T873" s="25" t="s">
        <v>850</v>
      </c>
      <c r="U873" s="25" t="s">
        <v>4669</v>
      </c>
      <c r="V873" s="25" t="s">
        <v>4670</v>
      </c>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c r="BP873" s="25"/>
      <c r="BQ873" s="25"/>
      <c r="BR873" s="25"/>
      <c r="BS873" s="25"/>
      <c r="BT873" s="25"/>
      <c r="BU873" s="25"/>
      <c r="BV873" s="25"/>
      <c r="BW873" s="25"/>
      <c r="BX873" s="25"/>
      <c r="BY873" s="25"/>
      <c r="BZ873" s="25"/>
      <c r="CA873" s="25"/>
      <c r="CB873" s="25"/>
      <c r="CC873" s="25"/>
      <c r="CD873" s="25"/>
      <c r="CE873" s="25"/>
      <c r="CF873" s="25"/>
      <c r="CG873" s="25"/>
      <c r="CH873" s="25"/>
      <c r="CI873" s="25"/>
      <c r="CJ873" s="25"/>
      <c r="CK873" s="25"/>
      <c r="CL873" s="25"/>
      <c r="CM873" s="25"/>
      <c r="CN873" s="25"/>
      <c r="CO873" s="25"/>
      <c r="CP873" s="25"/>
      <c r="CQ873" s="25"/>
      <c r="CR873" s="25"/>
      <c r="CS873" s="25"/>
      <c r="CT873" s="25"/>
      <c r="CU873" s="25"/>
      <c r="CV873" s="25"/>
      <c r="CW873" s="25"/>
      <c r="CX873" s="25"/>
      <c r="CY873" s="25"/>
      <c r="CZ873" s="25"/>
      <c r="DA873" s="25"/>
      <c r="DB873" s="25"/>
      <c r="DC873" s="25"/>
      <c r="DD873" s="25"/>
      <c r="DE873" s="25"/>
      <c r="DF873" s="25"/>
      <c r="DG873" s="25"/>
      <c r="DH873" s="25"/>
    </row>
    <row r="874" spans="1:112" customFormat="1" ht="85" x14ac:dyDescent="0.2">
      <c r="A874" s="2" t="s">
        <v>2577</v>
      </c>
      <c r="B874" s="2" t="s">
        <v>2578</v>
      </c>
      <c r="C874" s="2" t="s">
        <v>2578</v>
      </c>
      <c r="D874" s="1">
        <v>3</v>
      </c>
      <c r="E874" s="2" t="s">
        <v>23</v>
      </c>
      <c r="F874" s="2"/>
      <c r="G874" s="2" t="s">
        <v>2520</v>
      </c>
      <c r="H874" s="2" t="s">
        <v>538</v>
      </c>
      <c r="I874" s="2" t="s">
        <v>6804</v>
      </c>
      <c r="J874" s="25" t="s">
        <v>763</v>
      </c>
      <c r="K874" s="25" t="s">
        <v>859</v>
      </c>
      <c r="L874" s="25" t="s">
        <v>2561</v>
      </c>
      <c r="M874" s="25" t="s">
        <v>2562</v>
      </c>
      <c r="N874" s="25" t="s">
        <v>2579</v>
      </c>
      <c r="O874" s="25" t="s">
        <v>767</v>
      </c>
      <c r="P874" s="25" t="s">
        <v>2237</v>
      </c>
      <c r="Q874" s="25" t="s">
        <v>41</v>
      </c>
      <c r="R874" s="25" t="s">
        <v>32</v>
      </c>
      <c r="S874" s="25" t="s">
        <v>33</v>
      </c>
      <c r="T874" s="25" t="s">
        <v>850</v>
      </c>
      <c r="U874" s="25" t="s">
        <v>4671</v>
      </c>
      <c r="V874" s="25" t="s">
        <v>4672</v>
      </c>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c r="BP874" s="25"/>
      <c r="BQ874" s="25"/>
      <c r="BR874" s="25"/>
      <c r="BS874" s="25"/>
      <c r="BT874" s="25"/>
      <c r="BU874" s="25"/>
      <c r="BV874" s="25"/>
      <c r="BW874" s="25"/>
      <c r="BX874" s="25"/>
      <c r="BY874" s="25"/>
      <c r="BZ874" s="25"/>
      <c r="CA874" s="25"/>
      <c r="CB874" s="25"/>
      <c r="CC874" s="25"/>
      <c r="CD874" s="25"/>
      <c r="CE874" s="25"/>
      <c r="CF874" s="25"/>
      <c r="CG874" s="25"/>
      <c r="CH874" s="25"/>
      <c r="CI874" s="25"/>
      <c r="CJ874" s="25"/>
      <c r="CK874" s="25"/>
      <c r="CL874" s="25"/>
      <c r="CM874" s="25"/>
      <c r="CN874" s="25"/>
      <c r="CO874" s="25"/>
      <c r="CP874" s="25"/>
      <c r="CQ874" s="25"/>
      <c r="CR874" s="25"/>
      <c r="CS874" s="25"/>
      <c r="CT874" s="25"/>
      <c r="CU874" s="25"/>
      <c r="CV874" s="25"/>
      <c r="CW874" s="25"/>
      <c r="CX874" s="25"/>
      <c r="CY874" s="25"/>
      <c r="CZ874" s="25"/>
      <c r="DA874" s="25"/>
      <c r="DB874" s="25"/>
      <c r="DC874" s="25"/>
      <c r="DD874" s="25"/>
      <c r="DE874" s="25"/>
      <c r="DF874" s="25"/>
      <c r="DG874" s="25"/>
      <c r="DH874" s="25"/>
    </row>
    <row r="875" spans="1:112" customFormat="1" ht="85" x14ac:dyDescent="0.2">
      <c r="A875" s="7" t="s">
        <v>5652</v>
      </c>
      <c r="B875" s="7" t="s">
        <v>5653</v>
      </c>
      <c r="C875" s="2" t="s">
        <v>5653</v>
      </c>
      <c r="D875" s="1">
        <v>3</v>
      </c>
      <c r="E875" s="2" t="s">
        <v>23</v>
      </c>
      <c r="F875" s="2"/>
      <c r="G875" s="2" t="s">
        <v>2520</v>
      </c>
      <c r="H875" s="2" t="s">
        <v>538</v>
      </c>
      <c r="I875" s="2" t="s">
        <v>6804</v>
      </c>
      <c r="J875" s="34" t="s">
        <v>763</v>
      </c>
      <c r="K875" s="34" t="s">
        <v>859</v>
      </c>
      <c r="L875" s="34" t="s">
        <v>2561</v>
      </c>
      <c r="M875" s="34" t="s">
        <v>2562</v>
      </c>
      <c r="N875" s="34" t="s">
        <v>2579</v>
      </c>
      <c r="O875" s="34" t="s">
        <v>767</v>
      </c>
      <c r="P875" s="34" t="s">
        <v>2237</v>
      </c>
      <c r="Q875" s="34" t="s">
        <v>199</v>
      </c>
      <c r="R875" s="34" t="s">
        <v>32</v>
      </c>
      <c r="S875" s="34" t="s">
        <v>33</v>
      </c>
      <c r="T875" s="34" t="s">
        <v>850</v>
      </c>
      <c r="U875" s="34" t="s">
        <v>5654</v>
      </c>
      <c r="V875" s="34" t="s">
        <v>5654</v>
      </c>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c r="BQ875" s="34"/>
      <c r="BR875" s="34"/>
      <c r="BS875" s="34"/>
      <c r="BT875" s="34"/>
      <c r="BU875" s="34"/>
      <c r="BV875" s="34"/>
      <c r="BW875" s="34"/>
      <c r="BX875" s="34"/>
      <c r="BY875" s="34"/>
      <c r="BZ875" s="34"/>
      <c r="CA875" s="34"/>
      <c r="CB875" s="34"/>
      <c r="CC875" s="34"/>
      <c r="CD875" s="34"/>
      <c r="CE875" s="34"/>
      <c r="CF875" s="34"/>
      <c r="CG875" s="34"/>
      <c r="CH875" s="34"/>
      <c r="CI875" s="34"/>
      <c r="CJ875" s="34"/>
      <c r="CK875" s="34"/>
      <c r="CL875" s="34"/>
      <c r="CM875" s="34"/>
      <c r="CN875" s="34"/>
      <c r="CO875" s="34"/>
      <c r="CP875" s="34"/>
      <c r="CQ875" s="34"/>
      <c r="CR875" s="34"/>
      <c r="CS875" s="34"/>
      <c r="CT875" s="34"/>
      <c r="CU875" s="34"/>
      <c r="CV875" s="34"/>
      <c r="CW875" s="34"/>
      <c r="CX875" s="34"/>
      <c r="CY875" s="34"/>
      <c r="CZ875" s="34"/>
      <c r="DA875" s="34"/>
      <c r="DB875" s="34"/>
      <c r="DC875" s="34"/>
      <c r="DD875" s="34"/>
      <c r="DE875" s="34"/>
      <c r="DF875" s="34"/>
      <c r="DG875" s="34"/>
      <c r="DH875" s="34"/>
    </row>
    <row r="876" spans="1:112" customFormat="1" ht="85" x14ac:dyDescent="0.2">
      <c r="A876" s="2" t="s">
        <v>2580</v>
      </c>
      <c r="B876" s="2" t="s">
        <v>2581</v>
      </c>
      <c r="C876" s="2" t="s">
        <v>2581</v>
      </c>
      <c r="D876" s="1">
        <v>3</v>
      </c>
      <c r="E876" s="2" t="s">
        <v>23</v>
      </c>
      <c r="F876" s="2"/>
      <c r="G876" s="2" t="s">
        <v>2520</v>
      </c>
      <c r="H876" s="2" t="s">
        <v>538</v>
      </c>
      <c r="I876" s="2" t="s">
        <v>6804</v>
      </c>
      <c r="J876" s="25" t="s">
        <v>763</v>
      </c>
      <c r="K876" s="25" t="s">
        <v>859</v>
      </c>
      <c r="L876" s="25" t="s">
        <v>2561</v>
      </c>
      <c r="M876" s="25" t="s">
        <v>2562</v>
      </c>
      <c r="N876" s="25" t="s">
        <v>2582</v>
      </c>
      <c r="O876" s="25" t="s">
        <v>767</v>
      </c>
      <c r="P876" s="25" t="s">
        <v>849</v>
      </c>
      <c r="Q876" s="25" t="s">
        <v>41</v>
      </c>
      <c r="R876" s="25" t="s">
        <v>32</v>
      </c>
      <c r="S876" s="25" t="s">
        <v>33</v>
      </c>
      <c r="T876" s="25" t="s">
        <v>850</v>
      </c>
      <c r="U876" s="25" t="s">
        <v>3934</v>
      </c>
      <c r="V876" s="25" t="s">
        <v>3935</v>
      </c>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c r="BP876" s="25"/>
      <c r="BQ876" s="25"/>
      <c r="BR876" s="25"/>
      <c r="BS876" s="25"/>
      <c r="BT876" s="25"/>
      <c r="BU876" s="25"/>
      <c r="BV876" s="25"/>
      <c r="BW876" s="25"/>
      <c r="BX876" s="25"/>
      <c r="BY876" s="25"/>
      <c r="BZ876" s="25"/>
      <c r="CA876" s="25"/>
      <c r="CB876" s="25"/>
      <c r="CC876" s="25"/>
      <c r="CD876" s="25"/>
      <c r="CE876" s="25"/>
      <c r="CF876" s="25"/>
      <c r="CG876" s="25"/>
      <c r="CH876" s="25"/>
      <c r="CI876" s="25"/>
      <c r="CJ876" s="25"/>
      <c r="CK876" s="25"/>
      <c r="CL876" s="25"/>
      <c r="CM876" s="25"/>
      <c r="CN876" s="25"/>
      <c r="CO876" s="25"/>
      <c r="CP876" s="25"/>
      <c r="CQ876" s="25"/>
      <c r="CR876" s="25"/>
      <c r="CS876" s="25"/>
      <c r="CT876" s="25"/>
      <c r="CU876" s="25"/>
      <c r="CV876" s="25"/>
      <c r="CW876" s="25"/>
      <c r="CX876" s="25"/>
      <c r="CY876" s="25"/>
      <c r="CZ876" s="25"/>
      <c r="DA876" s="25"/>
      <c r="DB876" s="25"/>
      <c r="DC876" s="25"/>
      <c r="DD876" s="25"/>
      <c r="DE876" s="25"/>
      <c r="DF876" s="25"/>
      <c r="DG876" s="25"/>
      <c r="DH876" s="25"/>
    </row>
    <row r="877" spans="1:112" customFormat="1" ht="85" x14ac:dyDescent="0.2">
      <c r="A877" s="2" t="s">
        <v>2583</v>
      </c>
      <c r="B877" s="2" t="s">
        <v>2584</v>
      </c>
      <c r="C877" s="2" t="s">
        <v>2584</v>
      </c>
      <c r="D877" s="1">
        <v>3</v>
      </c>
      <c r="E877" s="2" t="s">
        <v>23</v>
      </c>
      <c r="F877" s="2"/>
      <c r="G877" s="2" t="s">
        <v>2520</v>
      </c>
      <c r="H877" s="2" t="s">
        <v>538</v>
      </c>
      <c r="I877" s="2" t="s">
        <v>6804</v>
      </c>
      <c r="J877" s="25" t="s">
        <v>763</v>
      </c>
      <c r="K877" s="25" t="s">
        <v>859</v>
      </c>
      <c r="L877" s="25" t="s">
        <v>2561</v>
      </c>
      <c r="M877" s="25" t="s">
        <v>2562</v>
      </c>
      <c r="N877" s="25" t="s">
        <v>2585</v>
      </c>
      <c r="O877" s="25" t="s">
        <v>767</v>
      </c>
      <c r="P877" s="25" t="s">
        <v>472</v>
      </c>
      <c r="Q877" s="25" t="s">
        <v>41</v>
      </c>
      <c r="R877" s="25" t="s">
        <v>32</v>
      </c>
      <c r="S877" s="25" t="s">
        <v>33</v>
      </c>
      <c r="T877" s="25" t="s">
        <v>850</v>
      </c>
      <c r="U877" s="25" t="s">
        <v>4673</v>
      </c>
      <c r="V877" s="25" t="s">
        <v>4674</v>
      </c>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c r="BM877" s="25"/>
      <c r="BN877" s="25"/>
      <c r="BO877" s="25"/>
      <c r="BP877" s="25"/>
      <c r="BQ877" s="25"/>
      <c r="BR877" s="25"/>
      <c r="BS877" s="25"/>
      <c r="BT877" s="25"/>
      <c r="BU877" s="25"/>
      <c r="BV877" s="25"/>
      <c r="BW877" s="25"/>
      <c r="BX877" s="25"/>
      <c r="BY877" s="25"/>
      <c r="BZ877" s="25"/>
      <c r="CA877" s="25"/>
      <c r="CB877" s="25"/>
      <c r="CC877" s="25"/>
      <c r="CD877" s="25"/>
      <c r="CE877" s="25"/>
      <c r="CF877" s="25"/>
      <c r="CG877" s="25"/>
      <c r="CH877" s="25"/>
      <c r="CI877" s="25"/>
      <c r="CJ877" s="25"/>
      <c r="CK877" s="25"/>
      <c r="CL877" s="25"/>
      <c r="CM877" s="25"/>
      <c r="CN877" s="25"/>
      <c r="CO877" s="25"/>
      <c r="CP877" s="25"/>
      <c r="CQ877" s="25"/>
      <c r="CR877" s="25"/>
      <c r="CS877" s="25"/>
      <c r="CT877" s="25"/>
      <c r="CU877" s="25"/>
      <c r="CV877" s="25"/>
      <c r="CW877" s="25"/>
      <c r="CX877" s="25"/>
      <c r="CY877" s="25"/>
      <c r="CZ877" s="25"/>
      <c r="DA877" s="25"/>
      <c r="DB877" s="25"/>
      <c r="DC877" s="25"/>
      <c r="DD877" s="25"/>
      <c r="DE877" s="25"/>
      <c r="DF877" s="25"/>
      <c r="DG877" s="25"/>
      <c r="DH877" s="25"/>
    </row>
    <row r="878" spans="1:112" customFormat="1" ht="85" x14ac:dyDescent="0.2">
      <c r="A878" s="2" t="s">
        <v>2586</v>
      </c>
      <c r="B878" s="2" t="s">
        <v>2587</v>
      </c>
      <c r="C878" s="2" t="s">
        <v>2587</v>
      </c>
      <c r="D878" s="1">
        <v>3</v>
      </c>
      <c r="E878" s="2" t="s">
        <v>23</v>
      </c>
      <c r="F878" s="2"/>
      <c r="G878" s="2" t="s">
        <v>2520</v>
      </c>
      <c r="H878" s="2" t="s">
        <v>538</v>
      </c>
      <c r="I878" s="2" t="s">
        <v>6804</v>
      </c>
      <c r="J878" s="25" t="s">
        <v>763</v>
      </c>
      <c r="K878" s="25" t="s">
        <v>859</v>
      </c>
      <c r="L878" s="25" t="s">
        <v>2561</v>
      </c>
      <c r="M878" s="25" t="s">
        <v>2562</v>
      </c>
      <c r="N878" s="25" t="s">
        <v>2585</v>
      </c>
      <c r="O878" s="25" t="s">
        <v>767</v>
      </c>
      <c r="P878" s="25" t="s">
        <v>472</v>
      </c>
      <c r="Q878" s="25" t="s">
        <v>199</v>
      </c>
      <c r="R878" s="25" t="s">
        <v>32</v>
      </c>
      <c r="S878" s="25" t="s">
        <v>33</v>
      </c>
      <c r="T878" s="25" t="s">
        <v>850</v>
      </c>
      <c r="U878" s="25" t="s">
        <v>4673</v>
      </c>
      <c r="V878" s="25" t="s">
        <v>4674</v>
      </c>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c r="BM878" s="25"/>
      <c r="BN878" s="25"/>
      <c r="BO878" s="25"/>
      <c r="BP878" s="25"/>
      <c r="BQ878" s="25"/>
      <c r="BR878" s="25"/>
      <c r="BS878" s="25"/>
      <c r="BT878" s="25"/>
      <c r="BU878" s="25"/>
      <c r="BV878" s="25"/>
      <c r="BW878" s="25"/>
      <c r="BX878" s="25"/>
      <c r="BY878" s="25"/>
      <c r="BZ878" s="25"/>
      <c r="CA878" s="25"/>
      <c r="CB878" s="25"/>
      <c r="CC878" s="25"/>
      <c r="CD878" s="25"/>
      <c r="CE878" s="25"/>
      <c r="CF878" s="25"/>
      <c r="CG878" s="25"/>
      <c r="CH878" s="25"/>
      <c r="CI878" s="25"/>
      <c r="CJ878" s="25"/>
      <c r="CK878" s="25"/>
      <c r="CL878" s="25"/>
      <c r="CM878" s="25"/>
      <c r="CN878" s="25"/>
      <c r="CO878" s="25"/>
      <c r="CP878" s="25"/>
      <c r="CQ878" s="25"/>
      <c r="CR878" s="25"/>
      <c r="CS878" s="25"/>
      <c r="CT878" s="25"/>
      <c r="CU878" s="25"/>
      <c r="CV878" s="25"/>
      <c r="CW878" s="25"/>
      <c r="CX878" s="25"/>
      <c r="CY878" s="25"/>
      <c r="CZ878" s="25"/>
      <c r="DA878" s="25"/>
      <c r="DB878" s="25"/>
      <c r="DC878" s="25"/>
      <c r="DD878" s="25"/>
      <c r="DE878" s="25"/>
      <c r="DF878" s="25"/>
      <c r="DG878" s="25"/>
      <c r="DH878" s="25"/>
    </row>
    <row r="879" spans="1:112" customFormat="1" ht="85" x14ac:dyDescent="0.2">
      <c r="A879" s="2" t="s">
        <v>2588</v>
      </c>
      <c r="B879" s="2" t="s">
        <v>2589</v>
      </c>
      <c r="C879" s="2" t="s">
        <v>2589</v>
      </c>
      <c r="D879" s="1">
        <v>3</v>
      </c>
      <c r="E879" s="2" t="s">
        <v>23</v>
      </c>
      <c r="F879" s="2"/>
      <c r="G879" s="2" t="s">
        <v>2520</v>
      </c>
      <c r="H879" s="2" t="s">
        <v>538</v>
      </c>
      <c r="I879" s="2" t="s">
        <v>6804</v>
      </c>
      <c r="J879" s="25" t="s">
        <v>763</v>
      </c>
      <c r="K879" s="25" t="s">
        <v>859</v>
      </c>
      <c r="L879" s="25" t="s">
        <v>2561</v>
      </c>
      <c r="M879" s="25" t="s">
        <v>2562</v>
      </c>
      <c r="N879" s="25" t="s">
        <v>2590</v>
      </c>
      <c r="O879" s="25" t="s">
        <v>848</v>
      </c>
      <c r="P879" s="25" t="s">
        <v>1161</v>
      </c>
      <c r="Q879" s="25" t="s">
        <v>41</v>
      </c>
      <c r="R879" s="25" t="s">
        <v>32</v>
      </c>
      <c r="S879" s="25" t="s">
        <v>33</v>
      </c>
      <c r="T879" s="25" t="s">
        <v>850</v>
      </c>
      <c r="U879" s="25" t="s">
        <v>2591</v>
      </c>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c r="BP879" s="25"/>
      <c r="BQ879" s="25"/>
      <c r="BR879" s="25"/>
      <c r="BS879" s="25"/>
      <c r="BT879" s="25"/>
      <c r="BU879" s="25"/>
      <c r="BV879" s="25"/>
      <c r="BW879" s="25"/>
      <c r="BX879" s="25"/>
      <c r="BY879" s="25"/>
      <c r="BZ879" s="25"/>
      <c r="CA879" s="25"/>
      <c r="CB879" s="25"/>
      <c r="CC879" s="25"/>
      <c r="CD879" s="25"/>
      <c r="CE879" s="25"/>
      <c r="CF879" s="25"/>
      <c r="CG879" s="25"/>
      <c r="CH879" s="25"/>
      <c r="CI879" s="25"/>
      <c r="CJ879" s="25"/>
      <c r="CK879" s="25"/>
      <c r="CL879" s="25"/>
      <c r="CM879" s="25"/>
      <c r="CN879" s="25"/>
      <c r="CO879" s="25"/>
      <c r="CP879" s="25"/>
      <c r="CQ879" s="25"/>
      <c r="CR879" s="25"/>
      <c r="CS879" s="25"/>
      <c r="CT879" s="25"/>
      <c r="CU879" s="25"/>
      <c r="CV879" s="25"/>
      <c r="CW879" s="25"/>
      <c r="CX879" s="25"/>
      <c r="CY879" s="25"/>
      <c r="CZ879" s="25"/>
      <c r="DA879" s="25"/>
      <c r="DB879" s="25"/>
      <c r="DC879" s="25"/>
      <c r="DD879" s="25"/>
      <c r="DE879" s="25"/>
      <c r="DF879" s="25"/>
      <c r="DG879" s="25"/>
      <c r="DH879" s="25"/>
    </row>
    <row r="880" spans="1:112" customFormat="1" ht="85" x14ac:dyDescent="0.2">
      <c r="A880" s="2" t="s">
        <v>2592</v>
      </c>
      <c r="B880" s="2" t="s">
        <v>2593</v>
      </c>
      <c r="C880" s="2" t="s">
        <v>2593</v>
      </c>
      <c r="D880" s="1">
        <v>3</v>
      </c>
      <c r="E880" s="2" t="s">
        <v>61</v>
      </c>
      <c r="F880" s="2" t="s">
        <v>2594</v>
      </c>
      <c r="G880" s="2" t="s">
        <v>2520</v>
      </c>
      <c r="H880" s="2" t="s">
        <v>2595</v>
      </c>
      <c r="I880" s="2"/>
      <c r="J880" s="25" t="s">
        <v>469</v>
      </c>
      <c r="K880" s="25" t="s">
        <v>470</v>
      </c>
      <c r="L880" s="25" t="s">
        <v>682</v>
      </c>
      <c r="M880" s="25">
        <v>95</v>
      </c>
      <c r="N880" s="25" t="s">
        <v>2596</v>
      </c>
      <c r="O880" s="25">
        <v>96</v>
      </c>
      <c r="P880" s="25">
        <v>3</v>
      </c>
      <c r="Q880" s="25">
        <v>0</v>
      </c>
      <c r="R880" s="25" t="s">
        <v>32</v>
      </c>
      <c r="S880" s="25" t="s">
        <v>33</v>
      </c>
      <c r="T880" s="25" t="s">
        <v>2597</v>
      </c>
      <c r="U880" s="25" t="s">
        <v>4675</v>
      </c>
      <c r="V880" s="25" t="s">
        <v>4676</v>
      </c>
      <c r="W880" s="25" t="s">
        <v>4677</v>
      </c>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c r="BP880" s="25"/>
      <c r="BQ880" s="25"/>
      <c r="BR880" s="25"/>
      <c r="BS880" s="25"/>
      <c r="BT880" s="25"/>
      <c r="BU880" s="25"/>
      <c r="BV880" s="25"/>
      <c r="BW880" s="25"/>
      <c r="BX880" s="25"/>
      <c r="BY880" s="25"/>
      <c r="BZ880" s="25"/>
      <c r="CA880" s="25"/>
      <c r="CB880" s="25"/>
      <c r="CC880" s="25"/>
      <c r="CD880" s="25"/>
      <c r="CE880" s="25"/>
      <c r="CF880" s="25"/>
      <c r="CG880" s="25"/>
      <c r="CH880" s="25"/>
      <c r="CI880" s="25"/>
      <c r="CJ880" s="25"/>
      <c r="CK880" s="25"/>
      <c r="CL880" s="25"/>
      <c r="CM880" s="25"/>
      <c r="CN880" s="25"/>
      <c r="CO880" s="25"/>
      <c r="CP880" s="25"/>
      <c r="CQ880" s="25"/>
      <c r="CR880" s="25"/>
      <c r="CS880" s="25"/>
      <c r="CT880" s="25"/>
      <c r="CU880" s="25"/>
      <c r="CV880" s="25"/>
      <c r="CW880" s="25"/>
      <c r="CX880" s="25"/>
      <c r="CY880" s="25"/>
      <c r="CZ880" s="25"/>
      <c r="DA880" s="25"/>
      <c r="DB880" s="25"/>
      <c r="DC880" s="25"/>
      <c r="DD880" s="25"/>
      <c r="DE880" s="25"/>
      <c r="DF880" s="25"/>
      <c r="DG880" s="25"/>
      <c r="DH880" s="25"/>
    </row>
    <row r="881" spans="1:112" customFormat="1" ht="102" x14ac:dyDescent="0.2">
      <c r="A881" s="2" t="s">
        <v>2598</v>
      </c>
      <c r="B881" s="2" t="s">
        <v>2599</v>
      </c>
      <c r="C881" s="2" t="s">
        <v>2599</v>
      </c>
      <c r="D881" s="1">
        <v>3</v>
      </c>
      <c r="E881" s="2" t="s">
        <v>61</v>
      </c>
      <c r="F881" s="2" t="s">
        <v>2600</v>
      </c>
      <c r="G881" s="2" t="s">
        <v>2520</v>
      </c>
      <c r="H881" s="2">
        <v>2500</v>
      </c>
      <c r="I881" s="2"/>
      <c r="J881" s="25" t="s">
        <v>469</v>
      </c>
      <c r="K881" s="25" t="s">
        <v>470</v>
      </c>
      <c r="L881" s="25" t="s">
        <v>2601</v>
      </c>
      <c r="M881" s="25">
        <v>96</v>
      </c>
      <c r="N881" s="25" t="s">
        <v>2602</v>
      </c>
      <c r="O881" s="25">
        <v>98</v>
      </c>
      <c r="P881" s="25">
        <v>95</v>
      </c>
      <c r="Q881" s="25">
        <v>0</v>
      </c>
      <c r="R881" s="25" t="s">
        <v>32</v>
      </c>
      <c r="S881" s="25" t="s">
        <v>33</v>
      </c>
      <c r="T881" s="25" t="s">
        <v>2603</v>
      </c>
      <c r="U881" s="25" t="s">
        <v>292</v>
      </c>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c r="BP881" s="25"/>
      <c r="BQ881" s="25"/>
      <c r="BR881" s="25"/>
      <c r="BS881" s="25"/>
      <c r="BT881" s="25"/>
      <c r="BU881" s="25"/>
      <c r="BV881" s="25"/>
      <c r="BW881" s="25"/>
      <c r="BX881" s="25"/>
      <c r="BY881" s="25"/>
      <c r="BZ881" s="25"/>
      <c r="CA881" s="25"/>
      <c r="CB881" s="25"/>
      <c r="CC881" s="25"/>
      <c r="CD881" s="25"/>
      <c r="CE881" s="25"/>
      <c r="CF881" s="25"/>
      <c r="CG881" s="25"/>
      <c r="CH881" s="25"/>
      <c r="CI881" s="25"/>
      <c r="CJ881" s="25"/>
      <c r="CK881" s="25"/>
      <c r="CL881" s="25"/>
      <c r="CM881" s="25"/>
      <c r="CN881" s="25"/>
      <c r="CO881" s="25"/>
      <c r="CP881" s="25"/>
      <c r="CQ881" s="25"/>
      <c r="CR881" s="25"/>
      <c r="CS881" s="25"/>
      <c r="CT881" s="25"/>
      <c r="CU881" s="25"/>
      <c r="CV881" s="25"/>
      <c r="CW881" s="25"/>
      <c r="CX881" s="25"/>
      <c r="CY881" s="25"/>
      <c r="CZ881" s="25"/>
      <c r="DA881" s="25"/>
      <c r="DB881" s="25"/>
      <c r="DC881" s="25"/>
      <c r="DD881" s="25"/>
      <c r="DE881" s="25"/>
      <c r="DF881" s="25"/>
      <c r="DG881" s="25"/>
      <c r="DH881" s="25"/>
    </row>
    <row r="882" spans="1:112" customFormat="1" ht="68" x14ac:dyDescent="0.2">
      <c r="A882" s="7" t="s">
        <v>5709</v>
      </c>
      <c r="B882" s="7" t="s">
        <v>5710</v>
      </c>
      <c r="C882" s="2" t="s">
        <v>5710</v>
      </c>
      <c r="D882" s="5">
        <v>3</v>
      </c>
      <c r="E882" s="6" t="s">
        <v>61</v>
      </c>
      <c r="F882" s="6"/>
      <c r="G882" s="6" t="s">
        <v>2507</v>
      </c>
      <c r="H882" s="6" t="s">
        <v>1863</v>
      </c>
      <c r="I882" s="6" t="s">
        <v>6060</v>
      </c>
      <c r="J882" s="34" t="s">
        <v>469</v>
      </c>
      <c r="K882" s="34" t="s">
        <v>470</v>
      </c>
      <c r="L882" s="34" t="s">
        <v>1262</v>
      </c>
      <c r="M882" s="34" t="s">
        <v>1094</v>
      </c>
      <c r="N882" s="34" t="s">
        <v>5711</v>
      </c>
      <c r="O882" s="34" t="s">
        <v>2389</v>
      </c>
      <c r="P882" s="34" t="s">
        <v>703</v>
      </c>
      <c r="Q882" s="34" t="s">
        <v>41</v>
      </c>
      <c r="R882" s="34" t="s">
        <v>32</v>
      </c>
      <c r="S882" s="34" t="s">
        <v>33</v>
      </c>
      <c r="T882" s="34" t="s">
        <v>5712</v>
      </c>
      <c r="U882" s="34" t="s">
        <v>5713</v>
      </c>
      <c r="V882" s="34" t="s">
        <v>5713</v>
      </c>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c r="BQ882" s="34"/>
      <c r="BR882" s="34"/>
      <c r="BS882" s="34"/>
      <c r="BT882" s="34"/>
      <c r="BU882" s="34"/>
      <c r="BV882" s="34"/>
      <c r="BW882" s="34"/>
      <c r="BX882" s="34"/>
      <c r="BY882" s="34"/>
      <c r="BZ882" s="34"/>
      <c r="CA882" s="34"/>
      <c r="CB882" s="34"/>
      <c r="CC882" s="34"/>
      <c r="CD882" s="34"/>
      <c r="CE882" s="34"/>
      <c r="CF882" s="34"/>
      <c r="CG882" s="34"/>
      <c r="CH882" s="34"/>
      <c r="CI882" s="34"/>
      <c r="CJ882" s="34"/>
      <c r="CK882" s="34"/>
      <c r="CL882" s="34"/>
      <c r="CM882" s="34"/>
      <c r="CN882" s="34"/>
      <c r="CO882" s="34"/>
      <c r="CP882" s="34"/>
      <c r="CQ882" s="34"/>
      <c r="CR882" s="34"/>
      <c r="CS882" s="34"/>
      <c r="CT882" s="34"/>
      <c r="CU882" s="34"/>
      <c r="CV882" s="34"/>
      <c r="CW882" s="34"/>
      <c r="CX882" s="34"/>
      <c r="CY882" s="34"/>
      <c r="CZ882" s="34"/>
      <c r="DA882" s="34"/>
      <c r="DB882" s="34"/>
      <c r="DC882" s="34"/>
      <c r="DD882" s="34"/>
      <c r="DE882" s="34"/>
      <c r="DF882" s="34"/>
      <c r="DG882" s="34"/>
      <c r="DH882" s="34"/>
    </row>
    <row r="883" spans="1:112" customFormat="1" ht="136" x14ac:dyDescent="0.2">
      <c r="A883" s="7" t="s">
        <v>5742</v>
      </c>
      <c r="B883" s="7" t="s">
        <v>5743</v>
      </c>
      <c r="C883" s="2" t="s">
        <v>5743</v>
      </c>
      <c r="D883" s="5">
        <v>3</v>
      </c>
      <c r="E883" s="6" t="s">
        <v>61</v>
      </c>
      <c r="F883" s="6" t="s">
        <v>6064</v>
      </c>
      <c r="G883" s="6"/>
      <c r="H883" s="8" t="s">
        <v>6062</v>
      </c>
      <c r="I883" s="6" t="s">
        <v>6063</v>
      </c>
      <c r="J883" s="34" t="s">
        <v>469</v>
      </c>
      <c r="K883" s="34" t="s">
        <v>470</v>
      </c>
      <c r="L883" s="34" t="s">
        <v>1262</v>
      </c>
      <c r="M883" s="34" t="s">
        <v>1094</v>
      </c>
      <c r="N883" s="34" t="s">
        <v>5744</v>
      </c>
      <c r="O883" s="34" t="s">
        <v>1094</v>
      </c>
      <c r="P883" s="34" t="s">
        <v>214</v>
      </c>
      <c r="Q883" s="34" t="s">
        <v>41</v>
      </c>
      <c r="R883" s="34" t="s">
        <v>32</v>
      </c>
      <c r="S883" s="34" t="s">
        <v>33</v>
      </c>
      <c r="T883" s="34" t="s">
        <v>5745</v>
      </c>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c r="BQ883" s="34"/>
      <c r="BR883" s="34"/>
      <c r="BS883" s="34"/>
      <c r="BT883" s="34"/>
      <c r="BU883" s="34"/>
      <c r="BV883" s="34"/>
      <c r="BW883" s="34"/>
      <c r="BX883" s="34"/>
      <c r="BY883" s="34"/>
      <c r="BZ883" s="34"/>
      <c r="CA883" s="34"/>
      <c r="CB883" s="34"/>
      <c r="CC883" s="34"/>
      <c r="CD883" s="34"/>
      <c r="CE883" s="34"/>
      <c r="CF883" s="34"/>
      <c r="CG883" s="34"/>
      <c r="CH883" s="34"/>
      <c r="CI883" s="34"/>
      <c r="CJ883" s="34"/>
      <c r="CK883" s="34"/>
      <c r="CL883" s="34"/>
      <c r="CM883" s="34"/>
      <c r="CN883" s="34"/>
      <c r="CO883" s="34"/>
      <c r="CP883" s="34"/>
      <c r="CQ883" s="34"/>
      <c r="CR883" s="34"/>
      <c r="CS883" s="34"/>
      <c r="CT883" s="34"/>
      <c r="CU883" s="34"/>
      <c r="CV883" s="34"/>
      <c r="CW883" s="34"/>
      <c r="CX883" s="34"/>
      <c r="CY883" s="34"/>
      <c r="CZ883" s="34"/>
      <c r="DA883" s="34"/>
      <c r="DB883" s="34"/>
      <c r="DC883" s="34"/>
      <c r="DD883" s="34"/>
      <c r="DE883" s="34"/>
      <c r="DF883" s="34"/>
      <c r="DG883" s="34"/>
      <c r="DH883" s="34"/>
    </row>
    <row r="884" spans="1:112" customFormat="1" ht="204" x14ac:dyDescent="0.2">
      <c r="A884" s="2" t="s">
        <v>2604</v>
      </c>
      <c r="B884" s="2" t="s">
        <v>2605</v>
      </c>
      <c r="C884" s="2" t="s">
        <v>2606</v>
      </c>
      <c r="D884" s="1">
        <v>3</v>
      </c>
      <c r="E884" s="2" t="s">
        <v>23</v>
      </c>
      <c r="F884" s="2"/>
      <c r="G884" s="2" t="s">
        <v>2520</v>
      </c>
      <c r="H884" s="2" t="s">
        <v>1184</v>
      </c>
      <c r="I884" s="2" t="s">
        <v>2258</v>
      </c>
      <c r="J884" s="25" t="s">
        <v>645</v>
      </c>
      <c r="K884" s="25" t="s">
        <v>2454</v>
      </c>
      <c r="L884" s="25" t="s">
        <v>2455</v>
      </c>
      <c r="M884" s="25" t="s">
        <v>2456</v>
      </c>
      <c r="N884" s="25" t="s">
        <v>2607</v>
      </c>
      <c r="O884" s="25">
        <v>125</v>
      </c>
      <c r="P884" s="25">
        <v>9</v>
      </c>
      <c r="Q884" s="25">
        <v>0</v>
      </c>
      <c r="R884" s="25" t="s">
        <v>32</v>
      </c>
      <c r="S884" s="25" t="s">
        <v>33</v>
      </c>
      <c r="T884" s="25" t="s">
        <v>2608</v>
      </c>
      <c r="U884" s="25" t="s">
        <v>4678</v>
      </c>
      <c r="V884" s="25" t="s">
        <v>4679</v>
      </c>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c r="BP884" s="25"/>
      <c r="BQ884" s="25"/>
      <c r="BR884" s="25"/>
      <c r="BS884" s="25"/>
      <c r="BT884" s="25"/>
      <c r="BU884" s="25"/>
      <c r="BV884" s="25"/>
      <c r="BW884" s="25"/>
      <c r="BX884" s="25"/>
      <c r="BY884" s="25"/>
      <c r="BZ884" s="25"/>
      <c r="CA884" s="25"/>
      <c r="CB884" s="25"/>
      <c r="CC884" s="25"/>
      <c r="CD884" s="25"/>
      <c r="CE884" s="25"/>
      <c r="CF884" s="25"/>
      <c r="CG884" s="25"/>
      <c r="CH884" s="25"/>
      <c r="CI884" s="25"/>
      <c r="CJ884" s="25"/>
      <c r="CK884" s="25"/>
      <c r="CL884" s="25"/>
      <c r="CM884" s="25"/>
      <c r="CN884" s="25"/>
      <c r="CO884" s="25"/>
      <c r="CP884" s="25"/>
      <c r="CQ884" s="25"/>
      <c r="CR884" s="25"/>
      <c r="CS884" s="25"/>
      <c r="CT884" s="25"/>
      <c r="CU884" s="25"/>
      <c r="CV884" s="25"/>
      <c r="CW884" s="25"/>
      <c r="CX884" s="25"/>
      <c r="CY884" s="25"/>
      <c r="CZ884" s="25"/>
      <c r="DA884" s="25"/>
      <c r="DB884" s="25"/>
      <c r="DC884" s="25"/>
      <c r="DD884" s="25"/>
      <c r="DE884" s="25"/>
      <c r="DF884" s="25"/>
      <c r="DG884" s="25"/>
      <c r="DH884" s="25"/>
    </row>
    <row r="885" spans="1:112" customFormat="1" ht="204" x14ac:dyDescent="0.2">
      <c r="A885" s="2" t="s">
        <v>2609</v>
      </c>
      <c r="B885" s="2" t="s">
        <v>2610</v>
      </c>
      <c r="C885" s="2" t="s">
        <v>2611</v>
      </c>
      <c r="D885" s="1">
        <v>3</v>
      </c>
      <c r="E885" s="28" t="s">
        <v>23</v>
      </c>
      <c r="F885" s="28"/>
      <c r="G885" s="28" t="s">
        <v>2520</v>
      </c>
      <c r="H885" s="28" t="s">
        <v>1184</v>
      </c>
      <c r="I885" s="28" t="s">
        <v>2258</v>
      </c>
      <c r="J885" s="25" t="s">
        <v>645</v>
      </c>
      <c r="K885" s="25" t="s">
        <v>2454</v>
      </c>
      <c r="L885" s="25" t="s">
        <v>2455</v>
      </c>
      <c r="M885" s="25" t="s">
        <v>2456</v>
      </c>
      <c r="N885" s="25" t="s">
        <v>2607</v>
      </c>
      <c r="O885" s="25">
        <v>125</v>
      </c>
      <c r="P885" s="25">
        <v>9</v>
      </c>
      <c r="Q885" s="25" t="s">
        <v>199</v>
      </c>
      <c r="R885" s="25" t="s">
        <v>32</v>
      </c>
      <c r="S885" s="25" t="s">
        <v>33</v>
      </c>
      <c r="T885" s="25" t="s">
        <v>2608</v>
      </c>
      <c r="U885" s="25" t="s">
        <v>4678</v>
      </c>
      <c r="V885" s="25" t="s">
        <v>4679</v>
      </c>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c r="BP885" s="25"/>
      <c r="BQ885" s="25"/>
      <c r="BR885" s="25"/>
      <c r="BS885" s="25"/>
      <c r="BT885" s="25"/>
      <c r="BU885" s="25"/>
      <c r="BV885" s="25"/>
      <c r="BW885" s="25"/>
      <c r="BX885" s="25"/>
      <c r="BY885" s="25"/>
      <c r="BZ885" s="25"/>
      <c r="CA885" s="25"/>
      <c r="CB885" s="25"/>
      <c r="CC885" s="25"/>
      <c r="CD885" s="25"/>
      <c r="CE885" s="25"/>
      <c r="CF885" s="25"/>
      <c r="CG885" s="25"/>
      <c r="CH885" s="25"/>
      <c r="CI885" s="25"/>
      <c r="CJ885" s="25"/>
      <c r="CK885" s="25"/>
      <c r="CL885" s="25"/>
      <c r="CM885" s="25"/>
      <c r="CN885" s="25"/>
      <c r="CO885" s="25"/>
      <c r="CP885" s="25"/>
      <c r="CQ885" s="25"/>
      <c r="CR885" s="25"/>
      <c r="CS885" s="25"/>
      <c r="CT885" s="25"/>
      <c r="CU885" s="25"/>
      <c r="CV885" s="25"/>
      <c r="CW885" s="25"/>
      <c r="CX885" s="25"/>
      <c r="CY885" s="25"/>
      <c r="CZ885" s="25"/>
      <c r="DA885" s="25"/>
      <c r="DB885" s="25"/>
      <c r="DC885" s="25"/>
      <c r="DD885" s="25"/>
      <c r="DE885" s="25"/>
      <c r="DF885" s="25"/>
      <c r="DG885" s="25"/>
      <c r="DH885" s="25"/>
    </row>
    <row r="886" spans="1:112" customFormat="1" ht="102" x14ac:dyDescent="0.2">
      <c r="A886" s="2" t="s">
        <v>2612</v>
      </c>
      <c r="B886" s="2" t="s">
        <v>2613</v>
      </c>
      <c r="C886" s="2" t="s">
        <v>2613</v>
      </c>
      <c r="D886" s="1">
        <v>3</v>
      </c>
      <c r="E886" s="28" t="s">
        <v>61</v>
      </c>
      <c r="F886" s="28"/>
      <c r="G886" s="28" t="s">
        <v>2520</v>
      </c>
      <c r="H886" s="28" t="s">
        <v>2614</v>
      </c>
      <c r="I886" s="28" t="s">
        <v>2615</v>
      </c>
      <c r="J886" s="25" t="s">
        <v>1284</v>
      </c>
      <c r="K886" s="25" t="s">
        <v>1284</v>
      </c>
      <c r="L886" s="25" t="s">
        <v>1284</v>
      </c>
      <c r="M886" s="25" t="s">
        <v>1285</v>
      </c>
      <c r="N886" s="25" t="s">
        <v>2616</v>
      </c>
      <c r="O886" s="25">
        <v>125</v>
      </c>
      <c r="P886" s="25">
        <v>22</v>
      </c>
      <c r="Q886" s="25">
        <v>0</v>
      </c>
      <c r="R886" s="25" t="s">
        <v>1287</v>
      </c>
      <c r="S886" s="25" t="s">
        <v>33</v>
      </c>
      <c r="T886" s="25" t="s">
        <v>2617</v>
      </c>
      <c r="U886" s="25" t="s">
        <v>4680</v>
      </c>
      <c r="V886" s="25" t="s">
        <v>4681</v>
      </c>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c r="BM886" s="25"/>
      <c r="BN886" s="25"/>
      <c r="BO886" s="25"/>
      <c r="BP886" s="25"/>
      <c r="BQ886" s="25"/>
      <c r="BR886" s="25"/>
      <c r="BS886" s="25"/>
      <c r="BT886" s="25"/>
      <c r="BU886" s="25"/>
      <c r="BV886" s="25"/>
      <c r="BW886" s="25"/>
      <c r="BX886" s="25"/>
      <c r="BY886" s="25"/>
      <c r="BZ886" s="25"/>
      <c r="CA886" s="25"/>
      <c r="CB886" s="25"/>
      <c r="CC886" s="25"/>
      <c r="CD886" s="25"/>
      <c r="CE886" s="25"/>
      <c r="CF886" s="25"/>
      <c r="CG886" s="25"/>
      <c r="CH886" s="25"/>
      <c r="CI886" s="25"/>
      <c r="CJ886" s="25"/>
      <c r="CK886" s="25"/>
      <c r="CL886" s="25"/>
      <c r="CM886" s="25"/>
      <c r="CN886" s="25"/>
      <c r="CO886" s="25"/>
      <c r="CP886" s="25"/>
      <c r="CQ886" s="25"/>
      <c r="CR886" s="25"/>
      <c r="CS886" s="25"/>
      <c r="CT886" s="25"/>
      <c r="CU886" s="25"/>
      <c r="CV886" s="25"/>
      <c r="CW886" s="25"/>
      <c r="CX886" s="25"/>
      <c r="CY886" s="25"/>
      <c r="CZ886" s="25"/>
      <c r="DA886" s="25"/>
      <c r="DB886" s="25"/>
      <c r="DC886" s="25"/>
      <c r="DD886" s="25"/>
      <c r="DE886" s="25"/>
      <c r="DF886" s="25"/>
      <c r="DG886" s="25"/>
      <c r="DH886" s="25"/>
    </row>
    <row r="887" spans="1:112" customFormat="1" ht="102" x14ac:dyDescent="0.2">
      <c r="A887" s="7" t="s">
        <v>5832</v>
      </c>
      <c r="B887" s="7" t="s">
        <v>5833</v>
      </c>
      <c r="C887" s="2" t="s">
        <v>5833</v>
      </c>
      <c r="D887" s="1">
        <v>3</v>
      </c>
      <c r="E887" s="2" t="s">
        <v>61</v>
      </c>
      <c r="F887" s="2" t="s">
        <v>6078</v>
      </c>
      <c r="G887" s="2" t="s">
        <v>2520</v>
      </c>
      <c r="H887" s="2" t="s">
        <v>2614</v>
      </c>
      <c r="I887" s="2" t="s">
        <v>2615</v>
      </c>
      <c r="J887" s="25" t="s">
        <v>1284</v>
      </c>
      <c r="K887" s="25" t="s">
        <v>1284</v>
      </c>
      <c r="L887" s="25" t="s">
        <v>1284</v>
      </c>
      <c r="M887" s="25" t="s">
        <v>1285</v>
      </c>
      <c r="N887" s="25" t="s">
        <v>2616</v>
      </c>
      <c r="O887" s="25">
        <v>125</v>
      </c>
      <c r="P887" s="25">
        <v>22</v>
      </c>
      <c r="Q887" s="34" t="s">
        <v>41</v>
      </c>
      <c r="R887" s="34" t="s">
        <v>1287</v>
      </c>
      <c r="S887" s="34" t="s">
        <v>33</v>
      </c>
      <c r="T887" s="34" t="s">
        <v>5834</v>
      </c>
      <c r="U887" s="34" t="s">
        <v>5835</v>
      </c>
      <c r="V887" s="34" t="s">
        <v>5835</v>
      </c>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c r="BQ887" s="34"/>
      <c r="BR887" s="34"/>
      <c r="BS887" s="34"/>
      <c r="BT887" s="34"/>
      <c r="BU887" s="34"/>
      <c r="BV887" s="34"/>
      <c r="BW887" s="34"/>
      <c r="BX887" s="34"/>
      <c r="BY887" s="34"/>
      <c r="BZ887" s="34"/>
      <c r="CA887" s="34"/>
      <c r="CB887" s="34"/>
      <c r="CC887" s="34"/>
      <c r="CD887" s="34"/>
      <c r="CE887" s="34"/>
      <c r="CF887" s="34"/>
      <c r="CG887" s="34"/>
      <c r="CH887" s="34"/>
      <c r="CI887" s="34"/>
      <c r="CJ887" s="34"/>
      <c r="CK887" s="34"/>
      <c r="CL887" s="34"/>
      <c r="CM887" s="34"/>
      <c r="CN887" s="34"/>
      <c r="CO887" s="34"/>
      <c r="CP887" s="34"/>
      <c r="CQ887" s="34"/>
      <c r="CR887" s="34"/>
      <c r="CS887" s="34"/>
      <c r="CT887" s="34"/>
      <c r="CU887" s="34"/>
      <c r="CV887" s="34"/>
      <c r="CW887" s="34"/>
      <c r="CX887" s="34"/>
      <c r="CY887" s="34"/>
      <c r="CZ887" s="34"/>
      <c r="DA887" s="34"/>
      <c r="DB887" s="34"/>
      <c r="DC887" s="34"/>
      <c r="DD887" s="34"/>
      <c r="DE887" s="34"/>
      <c r="DF887" s="34"/>
      <c r="DG887" s="34"/>
      <c r="DH887" s="34"/>
    </row>
    <row r="888" spans="1:112" customFormat="1" ht="119" x14ac:dyDescent="0.2">
      <c r="A888" s="2" t="s">
        <v>2618</v>
      </c>
      <c r="B888" s="2" t="s">
        <v>2619</v>
      </c>
      <c r="C888" s="2" t="s">
        <v>2619</v>
      </c>
      <c r="D888" s="1">
        <v>3</v>
      </c>
      <c r="E888" s="2"/>
      <c r="F888" s="2" t="s">
        <v>2620</v>
      </c>
      <c r="G888" s="2"/>
      <c r="H888" s="2" t="s">
        <v>2621</v>
      </c>
      <c r="I888" s="2" t="s">
        <v>2622</v>
      </c>
      <c r="J888" s="25" t="s">
        <v>1284</v>
      </c>
      <c r="K888" s="25" t="s">
        <v>1284</v>
      </c>
      <c r="L888" s="25" t="s">
        <v>1284</v>
      </c>
      <c r="M888" s="25" t="s">
        <v>1285</v>
      </c>
      <c r="N888" s="25" t="s">
        <v>2623</v>
      </c>
      <c r="O888" s="25" t="s">
        <v>2145</v>
      </c>
      <c r="P888" s="25" t="s">
        <v>2326</v>
      </c>
      <c r="Q888" s="25" t="s">
        <v>41</v>
      </c>
      <c r="R888" s="25" t="s">
        <v>1287</v>
      </c>
      <c r="S888" s="25" t="s">
        <v>33</v>
      </c>
      <c r="T888" s="25" t="s">
        <v>2624</v>
      </c>
      <c r="U888" s="25" t="s">
        <v>2625</v>
      </c>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c r="BP888" s="25"/>
      <c r="BQ888" s="25"/>
      <c r="BR888" s="25"/>
      <c r="BS888" s="25"/>
      <c r="BT888" s="25"/>
      <c r="BU888" s="25"/>
      <c r="BV888" s="25"/>
      <c r="BW888" s="25"/>
      <c r="BX888" s="25"/>
      <c r="BY888" s="25"/>
      <c r="BZ888" s="25"/>
      <c r="CA888" s="25"/>
      <c r="CB888" s="25"/>
      <c r="CC888" s="25"/>
      <c r="CD888" s="25"/>
      <c r="CE888" s="25"/>
      <c r="CF888" s="25"/>
      <c r="CG888" s="25"/>
      <c r="CH888" s="25"/>
      <c r="CI888" s="25"/>
      <c r="CJ888" s="25"/>
      <c r="CK888" s="25"/>
      <c r="CL888" s="25"/>
      <c r="CM888" s="25"/>
      <c r="CN888" s="25"/>
      <c r="CO888" s="25"/>
      <c r="CP888" s="25"/>
      <c r="CQ888" s="25"/>
      <c r="CR888" s="25"/>
      <c r="CS888" s="25"/>
      <c r="CT888" s="25"/>
      <c r="CU888" s="25"/>
      <c r="CV888" s="25"/>
      <c r="CW888" s="25"/>
      <c r="CX888" s="25"/>
      <c r="CY888" s="25"/>
      <c r="CZ888" s="25"/>
      <c r="DA888" s="25"/>
      <c r="DB888" s="25"/>
      <c r="DC888" s="25"/>
      <c r="DD888" s="25"/>
      <c r="DE888" s="25"/>
      <c r="DF888" s="25"/>
      <c r="DG888" s="25"/>
      <c r="DH888" s="25"/>
    </row>
    <row r="889" spans="1:112" customFormat="1" ht="68" x14ac:dyDescent="0.2">
      <c r="A889" s="7" t="s">
        <v>5895</v>
      </c>
      <c r="B889" s="7" t="s">
        <v>5896</v>
      </c>
      <c r="C889" s="2" t="s">
        <v>5896</v>
      </c>
      <c r="D889" s="5">
        <v>3</v>
      </c>
      <c r="E889" s="6" t="s">
        <v>61</v>
      </c>
      <c r="F889" s="6"/>
      <c r="G889" s="6" t="s">
        <v>6094</v>
      </c>
      <c r="H889" s="6"/>
      <c r="I889" s="6" t="s">
        <v>1278</v>
      </c>
      <c r="J889" s="12" t="s">
        <v>1284</v>
      </c>
      <c r="K889" s="12" t="s">
        <v>1284</v>
      </c>
      <c r="L889" s="12" t="s">
        <v>1284</v>
      </c>
      <c r="M889" s="12" t="s">
        <v>1285</v>
      </c>
      <c r="N889" s="12" t="s">
        <v>5897</v>
      </c>
      <c r="O889" s="12" t="s">
        <v>3452</v>
      </c>
      <c r="P889" s="12" t="s">
        <v>441</v>
      </c>
      <c r="Q889" s="34" t="s">
        <v>30</v>
      </c>
      <c r="R889" s="34" t="s">
        <v>1287</v>
      </c>
      <c r="S889" s="34" t="s">
        <v>33</v>
      </c>
      <c r="T889" s="34" t="s">
        <v>5898</v>
      </c>
      <c r="U889" s="34" t="s">
        <v>5899</v>
      </c>
      <c r="V889" s="34" t="s">
        <v>5899</v>
      </c>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c r="BQ889" s="34"/>
      <c r="BR889" s="34"/>
      <c r="BS889" s="34"/>
      <c r="BT889" s="34"/>
      <c r="BU889" s="34"/>
      <c r="BV889" s="34"/>
      <c r="BW889" s="34"/>
      <c r="BX889" s="34"/>
      <c r="BY889" s="34"/>
      <c r="BZ889" s="34"/>
      <c r="CA889" s="34"/>
      <c r="CB889" s="34"/>
      <c r="CC889" s="34"/>
      <c r="CD889" s="34"/>
      <c r="CE889" s="34"/>
      <c r="CF889" s="34"/>
      <c r="CG889" s="34"/>
      <c r="CH889" s="34"/>
      <c r="CI889" s="34"/>
      <c r="CJ889" s="34"/>
      <c r="CK889" s="34"/>
      <c r="CL889" s="34"/>
      <c r="CM889" s="34"/>
      <c r="CN889" s="34"/>
      <c r="CO889" s="34"/>
      <c r="CP889" s="34"/>
      <c r="CQ889" s="34"/>
      <c r="CR889" s="34"/>
      <c r="CS889" s="34"/>
      <c r="CT889" s="34"/>
      <c r="CU889" s="34"/>
      <c r="CV889" s="34"/>
      <c r="CW889" s="34"/>
      <c r="CX889" s="34"/>
      <c r="CY889" s="34"/>
      <c r="CZ889" s="34"/>
      <c r="DA889" s="34"/>
      <c r="DB889" s="34"/>
      <c r="DC889" s="34"/>
      <c r="DD889" s="34"/>
      <c r="DE889" s="34"/>
      <c r="DF889" s="34"/>
      <c r="DG889" s="34"/>
      <c r="DH889" s="34"/>
    </row>
    <row r="890" spans="1:112" customFormat="1" ht="68" x14ac:dyDescent="0.2">
      <c r="A890" s="2" t="s">
        <v>2626</v>
      </c>
      <c r="B890" s="2" t="s">
        <v>2627</v>
      </c>
      <c r="C890" s="2" t="s">
        <v>2627</v>
      </c>
      <c r="D890" s="1">
        <v>3</v>
      </c>
      <c r="E890" s="2" t="s">
        <v>61</v>
      </c>
      <c r="F890" s="2" t="s">
        <v>2628</v>
      </c>
      <c r="G890" s="2" t="s">
        <v>2520</v>
      </c>
      <c r="H890" s="2" t="s">
        <v>2629</v>
      </c>
      <c r="I890" s="2"/>
      <c r="J890" s="25" t="s">
        <v>1284</v>
      </c>
      <c r="K890" s="25" t="s">
        <v>1284</v>
      </c>
      <c r="L890" s="25" t="s">
        <v>1284</v>
      </c>
      <c r="M890" s="25" t="s">
        <v>1285</v>
      </c>
      <c r="N890" s="25" t="s">
        <v>2630</v>
      </c>
      <c r="O890" s="25" t="s">
        <v>1999</v>
      </c>
      <c r="P890" s="25" t="s">
        <v>194</v>
      </c>
      <c r="Q890" s="25" t="s">
        <v>41</v>
      </c>
      <c r="R890" s="25" t="s">
        <v>1287</v>
      </c>
      <c r="S890" s="25" t="s">
        <v>33</v>
      </c>
      <c r="T890" s="25" t="s">
        <v>2631</v>
      </c>
      <c r="U890" s="25" t="s">
        <v>4682</v>
      </c>
      <c r="V890" s="25" t="s">
        <v>4683</v>
      </c>
      <c r="W890" s="25" t="s">
        <v>4684</v>
      </c>
      <c r="X890" s="25" t="s">
        <v>4685</v>
      </c>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c r="BM890" s="25"/>
      <c r="BN890" s="25"/>
      <c r="BO890" s="25"/>
      <c r="BP890" s="25"/>
      <c r="BQ890" s="25"/>
      <c r="BR890" s="25"/>
      <c r="BS890" s="25"/>
      <c r="BT890" s="25"/>
      <c r="BU890" s="25"/>
      <c r="BV890" s="25"/>
      <c r="BW890" s="25"/>
      <c r="BX890" s="25"/>
      <c r="BY890" s="25"/>
      <c r="BZ890" s="25"/>
      <c r="CA890" s="25"/>
      <c r="CB890" s="25"/>
      <c r="CC890" s="25"/>
      <c r="CD890" s="25"/>
      <c r="CE890" s="25"/>
      <c r="CF890" s="25"/>
      <c r="CG890" s="25"/>
      <c r="CH890" s="25"/>
      <c r="CI890" s="25"/>
      <c r="CJ890" s="25"/>
      <c r="CK890" s="25"/>
      <c r="CL890" s="25"/>
      <c r="CM890" s="25"/>
      <c r="CN890" s="25"/>
      <c r="CO890" s="25"/>
      <c r="CP890" s="25"/>
      <c r="CQ890" s="25"/>
      <c r="CR890" s="25"/>
      <c r="CS890" s="25"/>
      <c r="CT890" s="25"/>
      <c r="CU890" s="25"/>
      <c r="CV890" s="25"/>
      <c r="CW890" s="25"/>
      <c r="CX890" s="25"/>
      <c r="CY890" s="25"/>
      <c r="CZ890" s="25"/>
      <c r="DA890" s="25"/>
      <c r="DB890" s="25"/>
      <c r="DC890" s="25"/>
      <c r="DD890" s="25"/>
      <c r="DE890" s="25"/>
      <c r="DF890" s="25"/>
      <c r="DG890" s="25"/>
      <c r="DH890" s="25"/>
    </row>
    <row r="891" spans="1:112" customFormat="1" ht="51" x14ac:dyDescent="0.2">
      <c r="A891" s="2" t="s">
        <v>2632</v>
      </c>
      <c r="B891" s="2" t="s">
        <v>2633</v>
      </c>
      <c r="C891" s="2" t="s">
        <v>2633</v>
      </c>
      <c r="D891" s="1">
        <v>3</v>
      </c>
      <c r="E891" s="2" t="s">
        <v>153</v>
      </c>
      <c r="F891" s="2" t="s">
        <v>2628</v>
      </c>
      <c r="G891" s="2" t="s">
        <v>2520</v>
      </c>
      <c r="H891" s="2" t="s">
        <v>2634</v>
      </c>
      <c r="I891" s="2"/>
      <c r="J891" s="25" t="s">
        <v>1284</v>
      </c>
      <c r="K891" s="25" t="s">
        <v>1284</v>
      </c>
      <c r="L891" s="25" t="s">
        <v>1284</v>
      </c>
      <c r="M891" s="25" t="s">
        <v>1285</v>
      </c>
      <c r="N891" s="25" t="s">
        <v>2635</v>
      </c>
      <c r="O891" s="25" t="s">
        <v>1999</v>
      </c>
      <c r="P891" s="25" t="s">
        <v>40</v>
      </c>
      <c r="Q891" s="25" t="s">
        <v>41</v>
      </c>
      <c r="R891" s="25" t="s">
        <v>1287</v>
      </c>
      <c r="S891" s="25" t="s">
        <v>33</v>
      </c>
      <c r="T891" s="25" t="s">
        <v>2636</v>
      </c>
      <c r="U891" s="25" t="s">
        <v>4686</v>
      </c>
      <c r="V891" s="25" t="s">
        <v>4687</v>
      </c>
      <c r="W891" s="25" t="s">
        <v>4688</v>
      </c>
      <c r="X891" s="25" t="s">
        <v>4689</v>
      </c>
      <c r="Y891" s="25" t="s">
        <v>4690</v>
      </c>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c r="BM891" s="25"/>
      <c r="BN891" s="25"/>
      <c r="BO891" s="25"/>
      <c r="BP891" s="25"/>
      <c r="BQ891" s="25"/>
      <c r="BR891" s="25"/>
      <c r="BS891" s="25"/>
      <c r="BT891" s="25"/>
      <c r="BU891" s="25"/>
      <c r="BV891" s="25"/>
      <c r="BW891" s="25"/>
      <c r="BX891" s="25"/>
      <c r="BY891" s="25"/>
      <c r="BZ891" s="25"/>
      <c r="CA891" s="25"/>
      <c r="CB891" s="25"/>
      <c r="CC891" s="25"/>
      <c r="CD891" s="25"/>
      <c r="CE891" s="25"/>
      <c r="CF891" s="25"/>
      <c r="CG891" s="25"/>
      <c r="CH891" s="25"/>
      <c r="CI891" s="25"/>
      <c r="CJ891" s="25"/>
      <c r="CK891" s="25"/>
      <c r="CL891" s="25"/>
      <c r="CM891" s="25"/>
      <c r="CN891" s="25"/>
      <c r="CO891" s="25"/>
      <c r="CP891" s="25"/>
      <c r="CQ891" s="25"/>
      <c r="CR891" s="25"/>
      <c r="CS891" s="25"/>
      <c r="CT891" s="25"/>
      <c r="CU891" s="25"/>
      <c r="CV891" s="25"/>
      <c r="CW891" s="25"/>
      <c r="CX891" s="25"/>
      <c r="CY891" s="25"/>
      <c r="CZ891" s="25"/>
      <c r="DA891" s="25"/>
      <c r="DB891" s="25"/>
      <c r="DC891" s="25"/>
      <c r="DD891" s="25"/>
      <c r="DE891" s="25"/>
      <c r="DF891" s="25"/>
      <c r="DG891" s="25"/>
      <c r="DH891" s="25"/>
    </row>
    <row r="892" spans="1:112" customFormat="1" ht="51" x14ac:dyDescent="0.2">
      <c r="A892" s="2" t="s">
        <v>2637</v>
      </c>
      <c r="B892" s="2" t="s">
        <v>2638</v>
      </c>
      <c r="C892" s="2" t="s">
        <v>2638</v>
      </c>
      <c r="D892" s="1">
        <v>3</v>
      </c>
      <c r="E892" s="2" t="s">
        <v>61</v>
      </c>
      <c r="F892" s="2" t="s">
        <v>2639</v>
      </c>
      <c r="G892" s="2" t="s">
        <v>2520</v>
      </c>
      <c r="H892" s="2" t="s">
        <v>2640</v>
      </c>
      <c r="I892" s="2"/>
      <c r="J892" s="25" t="s">
        <v>1284</v>
      </c>
      <c r="K892" s="25" t="s">
        <v>1284</v>
      </c>
      <c r="L892" s="25" t="s">
        <v>1284</v>
      </c>
      <c r="M892" s="25" t="s">
        <v>1285</v>
      </c>
      <c r="N892" s="25" t="s">
        <v>2641</v>
      </c>
      <c r="O892" s="25" t="s">
        <v>1999</v>
      </c>
      <c r="P892" s="25" t="s">
        <v>220</v>
      </c>
      <c r="Q892" s="25" t="s">
        <v>41</v>
      </c>
      <c r="R892" s="25" t="s">
        <v>1287</v>
      </c>
      <c r="S892" s="25" t="s">
        <v>33</v>
      </c>
      <c r="T892" s="25" t="s">
        <v>2642</v>
      </c>
      <c r="U892" s="25" t="s">
        <v>4691</v>
      </c>
      <c r="V892" s="25" t="s">
        <v>4692</v>
      </c>
      <c r="W892" s="25" t="s">
        <v>4693</v>
      </c>
      <c r="X892" s="25" t="s">
        <v>4694</v>
      </c>
      <c r="Y892" s="25" t="s">
        <v>4695</v>
      </c>
      <c r="Z892" s="25" t="s">
        <v>4696</v>
      </c>
      <c r="AA892" s="25" t="s">
        <v>4697</v>
      </c>
      <c r="AB892" s="25" t="s">
        <v>4698</v>
      </c>
      <c r="AC892" s="25" t="s">
        <v>4699</v>
      </c>
      <c r="AD892" s="25" t="s">
        <v>4700</v>
      </c>
      <c r="AE892" s="25" t="s">
        <v>4701</v>
      </c>
      <c r="AF892" s="25" t="s">
        <v>4702</v>
      </c>
      <c r="AG892" s="25" t="s">
        <v>4703</v>
      </c>
      <c r="AH892" s="25" t="s">
        <v>4704</v>
      </c>
      <c r="AI892" s="25" t="s">
        <v>4705</v>
      </c>
      <c r="AJ892" s="25" t="s">
        <v>4706</v>
      </c>
      <c r="AK892" s="25" t="s">
        <v>4707</v>
      </c>
      <c r="AL892" s="25" t="s">
        <v>4708</v>
      </c>
      <c r="AM892" s="25" t="s">
        <v>4709</v>
      </c>
      <c r="AN892" s="25" t="s">
        <v>4710</v>
      </c>
      <c r="AO892" s="25" t="s">
        <v>4711</v>
      </c>
      <c r="AP892" s="25"/>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c r="BM892" s="25"/>
      <c r="BN892" s="25"/>
      <c r="BO892" s="25"/>
      <c r="BP892" s="25"/>
      <c r="BQ892" s="25"/>
      <c r="BR892" s="25"/>
      <c r="BS892" s="25"/>
      <c r="BT892" s="25"/>
      <c r="BU892" s="25"/>
      <c r="BV892" s="25"/>
      <c r="BW892" s="25"/>
      <c r="BX892" s="25"/>
      <c r="BY892" s="25"/>
      <c r="BZ892" s="25"/>
      <c r="CA892" s="25"/>
      <c r="CB892" s="25"/>
      <c r="CC892" s="25"/>
      <c r="CD892" s="25"/>
      <c r="CE892" s="25"/>
      <c r="CF892" s="25"/>
      <c r="CG892" s="25"/>
      <c r="CH892" s="25"/>
      <c r="CI892" s="25"/>
      <c r="CJ892" s="25"/>
      <c r="CK892" s="25"/>
      <c r="CL892" s="25"/>
      <c r="CM892" s="25"/>
      <c r="CN892" s="25"/>
      <c r="CO892" s="25"/>
      <c r="CP892" s="25"/>
      <c r="CQ892" s="25"/>
      <c r="CR892" s="25"/>
      <c r="CS892" s="25"/>
      <c r="CT892" s="25"/>
      <c r="CU892" s="25"/>
      <c r="CV892" s="25"/>
      <c r="CW892" s="25"/>
      <c r="CX892" s="25"/>
      <c r="CY892" s="25"/>
      <c r="CZ892" s="25"/>
      <c r="DA892" s="25"/>
      <c r="DB892" s="25"/>
      <c r="DC892" s="25"/>
      <c r="DD892" s="25"/>
      <c r="DE892" s="25"/>
      <c r="DF892" s="25"/>
      <c r="DG892" s="25"/>
      <c r="DH892" s="25"/>
    </row>
    <row r="893" spans="1:112" customFormat="1" ht="85" x14ac:dyDescent="0.2">
      <c r="A893" s="7" t="s">
        <v>5974</v>
      </c>
      <c r="B893" s="7" t="s">
        <v>5975</v>
      </c>
      <c r="C893" s="2" t="s">
        <v>5975</v>
      </c>
      <c r="D893" s="5">
        <v>3</v>
      </c>
      <c r="E893" s="6" t="s">
        <v>61</v>
      </c>
      <c r="F893" s="2" t="s">
        <v>2594</v>
      </c>
      <c r="G893" s="6"/>
      <c r="H893" s="6" t="s">
        <v>6113</v>
      </c>
      <c r="I893" s="6" t="s">
        <v>6114</v>
      </c>
      <c r="J893" s="34" t="s">
        <v>1284</v>
      </c>
      <c r="K893" s="34" t="s">
        <v>1284</v>
      </c>
      <c r="L893" s="34" t="s">
        <v>1284</v>
      </c>
      <c r="M893" s="34" t="s">
        <v>1285</v>
      </c>
      <c r="N893" s="34" t="s">
        <v>5976</v>
      </c>
      <c r="O893" s="34" t="s">
        <v>1394</v>
      </c>
      <c r="P893" s="34" t="s">
        <v>2028</v>
      </c>
      <c r="Q893" s="34" t="s">
        <v>41</v>
      </c>
      <c r="R893" s="34" t="s">
        <v>1287</v>
      </c>
      <c r="S893" s="34" t="s">
        <v>33</v>
      </c>
      <c r="T893" s="34" t="s">
        <v>5977</v>
      </c>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c r="BQ893" s="34"/>
      <c r="BR893" s="34"/>
      <c r="BS893" s="34"/>
      <c r="BT893" s="34"/>
      <c r="BU893" s="34"/>
      <c r="BV893" s="34"/>
      <c r="BW893" s="34"/>
      <c r="BX893" s="34"/>
      <c r="BY893" s="34"/>
      <c r="BZ893" s="34"/>
      <c r="CA893" s="34"/>
      <c r="CB893" s="34"/>
      <c r="CC893" s="34"/>
      <c r="CD893" s="34"/>
      <c r="CE893" s="34"/>
      <c r="CF893" s="34"/>
      <c r="CG893" s="34"/>
      <c r="CH893" s="34"/>
      <c r="CI893" s="34"/>
      <c r="CJ893" s="34"/>
      <c r="CK893" s="34"/>
      <c r="CL893" s="34"/>
      <c r="CM893" s="34"/>
      <c r="CN893" s="34"/>
      <c r="CO893" s="34"/>
      <c r="CP893" s="34"/>
      <c r="CQ893" s="34"/>
      <c r="CR893" s="34"/>
      <c r="CS893" s="34"/>
      <c r="CT893" s="34"/>
      <c r="CU893" s="34"/>
      <c r="CV893" s="34"/>
      <c r="CW893" s="34"/>
      <c r="CX893" s="34"/>
      <c r="CY893" s="34"/>
      <c r="CZ893" s="34"/>
      <c r="DA893" s="34"/>
      <c r="DB893" s="34"/>
      <c r="DC893" s="34"/>
      <c r="DD893" s="34"/>
      <c r="DE893" s="34"/>
      <c r="DF893" s="34"/>
      <c r="DG893" s="34"/>
      <c r="DH893" s="34"/>
    </row>
    <row r="894" spans="1:112" customFormat="1" ht="153" customHeight="1" x14ac:dyDescent="0.2">
      <c r="A894" s="2" t="s">
        <v>2643</v>
      </c>
      <c r="B894" s="2" t="s">
        <v>2644</v>
      </c>
      <c r="C894" s="2" t="s">
        <v>2645</v>
      </c>
      <c r="D894" s="1">
        <v>3</v>
      </c>
      <c r="E894" s="2" t="s">
        <v>23</v>
      </c>
      <c r="F894" s="2"/>
      <c r="G894" s="2" t="s">
        <v>2646</v>
      </c>
      <c r="H894" s="2" t="s">
        <v>2491</v>
      </c>
      <c r="I894" s="2" t="s">
        <v>2647</v>
      </c>
      <c r="J894" s="25" t="s">
        <v>1284</v>
      </c>
      <c r="K894" s="25" t="s">
        <v>1284</v>
      </c>
      <c r="L894" s="25" t="s">
        <v>1284</v>
      </c>
      <c r="M894" s="25" t="s">
        <v>1285</v>
      </c>
      <c r="N894" s="25" t="s">
        <v>2648</v>
      </c>
      <c r="O894" s="25" t="s">
        <v>2649</v>
      </c>
      <c r="P894" s="25" t="s">
        <v>30</v>
      </c>
      <c r="Q894" s="25" t="s">
        <v>41</v>
      </c>
      <c r="R894" s="25" t="s">
        <v>1287</v>
      </c>
      <c r="S894" s="25" t="s">
        <v>33</v>
      </c>
      <c r="T894" s="25" t="s">
        <v>2495</v>
      </c>
      <c r="U894" s="25" t="s">
        <v>292</v>
      </c>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c r="BP894" s="25"/>
      <c r="BQ894" s="25"/>
      <c r="BR894" s="25"/>
      <c r="BS894" s="25"/>
      <c r="BT894" s="25"/>
      <c r="BU894" s="25"/>
      <c r="BV894" s="25"/>
      <c r="BW894" s="25"/>
      <c r="BX894" s="25"/>
      <c r="BY894" s="25"/>
      <c r="BZ894" s="25"/>
      <c r="CA894" s="25"/>
      <c r="CB894" s="25"/>
      <c r="CC894" s="25"/>
      <c r="CD894" s="25"/>
      <c r="CE894" s="25"/>
      <c r="CF894" s="25"/>
      <c r="CG894" s="25"/>
      <c r="CH894" s="25"/>
      <c r="CI894" s="25"/>
      <c r="CJ894" s="25"/>
      <c r="CK894" s="25"/>
      <c r="CL894" s="25"/>
      <c r="CM894" s="25"/>
      <c r="CN894" s="25"/>
      <c r="CO894" s="25"/>
      <c r="CP894" s="25"/>
      <c r="CQ894" s="25"/>
      <c r="CR894" s="25"/>
      <c r="CS894" s="25"/>
      <c r="CT894" s="25"/>
      <c r="CU894" s="25"/>
      <c r="CV894" s="25"/>
      <c r="CW894" s="25"/>
      <c r="CX894" s="25"/>
      <c r="CY894" s="25"/>
      <c r="CZ894" s="25"/>
      <c r="DA894" s="25"/>
      <c r="DB894" s="25"/>
      <c r="DC894" s="25"/>
      <c r="DD894" s="25"/>
      <c r="DE894" s="25"/>
      <c r="DF894" s="25"/>
      <c r="DG894" s="25"/>
      <c r="DH894" s="25"/>
    </row>
    <row r="895" spans="1:112" customFormat="1" ht="102" x14ac:dyDescent="0.2">
      <c r="A895" s="2" t="s">
        <v>2650</v>
      </c>
      <c r="B895" s="2" t="s">
        <v>2651</v>
      </c>
      <c r="C895" s="2" t="s">
        <v>2651</v>
      </c>
      <c r="D895" s="1">
        <v>3</v>
      </c>
      <c r="E895" s="2" t="s">
        <v>61</v>
      </c>
      <c r="F895" s="2" t="s">
        <v>2652</v>
      </c>
      <c r="G895" s="2" t="s">
        <v>2646</v>
      </c>
      <c r="H895" s="2" t="s">
        <v>2491</v>
      </c>
      <c r="I895" s="2" t="s">
        <v>2647</v>
      </c>
      <c r="J895" s="25" t="s">
        <v>1284</v>
      </c>
      <c r="K895" s="25" t="s">
        <v>1284</v>
      </c>
      <c r="L895" s="25" t="s">
        <v>1284</v>
      </c>
      <c r="M895" s="25" t="s">
        <v>1285</v>
      </c>
      <c r="N895" s="25" t="s">
        <v>2653</v>
      </c>
      <c r="O895" s="25" t="s">
        <v>2649</v>
      </c>
      <c r="P895" s="25" t="s">
        <v>94</v>
      </c>
      <c r="Q895" s="25" t="s">
        <v>41</v>
      </c>
      <c r="R895" s="25" t="s">
        <v>1287</v>
      </c>
      <c r="S895" s="25" t="s">
        <v>33</v>
      </c>
      <c r="T895" s="25" t="s">
        <v>2495</v>
      </c>
      <c r="U895" s="25" t="s">
        <v>4712</v>
      </c>
      <c r="V895" s="25" t="s">
        <v>4713</v>
      </c>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c r="BP895" s="25"/>
      <c r="BQ895" s="25"/>
      <c r="BR895" s="25"/>
      <c r="BS895" s="25"/>
      <c r="BT895" s="25"/>
      <c r="BU895" s="25"/>
      <c r="BV895" s="25"/>
      <c r="BW895" s="25"/>
      <c r="BX895" s="25"/>
      <c r="BY895" s="25"/>
      <c r="BZ895" s="25"/>
      <c r="CA895" s="25"/>
      <c r="CB895" s="25"/>
      <c r="CC895" s="25"/>
      <c r="CD895" s="25"/>
      <c r="CE895" s="25"/>
      <c r="CF895" s="25"/>
      <c r="CG895" s="25"/>
      <c r="CH895" s="25"/>
      <c r="CI895" s="25"/>
      <c r="CJ895" s="25"/>
      <c r="CK895" s="25"/>
      <c r="CL895" s="25"/>
      <c r="CM895" s="25"/>
      <c r="CN895" s="25"/>
      <c r="CO895" s="25"/>
      <c r="CP895" s="25"/>
      <c r="CQ895" s="25"/>
      <c r="CR895" s="25"/>
      <c r="CS895" s="25"/>
      <c r="CT895" s="25"/>
      <c r="CU895" s="25"/>
      <c r="CV895" s="25"/>
      <c r="CW895" s="25"/>
      <c r="CX895" s="25"/>
      <c r="CY895" s="25"/>
      <c r="CZ895" s="25"/>
      <c r="DA895" s="25"/>
      <c r="DB895" s="25"/>
      <c r="DC895" s="25"/>
      <c r="DD895" s="25"/>
      <c r="DE895" s="25"/>
      <c r="DF895" s="25"/>
      <c r="DG895" s="25"/>
      <c r="DH895" s="25"/>
    </row>
    <row r="896" spans="1:112" customFormat="1" ht="102" x14ac:dyDescent="0.2">
      <c r="A896" s="2" t="s">
        <v>2654</v>
      </c>
      <c r="B896" s="2" t="s">
        <v>2655</v>
      </c>
      <c r="C896" s="2" t="s">
        <v>2655</v>
      </c>
      <c r="D896" s="1">
        <v>3</v>
      </c>
      <c r="E896" s="2" t="s">
        <v>23</v>
      </c>
      <c r="F896" s="2"/>
      <c r="G896" s="2" t="s">
        <v>2646</v>
      </c>
      <c r="H896" s="2" t="s">
        <v>2491</v>
      </c>
      <c r="I896" s="2" t="s">
        <v>2647</v>
      </c>
      <c r="J896" s="25" t="s">
        <v>1284</v>
      </c>
      <c r="K896" s="25" t="s">
        <v>1284</v>
      </c>
      <c r="L896" s="25" t="s">
        <v>1284</v>
      </c>
      <c r="M896" s="25" t="s">
        <v>1285</v>
      </c>
      <c r="N896" s="25" t="s">
        <v>2656</v>
      </c>
      <c r="O896" s="25" t="s">
        <v>2649</v>
      </c>
      <c r="P896" s="25" t="s">
        <v>40</v>
      </c>
      <c r="Q896" s="25" t="s">
        <v>41</v>
      </c>
      <c r="R896" s="25" t="s">
        <v>1287</v>
      </c>
      <c r="S896" s="25" t="s">
        <v>33</v>
      </c>
      <c r="T896" s="25" t="s">
        <v>2495</v>
      </c>
      <c r="U896" s="25" t="s">
        <v>4714</v>
      </c>
      <c r="V896" s="25" t="s">
        <v>4715</v>
      </c>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c r="BM896" s="25"/>
      <c r="BN896" s="25"/>
      <c r="BO896" s="25"/>
      <c r="BP896" s="25"/>
      <c r="BQ896" s="25"/>
      <c r="BR896" s="25"/>
      <c r="BS896" s="25"/>
      <c r="BT896" s="25"/>
      <c r="BU896" s="25"/>
      <c r="BV896" s="25"/>
      <c r="BW896" s="25"/>
      <c r="BX896" s="25"/>
      <c r="BY896" s="25"/>
      <c r="BZ896" s="25"/>
      <c r="CA896" s="25"/>
      <c r="CB896" s="25"/>
      <c r="CC896" s="25"/>
      <c r="CD896" s="25"/>
      <c r="CE896" s="25"/>
      <c r="CF896" s="25"/>
      <c r="CG896" s="25"/>
      <c r="CH896" s="25"/>
      <c r="CI896" s="25"/>
      <c r="CJ896" s="25"/>
      <c r="CK896" s="25"/>
      <c r="CL896" s="25"/>
      <c r="CM896" s="25"/>
      <c r="CN896" s="25"/>
      <c r="CO896" s="25"/>
      <c r="CP896" s="25"/>
      <c r="CQ896" s="25"/>
      <c r="CR896" s="25"/>
      <c r="CS896" s="25"/>
      <c r="CT896" s="25"/>
      <c r="CU896" s="25"/>
      <c r="CV896" s="25"/>
      <c r="CW896" s="25"/>
      <c r="CX896" s="25"/>
      <c r="CY896" s="25"/>
      <c r="CZ896" s="25"/>
      <c r="DA896" s="25"/>
      <c r="DB896" s="25"/>
      <c r="DC896" s="25"/>
      <c r="DD896" s="25"/>
      <c r="DE896" s="25"/>
      <c r="DF896" s="25"/>
      <c r="DG896" s="25"/>
      <c r="DH896" s="25"/>
    </row>
    <row r="897" spans="1:112" customFormat="1" ht="102" x14ac:dyDescent="0.2">
      <c r="A897" s="2" t="s">
        <v>2657</v>
      </c>
      <c r="B897" s="2" t="s">
        <v>2658</v>
      </c>
      <c r="C897" s="2" t="s">
        <v>2658</v>
      </c>
      <c r="D897" s="1">
        <v>3</v>
      </c>
      <c r="E897" s="2" t="s">
        <v>23</v>
      </c>
      <c r="F897" s="2"/>
      <c r="G897" s="2" t="s">
        <v>2646</v>
      </c>
      <c r="H897" s="2" t="s">
        <v>2491</v>
      </c>
      <c r="I897" s="2" t="s">
        <v>2647</v>
      </c>
      <c r="J897" s="25" t="s">
        <v>1284</v>
      </c>
      <c r="K897" s="25" t="s">
        <v>1284</v>
      </c>
      <c r="L897" s="25" t="s">
        <v>1284</v>
      </c>
      <c r="M897" s="25" t="s">
        <v>1285</v>
      </c>
      <c r="N897" s="25" t="s">
        <v>2659</v>
      </c>
      <c r="O897" s="25" t="s">
        <v>2649</v>
      </c>
      <c r="P897" s="25" t="s">
        <v>52</v>
      </c>
      <c r="Q897" s="25" t="s">
        <v>41</v>
      </c>
      <c r="R897" s="25" t="s">
        <v>1287</v>
      </c>
      <c r="S897" s="25" t="s">
        <v>33</v>
      </c>
      <c r="T897" s="25" t="s">
        <v>2495</v>
      </c>
      <c r="U897" s="25" t="s">
        <v>2660</v>
      </c>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c r="BP897" s="25"/>
      <c r="BQ897" s="25"/>
      <c r="BR897" s="25"/>
      <c r="BS897" s="25"/>
      <c r="BT897" s="25"/>
      <c r="BU897" s="25"/>
      <c r="BV897" s="25"/>
      <c r="BW897" s="25"/>
      <c r="BX897" s="25"/>
      <c r="BY897" s="25"/>
      <c r="BZ897" s="25"/>
      <c r="CA897" s="25"/>
      <c r="CB897" s="25"/>
      <c r="CC897" s="25"/>
      <c r="CD897" s="25"/>
      <c r="CE897" s="25"/>
      <c r="CF897" s="25"/>
      <c r="CG897" s="25"/>
      <c r="CH897" s="25"/>
      <c r="CI897" s="25"/>
      <c r="CJ897" s="25"/>
      <c r="CK897" s="25"/>
      <c r="CL897" s="25"/>
      <c r="CM897" s="25"/>
      <c r="CN897" s="25"/>
      <c r="CO897" s="25"/>
      <c r="CP897" s="25"/>
      <c r="CQ897" s="25"/>
      <c r="CR897" s="25"/>
      <c r="CS897" s="25"/>
      <c r="CT897" s="25"/>
      <c r="CU897" s="25"/>
      <c r="CV897" s="25"/>
      <c r="CW897" s="25"/>
      <c r="CX897" s="25"/>
      <c r="CY897" s="25"/>
      <c r="CZ897" s="25"/>
      <c r="DA897" s="25"/>
      <c r="DB897" s="25"/>
      <c r="DC897" s="25"/>
      <c r="DD897" s="25"/>
      <c r="DE897" s="25"/>
      <c r="DF897" s="25"/>
      <c r="DG897" s="25"/>
      <c r="DH897" s="25"/>
    </row>
    <row r="898" spans="1:112" customFormat="1" ht="153" x14ac:dyDescent="0.2">
      <c r="A898" s="2" t="s">
        <v>2661</v>
      </c>
      <c r="B898" s="2" t="s">
        <v>2662</v>
      </c>
      <c r="C898" s="2" t="s">
        <v>2662</v>
      </c>
      <c r="D898" s="1">
        <v>3</v>
      </c>
      <c r="E898" s="2" t="s">
        <v>23</v>
      </c>
      <c r="F898" s="2"/>
      <c r="G898" s="2" t="s">
        <v>2663</v>
      </c>
      <c r="H898" s="2"/>
      <c r="I898" s="2" t="s">
        <v>2664</v>
      </c>
      <c r="J898" s="25" t="s">
        <v>1284</v>
      </c>
      <c r="K898" s="25" t="s">
        <v>1284</v>
      </c>
      <c r="L898" s="25" t="s">
        <v>1284</v>
      </c>
      <c r="M898" s="25" t="s">
        <v>1285</v>
      </c>
      <c r="N898" s="25" t="s">
        <v>2665</v>
      </c>
      <c r="O898" s="25" t="s">
        <v>2494</v>
      </c>
      <c r="P898" s="25" t="s">
        <v>52</v>
      </c>
      <c r="Q898" s="25" t="s">
        <v>30</v>
      </c>
      <c r="R898" s="25" t="s">
        <v>1287</v>
      </c>
      <c r="S898" s="25" t="s">
        <v>33</v>
      </c>
      <c r="T898" s="25" t="s">
        <v>2495</v>
      </c>
      <c r="U898" s="25" t="s">
        <v>292</v>
      </c>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c r="BP898" s="25"/>
      <c r="BQ898" s="25"/>
      <c r="BR898" s="25"/>
      <c r="BS898" s="25"/>
      <c r="BT898" s="25"/>
      <c r="BU898" s="25"/>
      <c r="BV898" s="25"/>
      <c r="BW898" s="25"/>
      <c r="BX898" s="25"/>
      <c r="BY898" s="25"/>
      <c r="BZ898" s="25"/>
      <c r="CA898" s="25"/>
      <c r="CB898" s="25"/>
      <c r="CC898" s="25"/>
      <c r="CD898" s="25"/>
      <c r="CE898" s="25"/>
      <c r="CF898" s="25"/>
      <c r="CG898" s="25"/>
      <c r="CH898" s="25"/>
      <c r="CI898" s="25"/>
      <c r="CJ898" s="25"/>
      <c r="CK898" s="25"/>
      <c r="CL898" s="25"/>
      <c r="CM898" s="25"/>
      <c r="CN898" s="25"/>
      <c r="CO898" s="25"/>
      <c r="CP898" s="25"/>
      <c r="CQ898" s="25"/>
      <c r="CR898" s="25"/>
      <c r="CS898" s="25"/>
      <c r="CT898" s="25"/>
      <c r="CU898" s="25"/>
      <c r="CV898" s="25"/>
      <c r="CW898" s="25"/>
      <c r="CX898" s="25"/>
      <c r="CY898" s="25"/>
      <c r="CZ898" s="25"/>
      <c r="DA898" s="25"/>
      <c r="DB898" s="25"/>
      <c r="DC898" s="25"/>
      <c r="DD898" s="25"/>
      <c r="DE898" s="25"/>
      <c r="DF898" s="25"/>
      <c r="DG898" s="25"/>
      <c r="DH898" s="25"/>
    </row>
    <row r="899" spans="1:112" customFormat="1" ht="102" x14ac:dyDescent="0.2">
      <c r="A899" s="2" t="s">
        <v>2666</v>
      </c>
      <c r="B899" s="2" t="s">
        <v>2667</v>
      </c>
      <c r="C899" s="2" t="s">
        <v>2667</v>
      </c>
      <c r="D899" s="1">
        <v>3</v>
      </c>
      <c r="E899" s="2" t="s">
        <v>23</v>
      </c>
      <c r="F899" s="2"/>
      <c r="G899" s="2" t="s">
        <v>2663</v>
      </c>
      <c r="H899" s="2" t="s">
        <v>2668</v>
      </c>
      <c r="I899" s="2" t="s">
        <v>2669</v>
      </c>
      <c r="J899" s="25" t="s">
        <v>1284</v>
      </c>
      <c r="K899" s="25" t="s">
        <v>1284</v>
      </c>
      <c r="L899" s="25" t="s">
        <v>1284</v>
      </c>
      <c r="M899" s="25" t="s">
        <v>1285</v>
      </c>
      <c r="N899" s="25" t="s">
        <v>2670</v>
      </c>
      <c r="O899" s="25" t="s">
        <v>2671</v>
      </c>
      <c r="P899" s="25" t="s">
        <v>30</v>
      </c>
      <c r="Q899" s="25" t="s">
        <v>41</v>
      </c>
      <c r="R899" s="25" t="s">
        <v>1287</v>
      </c>
      <c r="S899" s="25" t="s">
        <v>33</v>
      </c>
      <c r="T899" s="25" t="s">
        <v>2495</v>
      </c>
      <c r="U899" s="25" t="s">
        <v>4716</v>
      </c>
      <c r="V899" s="25" t="s">
        <v>4717</v>
      </c>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c r="BM899" s="25"/>
      <c r="BN899" s="25"/>
      <c r="BO899" s="25"/>
      <c r="BP899" s="25"/>
      <c r="BQ899" s="25"/>
      <c r="BR899" s="25"/>
      <c r="BS899" s="25"/>
      <c r="BT899" s="25"/>
      <c r="BU899" s="25"/>
      <c r="BV899" s="25"/>
      <c r="BW899" s="25"/>
      <c r="BX899" s="25"/>
      <c r="BY899" s="25"/>
      <c r="BZ899" s="25"/>
      <c r="CA899" s="25"/>
      <c r="CB899" s="25"/>
      <c r="CC899" s="25"/>
      <c r="CD899" s="25"/>
      <c r="CE899" s="25"/>
      <c r="CF899" s="25"/>
      <c r="CG899" s="25"/>
      <c r="CH899" s="25"/>
      <c r="CI899" s="25"/>
      <c r="CJ899" s="25"/>
      <c r="CK899" s="25"/>
      <c r="CL899" s="25"/>
      <c r="CM899" s="25"/>
      <c r="CN899" s="25"/>
      <c r="CO899" s="25"/>
      <c r="CP899" s="25"/>
      <c r="CQ899" s="25"/>
      <c r="CR899" s="25"/>
      <c r="CS899" s="25"/>
      <c r="CT899" s="25"/>
      <c r="CU899" s="25"/>
      <c r="CV899" s="25"/>
      <c r="CW899" s="25"/>
      <c r="CX899" s="25"/>
      <c r="CY899" s="25"/>
      <c r="CZ899" s="25"/>
      <c r="DA899" s="25"/>
      <c r="DB899" s="25"/>
      <c r="DC899" s="25"/>
      <c r="DD899" s="25"/>
      <c r="DE899" s="25"/>
      <c r="DF899" s="25"/>
      <c r="DG899" s="25"/>
      <c r="DH899" s="25"/>
    </row>
    <row r="900" spans="1:112" customFormat="1" ht="51" x14ac:dyDescent="0.2">
      <c r="A900" s="7" t="s">
        <v>6186</v>
      </c>
      <c r="B900" s="2" t="s">
        <v>6391</v>
      </c>
      <c r="C900" s="2" t="s">
        <v>6391</v>
      </c>
      <c r="D900" s="1">
        <v>3</v>
      </c>
      <c r="E900" s="2" t="s">
        <v>61</v>
      </c>
      <c r="F900" s="2"/>
      <c r="G900" s="2" t="s">
        <v>3272</v>
      </c>
      <c r="H900" s="2" t="s">
        <v>6750</v>
      </c>
      <c r="I900" s="2"/>
      <c r="J900" s="25"/>
      <c r="K900" s="25"/>
      <c r="L900" s="25"/>
      <c r="M900" s="25"/>
      <c r="N900" s="34" t="s">
        <v>6571</v>
      </c>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c r="BM900" s="25"/>
      <c r="BN900" s="25"/>
      <c r="BO900" s="25"/>
      <c r="BP900" s="25"/>
      <c r="BQ900" s="25"/>
      <c r="BR900" s="25"/>
      <c r="BS900" s="25"/>
      <c r="BT900" s="25"/>
      <c r="BU900" s="25"/>
      <c r="BV900" s="25"/>
      <c r="BW900" s="25"/>
      <c r="BX900" s="25"/>
      <c r="BY900" s="25"/>
      <c r="BZ900" s="25"/>
      <c r="CA900" s="25"/>
      <c r="CB900" s="25"/>
      <c r="CC900" s="25"/>
      <c r="CD900" s="25"/>
      <c r="CE900" s="25"/>
      <c r="CF900" s="25"/>
      <c r="CG900" s="25"/>
      <c r="CH900" s="25"/>
      <c r="CI900" s="25"/>
      <c r="CJ900" s="25"/>
      <c r="CK900" s="25"/>
      <c r="CL900" s="25"/>
      <c r="CM900" s="25"/>
      <c r="CN900" s="25"/>
      <c r="CO900" s="25"/>
      <c r="CP900" s="25"/>
      <c r="CQ900" s="25"/>
      <c r="CR900" s="25"/>
      <c r="CS900" s="25"/>
      <c r="CT900" s="25"/>
      <c r="CU900" s="25"/>
      <c r="CV900" s="25"/>
      <c r="CW900" s="25"/>
      <c r="CX900" s="25"/>
      <c r="CY900" s="25"/>
      <c r="CZ900" s="25"/>
      <c r="DA900" s="25"/>
      <c r="DB900" s="25"/>
      <c r="DC900" s="25"/>
      <c r="DD900" s="25"/>
      <c r="DE900" s="25"/>
      <c r="DF900" s="25"/>
      <c r="DG900" s="25"/>
      <c r="DH900" s="25"/>
    </row>
    <row r="901" spans="1:112" customFormat="1" ht="102" x14ac:dyDescent="0.2">
      <c r="A901" s="7" t="s">
        <v>6272</v>
      </c>
      <c r="B901" s="2" t="s">
        <v>6478</v>
      </c>
      <c r="C901" s="2" t="s">
        <v>6478</v>
      </c>
      <c r="D901" s="1">
        <v>3</v>
      </c>
      <c r="E901" s="2" t="s">
        <v>61</v>
      </c>
      <c r="F901" s="2" t="s">
        <v>2600</v>
      </c>
      <c r="G901" s="2" t="s">
        <v>2520</v>
      </c>
      <c r="H901" s="2">
        <v>2500</v>
      </c>
      <c r="I901" s="2"/>
      <c r="J901" s="25"/>
      <c r="K901" s="25"/>
      <c r="L901" s="25"/>
      <c r="M901" s="25"/>
      <c r="N901" s="34" t="s">
        <v>6615</v>
      </c>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c r="BM901" s="25"/>
      <c r="BN901" s="25"/>
      <c r="BO901" s="25"/>
      <c r="BP901" s="25"/>
      <c r="BQ901" s="25"/>
      <c r="BR901" s="25"/>
      <c r="BS901" s="25"/>
      <c r="BT901" s="25"/>
      <c r="BU901" s="25"/>
      <c r="BV901" s="25"/>
      <c r="BW901" s="25"/>
      <c r="BX901" s="25"/>
      <c r="BY901" s="25"/>
      <c r="BZ901" s="25"/>
      <c r="CA901" s="25"/>
      <c r="CB901" s="25"/>
      <c r="CC901" s="25"/>
      <c r="CD901" s="25"/>
      <c r="CE901" s="25"/>
      <c r="CF901" s="25"/>
      <c r="CG901" s="25"/>
      <c r="CH901" s="25"/>
      <c r="CI901" s="25"/>
      <c r="CJ901" s="25"/>
      <c r="CK901" s="25"/>
      <c r="CL901" s="25"/>
      <c r="CM901" s="25"/>
      <c r="CN901" s="25"/>
      <c r="CO901" s="25"/>
      <c r="CP901" s="25"/>
      <c r="CQ901" s="25"/>
      <c r="CR901" s="25"/>
      <c r="CS901" s="25"/>
      <c r="CT901" s="25"/>
      <c r="CU901" s="25"/>
      <c r="CV901" s="25"/>
      <c r="CW901" s="25"/>
      <c r="CX901" s="25"/>
      <c r="CY901" s="25"/>
      <c r="CZ901" s="25"/>
      <c r="DA901" s="25"/>
      <c r="DB901" s="25"/>
      <c r="DC901" s="25"/>
      <c r="DD901" s="25"/>
      <c r="DE901" s="25"/>
      <c r="DF901" s="25"/>
      <c r="DG901" s="25"/>
      <c r="DH901" s="25"/>
    </row>
    <row r="902" spans="1:112" customFormat="1" ht="102" x14ac:dyDescent="0.2">
      <c r="A902" s="7" t="s">
        <v>6273</v>
      </c>
      <c r="B902" s="2" t="s">
        <v>6479</v>
      </c>
      <c r="C902" s="2" t="s">
        <v>6479</v>
      </c>
      <c r="D902" s="1">
        <v>3</v>
      </c>
      <c r="E902" s="2" t="s">
        <v>61</v>
      </c>
      <c r="F902" s="2" t="s">
        <v>2600</v>
      </c>
      <c r="G902" s="2" t="s">
        <v>2520</v>
      </c>
      <c r="H902" s="2">
        <v>2500</v>
      </c>
      <c r="I902" s="2"/>
      <c r="J902" s="25"/>
      <c r="K902" s="25"/>
      <c r="L902" s="25"/>
      <c r="M902" s="25"/>
      <c r="N902" s="34" t="s">
        <v>2602</v>
      </c>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c r="BM902" s="25"/>
      <c r="BN902" s="25"/>
      <c r="BO902" s="25"/>
      <c r="BP902" s="25"/>
      <c r="BQ902" s="25"/>
      <c r="BR902" s="25"/>
      <c r="BS902" s="25"/>
      <c r="BT902" s="25"/>
      <c r="BU902" s="25"/>
      <c r="BV902" s="25"/>
      <c r="BW902" s="25"/>
      <c r="BX902" s="25"/>
      <c r="BY902" s="25"/>
      <c r="BZ902" s="25"/>
      <c r="CA902" s="25"/>
      <c r="CB902" s="25"/>
      <c r="CC902" s="25"/>
      <c r="CD902" s="25"/>
      <c r="CE902" s="25"/>
      <c r="CF902" s="25"/>
      <c r="CG902" s="25"/>
      <c r="CH902" s="25"/>
      <c r="CI902" s="25"/>
      <c r="CJ902" s="25"/>
      <c r="CK902" s="25"/>
      <c r="CL902" s="25"/>
      <c r="CM902" s="25"/>
      <c r="CN902" s="25"/>
      <c r="CO902" s="25"/>
      <c r="CP902" s="25"/>
      <c r="CQ902" s="25"/>
      <c r="CR902" s="25"/>
      <c r="CS902" s="25"/>
      <c r="CT902" s="25"/>
      <c r="CU902" s="25"/>
      <c r="CV902" s="25"/>
      <c r="CW902" s="25"/>
      <c r="CX902" s="25"/>
      <c r="CY902" s="25"/>
      <c r="CZ902" s="25"/>
      <c r="DA902" s="25"/>
      <c r="DB902" s="25"/>
      <c r="DC902" s="25"/>
      <c r="DD902" s="25"/>
      <c r="DE902" s="25"/>
      <c r="DF902" s="25"/>
      <c r="DG902" s="25"/>
      <c r="DH902" s="25"/>
    </row>
    <row r="903" spans="1:112" customFormat="1" ht="204" x14ac:dyDescent="0.2">
      <c r="A903" s="7" t="s">
        <v>6308</v>
      </c>
      <c r="B903" s="2" t="s">
        <v>6514</v>
      </c>
      <c r="C903" s="2" t="s">
        <v>6514</v>
      </c>
      <c r="D903" s="1">
        <v>3</v>
      </c>
      <c r="E903" s="2" t="s">
        <v>23</v>
      </c>
      <c r="F903" s="2"/>
      <c r="G903" s="2" t="s">
        <v>2520</v>
      </c>
      <c r="H903" s="2" t="s">
        <v>1184</v>
      </c>
      <c r="I903" s="2" t="s">
        <v>2258</v>
      </c>
      <c r="J903" s="25"/>
      <c r="K903" s="25"/>
      <c r="L903" s="25"/>
      <c r="M903" s="25"/>
      <c r="N903" s="34" t="s">
        <v>3057</v>
      </c>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c r="BM903" s="25"/>
      <c r="BN903" s="25"/>
      <c r="BO903" s="25"/>
      <c r="BP903" s="25"/>
      <c r="BQ903" s="25"/>
      <c r="BR903" s="25"/>
      <c r="BS903" s="25"/>
      <c r="BT903" s="25"/>
      <c r="BU903" s="25"/>
      <c r="BV903" s="25"/>
      <c r="BW903" s="25"/>
      <c r="BX903" s="25"/>
      <c r="BY903" s="25"/>
      <c r="BZ903" s="25"/>
      <c r="CA903" s="25"/>
      <c r="CB903" s="25"/>
      <c r="CC903" s="25"/>
      <c r="CD903" s="25"/>
      <c r="CE903" s="25"/>
      <c r="CF903" s="25"/>
      <c r="CG903" s="25"/>
      <c r="CH903" s="25"/>
      <c r="CI903" s="25"/>
      <c r="CJ903" s="25"/>
      <c r="CK903" s="25"/>
      <c r="CL903" s="25"/>
      <c r="CM903" s="25"/>
      <c r="CN903" s="25"/>
      <c r="CO903" s="25"/>
      <c r="CP903" s="25"/>
      <c r="CQ903" s="25"/>
      <c r="CR903" s="25"/>
      <c r="CS903" s="25"/>
      <c r="CT903" s="25"/>
      <c r="CU903" s="25"/>
      <c r="CV903" s="25"/>
      <c r="CW903" s="25"/>
      <c r="CX903" s="25"/>
      <c r="CY903" s="25"/>
      <c r="CZ903" s="25"/>
      <c r="DA903" s="25"/>
      <c r="DB903" s="25"/>
      <c r="DC903" s="25"/>
      <c r="DD903" s="25"/>
      <c r="DE903" s="25"/>
      <c r="DF903" s="25"/>
      <c r="DG903" s="25"/>
      <c r="DH903" s="25"/>
    </row>
    <row r="904" spans="1:112" customFormat="1" ht="102" x14ac:dyDescent="0.2">
      <c r="A904" s="7" t="s">
        <v>6311</v>
      </c>
      <c r="B904" s="2" t="s">
        <v>6517</v>
      </c>
      <c r="C904" s="2" t="s">
        <v>6517</v>
      </c>
      <c r="D904" s="1">
        <v>3</v>
      </c>
      <c r="E904" s="2" t="s">
        <v>61</v>
      </c>
      <c r="F904" s="2"/>
      <c r="G904" s="2" t="s">
        <v>2520</v>
      </c>
      <c r="H904" s="2" t="s">
        <v>2614</v>
      </c>
      <c r="I904" s="2" t="s">
        <v>2615</v>
      </c>
      <c r="J904" s="25"/>
      <c r="K904" s="25"/>
      <c r="L904" s="25"/>
      <c r="M904" s="25"/>
      <c r="N904" s="34" t="s">
        <v>6644</v>
      </c>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c r="BP904" s="25"/>
      <c r="BQ904" s="25"/>
      <c r="BR904" s="25"/>
      <c r="BS904" s="25"/>
      <c r="BT904" s="25"/>
      <c r="BU904" s="25"/>
      <c r="BV904" s="25"/>
      <c r="BW904" s="25"/>
      <c r="BX904" s="25"/>
      <c r="BY904" s="25"/>
      <c r="BZ904" s="25"/>
      <c r="CA904" s="25"/>
      <c r="CB904" s="25"/>
      <c r="CC904" s="25"/>
      <c r="CD904" s="25"/>
      <c r="CE904" s="25"/>
      <c r="CF904" s="25"/>
      <c r="CG904" s="25"/>
      <c r="CH904" s="25"/>
      <c r="CI904" s="25"/>
      <c r="CJ904" s="25"/>
      <c r="CK904" s="25"/>
      <c r="CL904" s="25"/>
      <c r="CM904" s="25"/>
      <c r="CN904" s="25"/>
      <c r="CO904" s="25"/>
      <c r="CP904" s="25"/>
      <c r="CQ904" s="25"/>
      <c r="CR904" s="25"/>
      <c r="CS904" s="25"/>
      <c r="CT904" s="25"/>
      <c r="CU904" s="25"/>
      <c r="CV904" s="25"/>
      <c r="CW904" s="25"/>
      <c r="CX904" s="25"/>
      <c r="CY904" s="25"/>
      <c r="CZ904" s="25"/>
      <c r="DA904" s="25"/>
      <c r="DB904" s="25"/>
      <c r="DC904" s="25"/>
      <c r="DD904" s="25"/>
      <c r="DE904" s="25"/>
      <c r="DF904" s="25"/>
      <c r="DG904" s="25"/>
      <c r="DH904" s="25"/>
    </row>
    <row r="905" spans="1:112" s="39" customFormat="1" ht="68" x14ac:dyDescent="0.2">
      <c r="A905" s="2" t="s">
        <v>6133</v>
      </c>
      <c r="B905" s="7" t="s">
        <v>6814</v>
      </c>
      <c r="C905" s="7" t="s">
        <v>6814</v>
      </c>
      <c r="D905" s="1">
        <v>3</v>
      </c>
      <c r="E905" s="2" t="s">
        <v>23</v>
      </c>
      <c r="F905" s="2"/>
      <c r="G905" s="2" t="s">
        <v>2520</v>
      </c>
      <c r="H905" s="2"/>
      <c r="I905" s="2" t="s">
        <v>6813</v>
      </c>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c r="BP905" s="25"/>
      <c r="BQ905" s="25"/>
      <c r="BR905" s="25"/>
      <c r="BS905" s="25"/>
      <c r="BT905" s="25"/>
      <c r="BU905" s="25"/>
      <c r="BV905" s="25"/>
      <c r="BW905" s="25"/>
      <c r="BX905" s="25"/>
      <c r="BY905" s="25"/>
      <c r="BZ905" s="25"/>
      <c r="CA905" s="25"/>
      <c r="CB905" s="25"/>
      <c r="CC905" s="25"/>
      <c r="CD905" s="25"/>
      <c r="CE905" s="25"/>
      <c r="CF905" s="25"/>
      <c r="CG905" s="25"/>
      <c r="CH905" s="25"/>
      <c r="CI905" s="25"/>
      <c r="CJ905" s="25"/>
      <c r="CK905" s="25"/>
      <c r="CL905" s="25"/>
      <c r="CM905" s="25"/>
      <c r="CN905" s="25"/>
      <c r="CO905" s="25"/>
      <c r="CP905" s="25"/>
      <c r="CQ905" s="25"/>
      <c r="CR905" s="25"/>
      <c r="CS905" s="25"/>
      <c r="CT905" s="25"/>
      <c r="CU905" s="25"/>
      <c r="CV905" s="25"/>
      <c r="CW905" s="25"/>
      <c r="CX905" s="25"/>
      <c r="CY905" s="25"/>
      <c r="CZ905" s="25"/>
      <c r="DA905" s="25"/>
      <c r="DB905" s="25"/>
      <c r="DC905" s="25"/>
      <c r="DD905" s="25"/>
      <c r="DE905" s="25"/>
      <c r="DF905" s="25"/>
      <c r="DG905" s="25"/>
      <c r="DH905" s="25"/>
    </row>
    <row r="906" spans="1:112" s="39" customFormat="1" ht="68" x14ac:dyDescent="0.2">
      <c r="A906" s="2" t="s">
        <v>6133</v>
      </c>
      <c r="B906" s="7" t="s">
        <v>6815</v>
      </c>
      <c r="C906" s="7" t="s">
        <v>6815</v>
      </c>
      <c r="D906" s="1">
        <v>3</v>
      </c>
      <c r="E906" s="2" t="s">
        <v>23</v>
      </c>
      <c r="F906" s="25"/>
      <c r="G906" s="2" t="s">
        <v>2520</v>
      </c>
      <c r="H906" s="2"/>
      <c r="I906" s="2" t="s">
        <v>6813</v>
      </c>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c r="BP906" s="25"/>
      <c r="BQ906" s="25"/>
      <c r="BR906" s="25"/>
      <c r="BS906" s="25"/>
      <c r="BT906" s="25"/>
      <c r="BU906" s="25"/>
      <c r="BV906" s="25"/>
      <c r="BW906" s="25"/>
      <c r="BX906" s="25"/>
      <c r="BY906" s="25"/>
      <c r="BZ906" s="25"/>
      <c r="CA906" s="25"/>
      <c r="CB906" s="25"/>
      <c r="CC906" s="25"/>
      <c r="CD906" s="25"/>
      <c r="CE906" s="25"/>
      <c r="CF906" s="25"/>
      <c r="CG906" s="25"/>
      <c r="CH906" s="25"/>
      <c r="CI906" s="25"/>
      <c r="CJ906" s="25"/>
      <c r="CK906" s="25"/>
      <c r="CL906" s="25"/>
      <c r="CM906" s="25"/>
      <c r="CN906" s="25"/>
      <c r="CO906" s="25"/>
      <c r="CP906" s="25"/>
      <c r="CQ906" s="25"/>
      <c r="CR906" s="25"/>
      <c r="CS906" s="25"/>
      <c r="CT906" s="25"/>
      <c r="CU906" s="25"/>
      <c r="CV906" s="25"/>
      <c r="CW906" s="25"/>
      <c r="CX906" s="25"/>
      <c r="CY906" s="25"/>
      <c r="CZ906" s="25"/>
      <c r="DA906" s="25"/>
      <c r="DB906" s="25"/>
      <c r="DC906" s="25"/>
      <c r="DD906" s="25"/>
      <c r="DE906" s="25"/>
      <c r="DF906" s="25"/>
      <c r="DG906" s="25"/>
      <c r="DH906" s="25"/>
    </row>
    <row r="907" spans="1:112" customFormat="1" ht="51" x14ac:dyDescent="0.2">
      <c r="A907" s="7" t="s">
        <v>2943</v>
      </c>
      <c r="B907" s="2" t="s">
        <v>6447</v>
      </c>
      <c r="C907" s="2" t="s">
        <v>6447</v>
      </c>
      <c r="D907" s="1">
        <v>2</v>
      </c>
      <c r="E907" s="2" t="s">
        <v>61</v>
      </c>
      <c r="F907" s="2" t="s">
        <v>2912</v>
      </c>
      <c r="G907" s="2" t="s">
        <v>2946</v>
      </c>
      <c r="H907" s="2" t="s">
        <v>680</v>
      </c>
      <c r="I907" s="2" t="s">
        <v>2947</v>
      </c>
      <c r="J907" s="25"/>
      <c r="K907" s="25"/>
      <c r="L907" s="25"/>
      <c r="M907" s="25"/>
      <c r="N907" s="34" t="s">
        <v>2948</v>
      </c>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c r="BM907" s="25"/>
      <c r="BN907" s="25"/>
      <c r="BO907" s="25"/>
      <c r="BP907" s="25"/>
      <c r="BQ907" s="25"/>
      <c r="BR907" s="25"/>
      <c r="BS907" s="25"/>
      <c r="BT907" s="25"/>
      <c r="BU907" s="25"/>
      <c r="BV907" s="25"/>
      <c r="BW907" s="25"/>
      <c r="BX907" s="25"/>
      <c r="BY907" s="25"/>
      <c r="BZ907" s="25"/>
      <c r="CA907" s="25"/>
      <c r="CB907" s="25"/>
      <c r="CC907" s="25"/>
      <c r="CD907" s="25"/>
      <c r="CE907" s="25"/>
      <c r="CF907" s="25"/>
      <c r="CG907" s="25"/>
      <c r="CH907" s="25"/>
      <c r="CI907" s="25"/>
      <c r="CJ907" s="25"/>
      <c r="CK907" s="25"/>
      <c r="CL907" s="25"/>
      <c r="CM907" s="25"/>
      <c r="CN907" s="25"/>
      <c r="CO907" s="25"/>
      <c r="CP907" s="25"/>
      <c r="CQ907" s="25"/>
      <c r="CR907" s="25"/>
      <c r="CS907" s="25"/>
      <c r="CT907" s="25"/>
      <c r="CU907" s="25"/>
      <c r="CV907" s="25"/>
      <c r="CW907" s="25"/>
      <c r="CX907" s="25"/>
      <c r="CY907" s="25"/>
      <c r="CZ907" s="25"/>
      <c r="DA907" s="25"/>
      <c r="DB907" s="25"/>
      <c r="DC907" s="25"/>
      <c r="DD907" s="25"/>
      <c r="DE907" s="25"/>
      <c r="DF907" s="25"/>
      <c r="DG907" s="25"/>
      <c r="DH907" s="25"/>
    </row>
    <row r="908" spans="1:112" customFormat="1" ht="51" x14ac:dyDescent="0.2">
      <c r="A908" s="7" t="s">
        <v>2950</v>
      </c>
      <c r="B908" s="2" t="s">
        <v>6448</v>
      </c>
      <c r="C908" s="2" t="s">
        <v>6448</v>
      </c>
      <c r="D908" s="1">
        <v>2</v>
      </c>
      <c r="E908" s="2" t="s">
        <v>61</v>
      </c>
      <c r="F908" s="2" t="s">
        <v>2912</v>
      </c>
      <c r="G908" s="2" t="s">
        <v>2946</v>
      </c>
      <c r="H908" s="2" t="s">
        <v>680</v>
      </c>
      <c r="I908" s="2" t="s">
        <v>2947</v>
      </c>
      <c r="J908" s="25"/>
      <c r="K908" s="25"/>
      <c r="L908" s="25"/>
      <c r="M908" s="25"/>
      <c r="N908" s="34" t="s">
        <v>2948</v>
      </c>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c r="BM908" s="25"/>
      <c r="BN908" s="25"/>
      <c r="BO908" s="25"/>
      <c r="BP908" s="25"/>
      <c r="BQ908" s="25"/>
      <c r="BR908" s="25"/>
      <c r="BS908" s="25"/>
      <c r="BT908" s="25"/>
      <c r="BU908" s="25"/>
      <c r="BV908" s="25"/>
      <c r="BW908" s="25"/>
      <c r="BX908" s="25"/>
      <c r="BY908" s="25"/>
      <c r="BZ908" s="25"/>
      <c r="CA908" s="25"/>
      <c r="CB908" s="25"/>
      <c r="CC908" s="25"/>
      <c r="CD908" s="25"/>
      <c r="CE908" s="25"/>
      <c r="CF908" s="25"/>
      <c r="CG908" s="25"/>
      <c r="CH908" s="25"/>
      <c r="CI908" s="25"/>
      <c r="CJ908" s="25"/>
      <c r="CK908" s="25"/>
      <c r="CL908" s="25"/>
      <c r="CM908" s="25"/>
      <c r="CN908" s="25"/>
      <c r="CO908" s="25"/>
      <c r="CP908" s="25"/>
      <c r="CQ908" s="25"/>
      <c r="CR908" s="25"/>
      <c r="CS908" s="25"/>
      <c r="CT908" s="25"/>
      <c r="CU908" s="25"/>
      <c r="CV908" s="25"/>
      <c r="CW908" s="25"/>
      <c r="CX908" s="25"/>
      <c r="CY908" s="25"/>
      <c r="CZ908" s="25"/>
      <c r="DA908" s="25"/>
      <c r="DB908" s="25"/>
      <c r="DC908" s="25"/>
      <c r="DD908" s="25"/>
      <c r="DE908" s="25"/>
      <c r="DF908" s="25"/>
      <c r="DG908" s="25"/>
      <c r="DH908" s="25"/>
    </row>
    <row r="909" spans="1:112" customFormat="1" ht="85" x14ac:dyDescent="0.2">
      <c r="A909" s="7" t="s">
        <v>6266</v>
      </c>
      <c r="B909" s="2" t="s">
        <v>6472</v>
      </c>
      <c r="C909" s="2" t="s">
        <v>6472</v>
      </c>
      <c r="D909" s="5">
        <v>2</v>
      </c>
      <c r="E909" s="6" t="s">
        <v>23</v>
      </c>
      <c r="F909" s="6"/>
      <c r="G909" s="2" t="s">
        <v>2735</v>
      </c>
      <c r="H909" s="6"/>
      <c r="I909" s="2" t="s">
        <v>6804</v>
      </c>
      <c r="J909" s="25"/>
      <c r="K909" s="25"/>
      <c r="L909" s="25"/>
      <c r="M909" s="25"/>
      <c r="N909" s="34" t="s">
        <v>2966</v>
      </c>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c r="BP909" s="25"/>
      <c r="BQ909" s="25"/>
      <c r="BR909" s="25"/>
      <c r="BS909" s="25"/>
      <c r="BT909" s="25"/>
      <c r="BU909" s="25"/>
      <c r="BV909" s="25"/>
      <c r="BW909" s="25"/>
      <c r="BX909" s="25"/>
      <c r="BY909" s="25"/>
      <c r="BZ909" s="25"/>
      <c r="CA909" s="25"/>
      <c r="CB909" s="25"/>
      <c r="CC909" s="25"/>
      <c r="CD909" s="25"/>
      <c r="CE909" s="25"/>
      <c r="CF909" s="25"/>
      <c r="CG909" s="25"/>
      <c r="CH909" s="25"/>
      <c r="CI909" s="25"/>
      <c r="CJ909" s="25"/>
      <c r="CK909" s="25"/>
      <c r="CL909" s="25"/>
      <c r="CM909" s="25"/>
      <c r="CN909" s="25"/>
      <c r="CO909" s="25"/>
      <c r="CP909" s="25"/>
      <c r="CQ909" s="25"/>
      <c r="CR909" s="25"/>
      <c r="CS909" s="25"/>
      <c r="CT909" s="25"/>
      <c r="CU909" s="25"/>
      <c r="CV909" s="25"/>
      <c r="CW909" s="25"/>
      <c r="CX909" s="25"/>
      <c r="CY909" s="25"/>
      <c r="CZ909" s="25"/>
      <c r="DA909" s="25"/>
      <c r="DB909" s="25"/>
      <c r="DC909" s="25"/>
      <c r="DD909" s="25"/>
      <c r="DE909" s="25"/>
      <c r="DF909" s="25"/>
      <c r="DG909" s="25"/>
      <c r="DH909" s="25"/>
    </row>
    <row r="910" spans="1:112" customFormat="1" ht="85" x14ac:dyDescent="0.2">
      <c r="A910" s="7" t="s">
        <v>6267</v>
      </c>
      <c r="B910" s="2" t="s">
        <v>6473</v>
      </c>
      <c r="C910" s="2" t="s">
        <v>6473</v>
      </c>
      <c r="D910" s="5">
        <v>2</v>
      </c>
      <c r="E910" s="6" t="s">
        <v>23</v>
      </c>
      <c r="F910" s="6"/>
      <c r="G910" s="2" t="s">
        <v>2735</v>
      </c>
      <c r="H910" s="6"/>
      <c r="I910" s="2" t="s">
        <v>6804</v>
      </c>
      <c r="J910" s="25"/>
      <c r="K910" s="25"/>
      <c r="L910" s="25"/>
      <c r="M910" s="25"/>
      <c r="N910" s="34" t="s">
        <v>6611</v>
      </c>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c r="BM910" s="25"/>
      <c r="BN910" s="25"/>
      <c r="BO910" s="25"/>
      <c r="BP910" s="25"/>
      <c r="BQ910" s="25"/>
      <c r="BR910" s="25"/>
      <c r="BS910" s="25"/>
      <c r="BT910" s="25"/>
      <c r="BU910" s="25"/>
      <c r="BV910" s="25"/>
      <c r="BW910" s="25"/>
      <c r="BX910" s="25"/>
      <c r="BY910" s="25"/>
      <c r="BZ910" s="25"/>
      <c r="CA910" s="25"/>
      <c r="CB910" s="25"/>
      <c r="CC910" s="25"/>
      <c r="CD910" s="25"/>
      <c r="CE910" s="25"/>
      <c r="CF910" s="25"/>
      <c r="CG910" s="25"/>
      <c r="CH910" s="25"/>
      <c r="CI910" s="25"/>
      <c r="CJ910" s="25"/>
      <c r="CK910" s="25"/>
      <c r="CL910" s="25"/>
      <c r="CM910" s="25"/>
      <c r="CN910" s="25"/>
      <c r="CO910" s="25"/>
      <c r="CP910" s="25"/>
      <c r="CQ910" s="25"/>
      <c r="CR910" s="25"/>
      <c r="CS910" s="25"/>
      <c r="CT910" s="25"/>
      <c r="CU910" s="25"/>
      <c r="CV910" s="25"/>
      <c r="CW910" s="25"/>
      <c r="CX910" s="25"/>
      <c r="CY910" s="25"/>
      <c r="CZ910" s="25"/>
      <c r="DA910" s="25"/>
      <c r="DB910" s="25"/>
      <c r="DC910" s="25"/>
      <c r="DD910" s="25"/>
      <c r="DE910" s="25"/>
      <c r="DF910" s="25"/>
      <c r="DG910" s="25"/>
      <c r="DH910" s="25"/>
    </row>
    <row r="911" spans="1:112" customFormat="1" ht="102" x14ac:dyDescent="0.2">
      <c r="A911" s="2" t="s">
        <v>2672</v>
      </c>
      <c r="B911" s="2" t="s">
        <v>2673</v>
      </c>
      <c r="C911" s="2" t="s">
        <v>2673</v>
      </c>
      <c r="D911" s="1">
        <v>2</v>
      </c>
      <c r="E911" s="2" t="s">
        <v>23</v>
      </c>
      <c r="F911" s="2"/>
      <c r="G911" s="2" t="s">
        <v>2674</v>
      </c>
      <c r="H911" s="2" t="s">
        <v>2675</v>
      </c>
      <c r="I911" s="2" t="s">
        <v>2676</v>
      </c>
      <c r="J911" s="25" t="s">
        <v>27</v>
      </c>
      <c r="K911" s="25" t="s">
        <v>48</v>
      </c>
      <c r="L911" s="25" t="s">
        <v>2677</v>
      </c>
      <c r="M911" s="25" t="s">
        <v>2678</v>
      </c>
      <c r="N911" s="25" t="s">
        <v>2679</v>
      </c>
      <c r="O911" s="25" t="s">
        <v>2678</v>
      </c>
      <c r="P911" s="25" t="s">
        <v>192</v>
      </c>
      <c r="Q911" s="25" t="s">
        <v>41</v>
      </c>
      <c r="R911" s="25" t="s">
        <v>32</v>
      </c>
      <c r="S911" s="25" t="s">
        <v>33</v>
      </c>
      <c r="T911" s="25" t="s">
        <v>2680</v>
      </c>
      <c r="U911" s="25" t="s">
        <v>2681</v>
      </c>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c r="BM911" s="25"/>
      <c r="BN911" s="25"/>
      <c r="BO911" s="25"/>
      <c r="BP911" s="25"/>
      <c r="BQ911" s="25"/>
      <c r="BR911" s="25"/>
      <c r="BS911" s="25"/>
      <c r="BT911" s="25"/>
      <c r="BU911" s="25"/>
      <c r="BV911" s="25"/>
      <c r="BW911" s="25"/>
      <c r="BX911" s="25"/>
      <c r="BY911" s="25"/>
      <c r="BZ911" s="25"/>
      <c r="CA911" s="25"/>
      <c r="CB911" s="25"/>
      <c r="CC911" s="25"/>
      <c r="CD911" s="25"/>
      <c r="CE911" s="25"/>
      <c r="CF911" s="25"/>
      <c r="CG911" s="25"/>
      <c r="CH911" s="25"/>
      <c r="CI911" s="25"/>
      <c r="CJ911" s="25"/>
      <c r="CK911" s="25"/>
      <c r="CL911" s="25"/>
      <c r="CM911" s="25"/>
      <c r="CN911" s="25"/>
      <c r="CO911" s="25"/>
      <c r="CP911" s="25"/>
      <c r="CQ911" s="25"/>
      <c r="CR911" s="25"/>
      <c r="CS911" s="25"/>
      <c r="CT911" s="25"/>
      <c r="CU911" s="25"/>
      <c r="CV911" s="25"/>
      <c r="CW911" s="25"/>
      <c r="CX911" s="25"/>
      <c r="CY911" s="25"/>
      <c r="CZ911" s="25"/>
      <c r="DA911" s="25"/>
      <c r="DB911" s="25"/>
      <c r="DC911" s="25"/>
      <c r="DD911" s="25"/>
      <c r="DE911" s="25"/>
      <c r="DF911" s="25"/>
      <c r="DG911" s="25"/>
      <c r="DH911" s="25"/>
    </row>
    <row r="912" spans="1:112" customFormat="1" ht="102" x14ac:dyDescent="0.2">
      <c r="A912" s="2" t="s">
        <v>2682</v>
      </c>
      <c r="B912" s="2" t="s">
        <v>2683</v>
      </c>
      <c r="C912" s="2" t="s">
        <v>2683</v>
      </c>
      <c r="D912" s="1">
        <v>2</v>
      </c>
      <c r="E912" s="2" t="s">
        <v>23</v>
      </c>
      <c r="F912" s="2"/>
      <c r="G912" s="2" t="s">
        <v>2674</v>
      </c>
      <c r="H912" s="2" t="s">
        <v>2675</v>
      </c>
      <c r="I912" s="2" t="s">
        <v>2676</v>
      </c>
      <c r="J912" s="25" t="s">
        <v>27</v>
      </c>
      <c r="K912" s="25" t="s">
        <v>48</v>
      </c>
      <c r="L912" s="25" t="s">
        <v>2677</v>
      </c>
      <c r="M912" s="25" t="s">
        <v>2678</v>
      </c>
      <c r="N912" s="25" t="s">
        <v>2679</v>
      </c>
      <c r="O912" s="25" t="s">
        <v>2678</v>
      </c>
      <c r="P912" s="25" t="s">
        <v>192</v>
      </c>
      <c r="Q912" s="25" t="s">
        <v>199</v>
      </c>
      <c r="R912" s="25" t="s">
        <v>32</v>
      </c>
      <c r="S912" s="25" t="s">
        <v>33</v>
      </c>
      <c r="T912" s="25" t="s">
        <v>2680</v>
      </c>
      <c r="U912" s="25" t="s">
        <v>2681</v>
      </c>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c r="BM912" s="25"/>
      <c r="BN912" s="25"/>
      <c r="BO912" s="25"/>
      <c r="BP912" s="25"/>
      <c r="BQ912" s="25"/>
      <c r="BR912" s="25"/>
      <c r="BS912" s="25"/>
      <c r="BT912" s="25"/>
      <c r="BU912" s="25"/>
      <c r="BV912" s="25"/>
      <c r="BW912" s="25"/>
      <c r="BX912" s="25"/>
      <c r="BY912" s="25"/>
      <c r="BZ912" s="25"/>
      <c r="CA912" s="25"/>
      <c r="CB912" s="25"/>
      <c r="CC912" s="25"/>
      <c r="CD912" s="25"/>
      <c r="CE912" s="25"/>
      <c r="CF912" s="25"/>
      <c r="CG912" s="25"/>
      <c r="CH912" s="25"/>
      <c r="CI912" s="25"/>
      <c r="CJ912" s="25"/>
      <c r="CK912" s="25"/>
      <c r="CL912" s="25"/>
      <c r="CM912" s="25"/>
      <c r="CN912" s="25"/>
      <c r="CO912" s="25"/>
      <c r="CP912" s="25"/>
      <c r="CQ912" s="25"/>
      <c r="CR912" s="25"/>
      <c r="CS912" s="25"/>
      <c r="CT912" s="25"/>
      <c r="CU912" s="25"/>
      <c r="CV912" s="25"/>
      <c r="CW912" s="25"/>
      <c r="CX912" s="25"/>
      <c r="CY912" s="25"/>
      <c r="CZ912" s="25"/>
      <c r="DA912" s="25"/>
      <c r="DB912" s="25"/>
      <c r="DC912" s="25"/>
      <c r="DD912" s="25"/>
      <c r="DE912" s="25"/>
      <c r="DF912" s="25"/>
      <c r="DG912" s="25"/>
      <c r="DH912" s="25"/>
    </row>
    <row r="913" spans="1:112" customFormat="1" ht="102" x14ac:dyDescent="0.2">
      <c r="A913" s="2" t="s">
        <v>2684</v>
      </c>
      <c r="B913" s="2" t="s">
        <v>2685</v>
      </c>
      <c r="C913" s="2" t="s">
        <v>2685</v>
      </c>
      <c r="D913" s="1">
        <v>2</v>
      </c>
      <c r="E913" s="2" t="s">
        <v>23</v>
      </c>
      <c r="F913" s="2"/>
      <c r="G913" s="2" t="s">
        <v>2674</v>
      </c>
      <c r="H913" s="2" t="s">
        <v>2675</v>
      </c>
      <c r="I913" s="2" t="s">
        <v>2676</v>
      </c>
      <c r="J913" s="25" t="s">
        <v>27</v>
      </c>
      <c r="K913" s="25" t="s">
        <v>48</v>
      </c>
      <c r="L913" s="25" t="s">
        <v>2677</v>
      </c>
      <c r="M913" s="25" t="s">
        <v>2678</v>
      </c>
      <c r="N913" s="25" t="s">
        <v>2686</v>
      </c>
      <c r="O913" s="25" t="s">
        <v>2678</v>
      </c>
      <c r="P913" s="25" t="s">
        <v>339</v>
      </c>
      <c r="Q913" s="25" t="s">
        <v>41</v>
      </c>
      <c r="R913" s="25" t="s">
        <v>32</v>
      </c>
      <c r="S913" s="25" t="s">
        <v>33</v>
      </c>
      <c r="T913" s="25" t="s">
        <v>2687</v>
      </c>
      <c r="U913" s="25" t="s">
        <v>2688</v>
      </c>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c r="BM913" s="25"/>
      <c r="BN913" s="25"/>
      <c r="BO913" s="25"/>
      <c r="BP913" s="25"/>
      <c r="BQ913" s="25"/>
      <c r="BR913" s="25"/>
      <c r="BS913" s="25"/>
      <c r="BT913" s="25"/>
      <c r="BU913" s="25"/>
      <c r="BV913" s="25"/>
      <c r="BW913" s="25"/>
      <c r="BX913" s="25"/>
      <c r="BY913" s="25"/>
      <c r="BZ913" s="25"/>
      <c r="CA913" s="25"/>
      <c r="CB913" s="25"/>
      <c r="CC913" s="25"/>
      <c r="CD913" s="25"/>
      <c r="CE913" s="25"/>
      <c r="CF913" s="25"/>
      <c r="CG913" s="25"/>
      <c r="CH913" s="25"/>
      <c r="CI913" s="25"/>
      <c r="CJ913" s="25"/>
      <c r="CK913" s="25"/>
      <c r="CL913" s="25"/>
      <c r="CM913" s="25"/>
      <c r="CN913" s="25"/>
      <c r="CO913" s="25"/>
      <c r="CP913" s="25"/>
      <c r="CQ913" s="25"/>
      <c r="CR913" s="25"/>
      <c r="CS913" s="25"/>
      <c r="CT913" s="25"/>
      <c r="CU913" s="25"/>
      <c r="CV913" s="25"/>
      <c r="CW913" s="25"/>
      <c r="CX913" s="25"/>
      <c r="CY913" s="25"/>
      <c r="CZ913" s="25"/>
      <c r="DA913" s="25"/>
      <c r="DB913" s="25"/>
      <c r="DC913" s="25"/>
      <c r="DD913" s="25"/>
      <c r="DE913" s="25"/>
      <c r="DF913" s="25"/>
      <c r="DG913" s="25"/>
      <c r="DH913" s="25"/>
    </row>
    <row r="914" spans="1:112" customFormat="1" ht="102" x14ac:dyDescent="0.2">
      <c r="A914" s="2" t="s">
        <v>2689</v>
      </c>
      <c r="B914" s="2" t="s">
        <v>2690</v>
      </c>
      <c r="C914" s="2" t="s">
        <v>2690</v>
      </c>
      <c r="D914" s="1">
        <v>2</v>
      </c>
      <c r="E914" s="2" t="s">
        <v>23</v>
      </c>
      <c r="F914" s="2"/>
      <c r="G914" s="2" t="s">
        <v>2674</v>
      </c>
      <c r="H914" s="2" t="s">
        <v>2675</v>
      </c>
      <c r="I914" s="2" t="s">
        <v>2676</v>
      </c>
      <c r="J914" s="25" t="s">
        <v>27</v>
      </c>
      <c r="K914" s="25" t="s">
        <v>48</v>
      </c>
      <c r="L914" s="25" t="s">
        <v>2677</v>
      </c>
      <c r="M914" s="25" t="s">
        <v>2678</v>
      </c>
      <c r="N914" s="25" t="s">
        <v>2691</v>
      </c>
      <c r="O914" s="25" t="s">
        <v>2678</v>
      </c>
      <c r="P914" s="25" t="s">
        <v>792</v>
      </c>
      <c r="Q914" s="25" t="s">
        <v>41</v>
      </c>
      <c r="R914" s="25" t="s">
        <v>32</v>
      </c>
      <c r="S914" s="25" t="s">
        <v>33</v>
      </c>
      <c r="T914" s="25" t="s">
        <v>2692</v>
      </c>
      <c r="U914" s="25" t="s">
        <v>292</v>
      </c>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25"/>
      <c r="CD914" s="25"/>
      <c r="CE914" s="25"/>
      <c r="CF914" s="25"/>
      <c r="CG914" s="25"/>
      <c r="CH914" s="25"/>
      <c r="CI914" s="25"/>
      <c r="CJ914" s="25"/>
      <c r="CK914" s="25"/>
      <c r="CL914" s="25"/>
      <c r="CM914" s="25"/>
      <c r="CN914" s="25"/>
      <c r="CO914" s="25"/>
      <c r="CP914" s="25"/>
      <c r="CQ914" s="25"/>
      <c r="CR914" s="25"/>
      <c r="CS914" s="25"/>
      <c r="CT914" s="25"/>
      <c r="CU914" s="25"/>
      <c r="CV914" s="25"/>
      <c r="CW914" s="25"/>
      <c r="CX914" s="25"/>
      <c r="CY914" s="25"/>
      <c r="CZ914" s="25"/>
      <c r="DA914" s="25"/>
      <c r="DB914" s="25"/>
      <c r="DC914" s="25"/>
      <c r="DD914" s="25"/>
      <c r="DE914" s="25"/>
      <c r="DF914" s="25"/>
      <c r="DG914" s="25"/>
      <c r="DH914" s="25"/>
    </row>
    <row r="915" spans="1:112" customFormat="1" ht="102" x14ac:dyDescent="0.2">
      <c r="A915" s="2" t="s">
        <v>2693</v>
      </c>
      <c r="B915" s="2" t="s">
        <v>2694</v>
      </c>
      <c r="C915" s="2" t="s">
        <v>2694</v>
      </c>
      <c r="D915" s="1">
        <v>2</v>
      </c>
      <c r="E915" s="2" t="s">
        <v>23</v>
      </c>
      <c r="F915" s="2"/>
      <c r="G915" s="2" t="s">
        <v>2674</v>
      </c>
      <c r="H915" s="2" t="s">
        <v>2675</v>
      </c>
      <c r="I915" s="2" t="s">
        <v>2676</v>
      </c>
      <c r="J915" s="25" t="s">
        <v>27</v>
      </c>
      <c r="K915" s="25" t="s">
        <v>48</v>
      </c>
      <c r="L915" s="25" t="s">
        <v>2677</v>
      </c>
      <c r="M915" s="25" t="s">
        <v>2678</v>
      </c>
      <c r="N915" s="25" t="s">
        <v>2695</v>
      </c>
      <c r="O915" s="25" t="s">
        <v>2678</v>
      </c>
      <c r="P915" s="25" t="s">
        <v>629</v>
      </c>
      <c r="Q915" s="25" t="s">
        <v>41</v>
      </c>
      <c r="R915" s="25" t="s">
        <v>32</v>
      </c>
      <c r="S915" s="25" t="s">
        <v>33</v>
      </c>
      <c r="T915" s="25" t="s">
        <v>2696</v>
      </c>
      <c r="U915" s="25" t="s">
        <v>292</v>
      </c>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c r="BP915" s="25"/>
      <c r="BQ915" s="25"/>
      <c r="BR915" s="25"/>
      <c r="BS915" s="25"/>
      <c r="BT915" s="25"/>
      <c r="BU915" s="25"/>
      <c r="BV915" s="25"/>
      <c r="BW915" s="25"/>
      <c r="BX915" s="25"/>
      <c r="BY915" s="25"/>
      <c r="BZ915" s="25"/>
      <c r="CA915" s="25"/>
      <c r="CB915" s="25"/>
      <c r="CC915" s="25"/>
      <c r="CD915" s="25"/>
      <c r="CE915" s="25"/>
      <c r="CF915" s="25"/>
      <c r="CG915" s="25"/>
      <c r="CH915" s="25"/>
      <c r="CI915" s="25"/>
      <c r="CJ915" s="25"/>
      <c r="CK915" s="25"/>
      <c r="CL915" s="25"/>
      <c r="CM915" s="25"/>
      <c r="CN915" s="25"/>
      <c r="CO915" s="25"/>
      <c r="CP915" s="25"/>
      <c r="CQ915" s="25"/>
      <c r="CR915" s="25"/>
      <c r="CS915" s="25"/>
      <c r="CT915" s="25"/>
      <c r="CU915" s="25"/>
      <c r="CV915" s="25"/>
      <c r="CW915" s="25"/>
      <c r="CX915" s="25"/>
      <c r="CY915" s="25"/>
      <c r="CZ915" s="25"/>
      <c r="DA915" s="25"/>
      <c r="DB915" s="25"/>
      <c r="DC915" s="25"/>
      <c r="DD915" s="25"/>
      <c r="DE915" s="25"/>
      <c r="DF915" s="25"/>
      <c r="DG915" s="25"/>
      <c r="DH915" s="25"/>
    </row>
    <row r="916" spans="1:112" customFormat="1" ht="102" x14ac:dyDescent="0.2">
      <c r="A916" s="2" t="s">
        <v>2697</v>
      </c>
      <c r="B916" s="2" t="s">
        <v>2698</v>
      </c>
      <c r="C916" s="2" t="s">
        <v>2698</v>
      </c>
      <c r="D916" s="1">
        <v>2</v>
      </c>
      <c r="E916" s="2" t="s">
        <v>23</v>
      </c>
      <c r="F916" s="2"/>
      <c r="G916" s="2" t="s">
        <v>2674</v>
      </c>
      <c r="H916" s="2" t="s">
        <v>2675</v>
      </c>
      <c r="I916" s="2" t="s">
        <v>2676</v>
      </c>
      <c r="J916" s="25" t="s">
        <v>27</v>
      </c>
      <c r="K916" s="25" t="s">
        <v>48</v>
      </c>
      <c r="L916" s="25" t="s">
        <v>2677</v>
      </c>
      <c r="M916" s="25" t="s">
        <v>2678</v>
      </c>
      <c r="N916" s="25" t="s">
        <v>2699</v>
      </c>
      <c r="O916" s="25" t="s">
        <v>183</v>
      </c>
      <c r="P916" s="25" t="s">
        <v>825</v>
      </c>
      <c r="Q916" s="25" t="s">
        <v>41</v>
      </c>
      <c r="R916" s="25" t="s">
        <v>32</v>
      </c>
      <c r="S916" s="25" t="s">
        <v>33</v>
      </c>
      <c r="T916" s="25" t="s">
        <v>2700</v>
      </c>
      <c r="U916" s="25" t="s">
        <v>4718</v>
      </c>
      <c r="V916" s="25" t="s">
        <v>4719</v>
      </c>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c r="BM916" s="25"/>
      <c r="BN916" s="25"/>
      <c r="BO916" s="25"/>
      <c r="BP916" s="25"/>
      <c r="BQ916" s="25"/>
      <c r="BR916" s="25"/>
      <c r="BS916" s="25"/>
      <c r="BT916" s="25"/>
      <c r="BU916" s="25"/>
      <c r="BV916" s="25"/>
      <c r="BW916" s="25"/>
      <c r="BX916" s="25"/>
      <c r="BY916" s="25"/>
      <c r="BZ916" s="25"/>
      <c r="CA916" s="25"/>
      <c r="CB916" s="25"/>
      <c r="CC916" s="25"/>
      <c r="CD916" s="25"/>
      <c r="CE916" s="25"/>
      <c r="CF916" s="25"/>
      <c r="CG916" s="25"/>
      <c r="CH916" s="25"/>
      <c r="CI916" s="25"/>
      <c r="CJ916" s="25"/>
      <c r="CK916" s="25"/>
      <c r="CL916" s="25"/>
      <c r="CM916" s="25"/>
      <c r="CN916" s="25"/>
      <c r="CO916" s="25"/>
      <c r="CP916" s="25"/>
      <c r="CQ916" s="25"/>
      <c r="CR916" s="25"/>
      <c r="CS916" s="25"/>
      <c r="CT916" s="25"/>
      <c r="CU916" s="25"/>
      <c r="CV916" s="25"/>
      <c r="CW916" s="25"/>
      <c r="CX916" s="25"/>
      <c r="CY916" s="25"/>
      <c r="CZ916" s="25"/>
      <c r="DA916" s="25"/>
      <c r="DB916" s="25"/>
      <c r="DC916" s="25"/>
      <c r="DD916" s="25"/>
      <c r="DE916" s="25"/>
      <c r="DF916" s="25"/>
      <c r="DG916" s="25"/>
      <c r="DH916" s="25"/>
    </row>
    <row r="917" spans="1:112" customFormat="1" ht="102" x14ac:dyDescent="0.2">
      <c r="A917" s="2" t="s">
        <v>2701</v>
      </c>
      <c r="B917" s="2" t="s">
        <v>2702</v>
      </c>
      <c r="C917" s="2" t="s">
        <v>2702</v>
      </c>
      <c r="D917" s="1">
        <v>2</v>
      </c>
      <c r="E917" s="2" t="s">
        <v>23</v>
      </c>
      <c r="F917" s="2"/>
      <c r="G917" s="2" t="s">
        <v>2674</v>
      </c>
      <c r="H917" s="2" t="s">
        <v>2675</v>
      </c>
      <c r="I917" s="2" t="s">
        <v>2676</v>
      </c>
      <c r="J917" s="25" t="s">
        <v>27</v>
      </c>
      <c r="K917" s="25" t="s">
        <v>48</v>
      </c>
      <c r="L917" s="25" t="s">
        <v>2677</v>
      </c>
      <c r="M917" s="25" t="s">
        <v>2678</v>
      </c>
      <c r="N917" s="25" t="s">
        <v>2699</v>
      </c>
      <c r="O917" s="25" t="s">
        <v>183</v>
      </c>
      <c r="P917" s="25" t="s">
        <v>825</v>
      </c>
      <c r="Q917" s="25" t="s">
        <v>199</v>
      </c>
      <c r="R917" s="25" t="s">
        <v>32</v>
      </c>
      <c r="S917" s="25" t="s">
        <v>33</v>
      </c>
      <c r="T917" s="25" t="s">
        <v>2700</v>
      </c>
      <c r="U917" s="25" t="s">
        <v>4718</v>
      </c>
      <c r="V917" s="25" t="s">
        <v>4719</v>
      </c>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c r="BP917" s="25"/>
      <c r="BQ917" s="25"/>
      <c r="BR917" s="25"/>
      <c r="BS917" s="25"/>
      <c r="BT917" s="25"/>
      <c r="BU917" s="25"/>
      <c r="BV917" s="25"/>
      <c r="BW917" s="25"/>
      <c r="BX917" s="25"/>
      <c r="BY917" s="25"/>
      <c r="BZ917" s="25"/>
      <c r="CA917" s="25"/>
      <c r="CB917" s="25"/>
      <c r="CC917" s="25"/>
      <c r="CD917" s="25"/>
      <c r="CE917" s="25"/>
      <c r="CF917" s="25"/>
      <c r="CG917" s="25"/>
      <c r="CH917" s="25"/>
      <c r="CI917" s="25"/>
      <c r="CJ917" s="25"/>
      <c r="CK917" s="25"/>
      <c r="CL917" s="25"/>
      <c r="CM917" s="25"/>
      <c r="CN917" s="25"/>
      <c r="CO917" s="25"/>
      <c r="CP917" s="25"/>
      <c r="CQ917" s="25"/>
      <c r="CR917" s="25"/>
      <c r="CS917" s="25"/>
      <c r="CT917" s="25"/>
      <c r="CU917" s="25"/>
      <c r="CV917" s="25"/>
      <c r="CW917" s="25"/>
      <c r="CX917" s="25"/>
      <c r="CY917" s="25"/>
      <c r="CZ917" s="25"/>
      <c r="DA917" s="25"/>
      <c r="DB917" s="25"/>
      <c r="DC917" s="25"/>
      <c r="DD917" s="25"/>
      <c r="DE917" s="25"/>
      <c r="DF917" s="25"/>
      <c r="DG917" s="25"/>
      <c r="DH917" s="25"/>
    </row>
    <row r="918" spans="1:112" customFormat="1" ht="102" x14ac:dyDescent="0.2">
      <c r="A918" s="7" t="s">
        <v>5048</v>
      </c>
      <c r="B918" s="7" t="s">
        <v>5049</v>
      </c>
      <c r="C918" s="2" t="s">
        <v>5049</v>
      </c>
      <c r="D918" s="1">
        <v>2</v>
      </c>
      <c r="E918" s="2" t="s">
        <v>23</v>
      </c>
      <c r="F918" s="2"/>
      <c r="G918" s="2" t="s">
        <v>2674</v>
      </c>
      <c r="H918" s="2" t="s">
        <v>2675</v>
      </c>
      <c r="I918" s="2" t="s">
        <v>2676</v>
      </c>
      <c r="J918" s="34" t="s">
        <v>27</v>
      </c>
      <c r="K918" s="34" t="s">
        <v>48</v>
      </c>
      <c r="L918" s="34" t="s">
        <v>1593</v>
      </c>
      <c r="M918" s="34" t="s">
        <v>1594</v>
      </c>
      <c r="N918" s="34" t="s">
        <v>5050</v>
      </c>
      <c r="O918" s="34" t="s">
        <v>2707</v>
      </c>
      <c r="P918" s="34" t="s">
        <v>159</v>
      </c>
      <c r="Q918" s="34" t="s">
        <v>41</v>
      </c>
      <c r="R918" s="34" t="s">
        <v>32</v>
      </c>
      <c r="S918" s="34" t="s">
        <v>33</v>
      </c>
      <c r="T918" s="34" t="s">
        <v>5051</v>
      </c>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c r="BQ918" s="34"/>
      <c r="BR918" s="34"/>
      <c r="BS918" s="34"/>
      <c r="BT918" s="34"/>
      <c r="BU918" s="34"/>
      <c r="BV918" s="34"/>
      <c r="BW918" s="34"/>
      <c r="BX918" s="34"/>
      <c r="BY918" s="34"/>
      <c r="BZ918" s="34"/>
      <c r="CA918" s="34"/>
      <c r="CB918" s="34"/>
      <c r="CC918" s="34"/>
      <c r="CD918" s="34"/>
      <c r="CE918" s="34"/>
      <c r="CF918" s="34"/>
      <c r="CG918" s="34"/>
      <c r="CH918" s="34"/>
      <c r="CI918" s="34"/>
      <c r="CJ918" s="34"/>
      <c r="CK918" s="34"/>
      <c r="CL918" s="34"/>
      <c r="CM918" s="34"/>
      <c r="CN918" s="34"/>
      <c r="CO918" s="34"/>
      <c r="CP918" s="34"/>
      <c r="CQ918" s="34"/>
      <c r="CR918" s="34"/>
      <c r="CS918" s="34"/>
      <c r="CT918" s="34"/>
      <c r="CU918" s="34"/>
      <c r="CV918" s="34"/>
      <c r="CW918" s="34"/>
      <c r="CX918" s="34"/>
      <c r="CY918" s="34"/>
      <c r="CZ918" s="34"/>
      <c r="DA918" s="34"/>
      <c r="DB918" s="34"/>
      <c r="DC918" s="34"/>
      <c r="DD918" s="34"/>
      <c r="DE918" s="34"/>
      <c r="DF918" s="34"/>
      <c r="DG918" s="34"/>
      <c r="DH918" s="34"/>
    </row>
    <row r="919" spans="1:112" customFormat="1" ht="102" x14ac:dyDescent="0.2">
      <c r="A919" s="2" t="s">
        <v>2703</v>
      </c>
      <c r="B919" s="2" t="s">
        <v>2704</v>
      </c>
      <c r="C919" s="2" t="s">
        <v>2704</v>
      </c>
      <c r="D919" s="1">
        <v>2</v>
      </c>
      <c r="E919" s="2" t="s">
        <v>153</v>
      </c>
      <c r="F919" s="2" t="s">
        <v>2705</v>
      </c>
      <c r="G919" s="2" t="s">
        <v>2674</v>
      </c>
      <c r="H919" s="2" t="s">
        <v>2675</v>
      </c>
      <c r="I919" s="2" t="s">
        <v>2676</v>
      </c>
      <c r="J919" s="25" t="s">
        <v>27</v>
      </c>
      <c r="K919" s="25" t="s">
        <v>48</v>
      </c>
      <c r="L919" s="25" t="s">
        <v>1593</v>
      </c>
      <c r="M919" s="25" t="s">
        <v>1594</v>
      </c>
      <c r="N919" s="25" t="s">
        <v>2706</v>
      </c>
      <c r="O919" s="25" t="s">
        <v>2707</v>
      </c>
      <c r="P919" s="25" t="s">
        <v>40</v>
      </c>
      <c r="Q919" s="25" t="s">
        <v>41</v>
      </c>
      <c r="R919" s="25" t="s">
        <v>32</v>
      </c>
      <c r="S919" s="25" t="s">
        <v>33</v>
      </c>
      <c r="T919" s="25" t="s">
        <v>2708</v>
      </c>
      <c r="U919" s="25" t="s">
        <v>4720</v>
      </c>
      <c r="V919" s="25" t="s">
        <v>4721</v>
      </c>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c r="BP919" s="25"/>
      <c r="BQ919" s="25"/>
      <c r="BR919" s="25"/>
      <c r="BS919" s="25"/>
      <c r="BT919" s="25"/>
      <c r="BU919" s="25"/>
      <c r="BV919" s="25"/>
      <c r="BW919" s="25"/>
      <c r="BX919" s="25"/>
      <c r="BY919" s="25"/>
      <c r="BZ919" s="25"/>
      <c r="CA919" s="25"/>
      <c r="CB919" s="25"/>
      <c r="CC919" s="25"/>
      <c r="CD919" s="25"/>
      <c r="CE919" s="25"/>
      <c r="CF919" s="25"/>
      <c r="CG919" s="25"/>
      <c r="CH919" s="25"/>
      <c r="CI919" s="25"/>
      <c r="CJ919" s="25"/>
      <c r="CK919" s="25"/>
      <c r="CL919" s="25"/>
      <c r="CM919" s="25"/>
      <c r="CN919" s="25"/>
      <c r="CO919" s="25"/>
      <c r="CP919" s="25"/>
      <c r="CQ919" s="25"/>
      <c r="CR919" s="25"/>
      <c r="CS919" s="25"/>
      <c r="CT919" s="25"/>
      <c r="CU919" s="25"/>
      <c r="CV919" s="25"/>
      <c r="CW919" s="25"/>
      <c r="CX919" s="25"/>
      <c r="CY919" s="25"/>
      <c r="CZ919" s="25"/>
      <c r="DA919" s="25"/>
      <c r="DB919" s="25"/>
      <c r="DC919" s="25"/>
      <c r="DD919" s="25"/>
      <c r="DE919" s="25"/>
      <c r="DF919" s="25"/>
      <c r="DG919" s="25"/>
      <c r="DH919" s="25"/>
    </row>
    <row r="920" spans="1:112" customFormat="1" ht="102" x14ac:dyDescent="0.2">
      <c r="A920" s="2" t="s">
        <v>2709</v>
      </c>
      <c r="B920" s="2" t="s">
        <v>2710</v>
      </c>
      <c r="C920" s="2" t="s">
        <v>2710</v>
      </c>
      <c r="D920" s="1">
        <v>2</v>
      </c>
      <c r="E920" s="2" t="s">
        <v>153</v>
      </c>
      <c r="F920" s="2" t="s">
        <v>2705</v>
      </c>
      <c r="G920" s="2" t="s">
        <v>2674</v>
      </c>
      <c r="H920" s="2" t="s">
        <v>2675</v>
      </c>
      <c r="I920" s="25" t="s">
        <v>2676</v>
      </c>
      <c r="J920" s="25" t="s">
        <v>27</v>
      </c>
      <c r="K920" s="25" t="s">
        <v>48</v>
      </c>
      <c r="L920" s="25" t="s">
        <v>1593</v>
      </c>
      <c r="M920" s="25" t="s">
        <v>1594</v>
      </c>
      <c r="N920" s="25" t="s">
        <v>2711</v>
      </c>
      <c r="O920" s="25" t="s">
        <v>2707</v>
      </c>
      <c r="P920" s="25" t="s">
        <v>68</v>
      </c>
      <c r="Q920" s="25" t="s">
        <v>30</v>
      </c>
      <c r="R920" s="25" t="s">
        <v>32</v>
      </c>
      <c r="S920" s="25" t="s">
        <v>33</v>
      </c>
      <c r="T920" s="25" t="s">
        <v>2712</v>
      </c>
      <c r="U920" s="25" t="s">
        <v>4722</v>
      </c>
      <c r="V920" s="25" t="s">
        <v>4723</v>
      </c>
      <c r="W920" s="25" t="s">
        <v>4724</v>
      </c>
      <c r="X920" s="25" t="s">
        <v>4725</v>
      </c>
      <c r="Y920" s="25" t="s">
        <v>4726</v>
      </c>
      <c r="Z920" s="25" t="s">
        <v>4727</v>
      </c>
      <c r="AA920" s="25" t="s">
        <v>4728</v>
      </c>
      <c r="AB920" s="25" t="s">
        <v>4729</v>
      </c>
      <c r="AC920" s="25" t="s">
        <v>4730</v>
      </c>
      <c r="AD920" s="25" t="s">
        <v>4731</v>
      </c>
      <c r="AE920" s="25" t="s">
        <v>4732</v>
      </c>
      <c r="AF920" s="25" t="s">
        <v>4733</v>
      </c>
      <c r="AG920" s="25" t="s">
        <v>4734</v>
      </c>
      <c r="AH920" s="25" t="s">
        <v>4735</v>
      </c>
      <c r="AI920" s="25"/>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c r="BP920" s="25"/>
      <c r="BQ920" s="25"/>
      <c r="BR920" s="25"/>
      <c r="BS920" s="25"/>
      <c r="BT920" s="25"/>
      <c r="BU920" s="25"/>
      <c r="BV920" s="25"/>
      <c r="BW920" s="25"/>
      <c r="BX920" s="25"/>
      <c r="BY920" s="25"/>
      <c r="BZ920" s="25"/>
      <c r="CA920" s="25"/>
      <c r="CB920" s="25"/>
      <c r="CC920" s="25"/>
      <c r="CD920" s="25"/>
      <c r="CE920" s="25"/>
      <c r="CF920" s="25"/>
      <c r="CG920" s="25"/>
      <c r="CH920" s="25"/>
      <c r="CI920" s="25"/>
      <c r="CJ920" s="25"/>
      <c r="CK920" s="25"/>
      <c r="CL920" s="25"/>
      <c r="CM920" s="25"/>
      <c r="CN920" s="25"/>
      <c r="CO920" s="25"/>
      <c r="CP920" s="25"/>
      <c r="CQ920" s="25"/>
      <c r="CR920" s="25"/>
      <c r="CS920" s="25"/>
      <c r="CT920" s="25"/>
      <c r="CU920" s="25"/>
      <c r="CV920" s="25"/>
      <c r="CW920" s="25"/>
      <c r="CX920" s="25"/>
      <c r="CY920" s="25"/>
      <c r="CZ920" s="25"/>
      <c r="DA920" s="25"/>
      <c r="DB920" s="25"/>
      <c r="DC920" s="25"/>
      <c r="DD920" s="25"/>
      <c r="DE920" s="25"/>
      <c r="DF920" s="25"/>
      <c r="DG920" s="25"/>
      <c r="DH920" s="25"/>
    </row>
    <row r="921" spans="1:112" customFormat="1" ht="102" x14ac:dyDescent="0.2">
      <c r="A921" s="2" t="s">
        <v>2713</v>
      </c>
      <c r="B921" s="2" t="s">
        <v>2714</v>
      </c>
      <c r="C921" s="2" t="s">
        <v>2714</v>
      </c>
      <c r="D921" s="1">
        <v>2</v>
      </c>
      <c r="E921" s="2" t="s">
        <v>153</v>
      </c>
      <c r="F921" s="2" t="s">
        <v>2705</v>
      </c>
      <c r="G921" s="2" t="s">
        <v>2674</v>
      </c>
      <c r="H921" s="2" t="s">
        <v>2675</v>
      </c>
      <c r="I921" s="2" t="s">
        <v>2676</v>
      </c>
      <c r="J921" s="25" t="s">
        <v>27</v>
      </c>
      <c r="K921" s="25" t="s">
        <v>48</v>
      </c>
      <c r="L921" s="25" t="s">
        <v>1593</v>
      </c>
      <c r="M921" s="25" t="s">
        <v>1594</v>
      </c>
      <c r="N921" s="25" t="s">
        <v>2711</v>
      </c>
      <c r="O921" s="25" t="s">
        <v>2707</v>
      </c>
      <c r="P921" s="25" t="s">
        <v>68</v>
      </c>
      <c r="Q921" s="25" t="s">
        <v>403</v>
      </c>
      <c r="R921" s="25" t="s">
        <v>32</v>
      </c>
      <c r="S921" s="25" t="s">
        <v>33</v>
      </c>
      <c r="T921" s="25" t="s">
        <v>2712</v>
      </c>
      <c r="U921" s="25" t="s">
        <v>4722</v>
      </c>
      <c r="V921" s="25" t="s">
        <v>4723</v>
      </c>
      <c r="W921" s="25" t="s">
        <v>4724</v>
      </c>
      <c r="X921" s="25" t="s">
        <v>4725</v>
      </c>
      <c r="Y921" s="25" t="s">
        <v>4726</v>
      </c>
      <c r="Z921" s="25" t="s">
        <v>4727</v>
      </c>
      <c r="AA921" s="25" t="s">
        <v>4728</v>
      </c>
      <c r="AB921" s="25" t="s">
        <v>4729</v>
      </c>
      <c r="AC921" s="25" t="s">
        <v>4730</v>
      </c>
      <c r="AD921" s="25" t="s">
        <v>4731</v>
      </c>
      <c r="AE921" s="25" t="s">
        <v>4732</v>
      </c>
      <c r="AF921" s="25" t="s">
        <v>4733</v>
      </c>
      <c r="AG921" s="25" t="s">
        <v>4734</v>
      </c>
      <c r="AH921" s="25" t="s">
        <v>4735</v>
      </c>
      <c r="AI921" s="25"/>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c r="BP921" s="25"/>
      <c r="BQ921" s="25"/>
      <c r="BR921" s="25"/>
      <c r="BS921" s="25"/>
      <c r="BT921" s="25"/>
      <c r="BU921" s="25"/>
      <c r="BV921" s="25"/>
      <c r="BW921" s="25"/>
      <c r="BX921" s="25"/>
      <c r="BY921" s="25"/>
      <c r="BZ921" s="25"/>
      <c r="CA921" s="25"/>
      <c r="CB921" s="25"/>
      <c r="CC921" s="25"/>
      <c r="CD921" s="25"/>
      <c r="CE921" s="25"/>
      <c r="CF921" s="25"/>
      <c r="CG921" s="25"/>
      <c r="CH921" s="25"/>
      <c r="CI921" s="25"/>
      <c r="CJ921" s="25"/>
      <c r="CK921" s="25"/>
      <c r="CL921" s="25"/>
      <c r="CM921" s="25"/>
      <c r="CN921" s="25"/>
      <c r="CO921" s="25"/>
      <c r="CP921" s="25"/>
      <c r="CQ921" s="25"/>
      <c r="CR921" s="25"/>
      <c r="CS921" s="25"/>
      <c r="CT921" s="25"/>
      <c r="CU921" s="25"/>
      <c r="CV921" s="25"/>
      <c r="CW921" s="25"/>
      <c r="CX921" s="25"/>
      <c r="CY921" s="25"/>
      <c r="CZ921" s="25"/>
      <c r="DA921" s="25"/>
      <c r="DB921" s="25"/>
      <c r="DC921" s="25"/>
      <c r="DD921" s="25"/>
      <c r="DE921" s="25"/>
      <c r="DF921" s="25"/>
      <c r="DG921" s="25"/>
      <c r="DH921" s="25"/>
    </row>
    <row r="922" spans="1:112" customFormat="1" ht="102" x14ac:dyDescent="0.2">
      <c r="A922" s="2" t="s">
        <v>2715</v>
      </c>
      <c r="B922" s="2" t="s">
        <v>2716</v>
      </c>
      <c r="C922" s="2" t="s">
        <v>2716</v>
      </c>
      <c r="D922" s="1">
        <v>2</v>
      </c>
      <c r="E922" s="2" t="s">
        <v>153</v>
      </c>
      <c r="F922" s="2" t="s">
        <v>2705</v>
      </c>
      <c r="G922" s="2" t="s">
        <v>2674</v>
      </c>
      <c r="H922" s="2" t="s">
        <v>2675</v>
      </c>
      <c r="I922" s="2" t="s">
        <v>2676</v>
      </c>
      <c r="J922" s="25" t="s">
        <v>27</v>
      </c>
      <c r="K922" s="25" t="s">
        <v>48</v>
      </c>
      <c r="L922" s="25" t="s">
        <v>1593</v>
      </c>
      <c r="M922" s="25" t="s">
        <v>1594</v>
      </c>
      <c r="N922" s="25" t="s">
        <v>2717</v>
      </c>
      <c r="O922" s="25" t="s">
        <v>2707</v>
      </c>
      <c r="P922" s="25" t="s">
        <v>913</v>
      </c>
      <c r="Q922" s="25" t="s">
        <v>41</v>
      </c>
      <c r="R922" s="25" t="s">
        <v>32</v>
      </c>
      <c r="S922" s="25" t="s">
        <v>33</v>
      </c>
      <c r="T922" s="25" t="s">
        <v>2718</v>
      </c>
      <c r="U922" s="25" t="s">
        <v>2719</v>
      </c>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c r="BM922" s="25"/>
      <c r="BN922" s="25"/>
      <c r="BO922" s="25"/>
      <c r="BP922" s="25"/>
      <c r="BQ922" s="25"/>
      <c r="BR922" s="25"/>
      <c r="BS922" s="25"/>
      <c r="BT922" s="25"/>
      <c r="BU922" s="25"/>
      <c r="BV922" s="25"/>
      <c r="BW922" s="25"/>
      <c r="BX922" s="25"/>
      <c r="BY922" s="25"/>
      <c r="BZ922" s="25"/>
      <c r="CA922" s="25"/>
      <c r="CB922" s="25"/>
      <c r="CC922" s="25"/>
      <c r="CD922" s="25"/>
      <c r="CE922" s="25"/>
      <c r="CF922" s="25"/>
      <c r="CG922" s="25"/>
      <c r="CH922" s="25"/>
      <c r="CI922" s="25"/>
      <c r="CJ922" s="25"/>
      <c r="CK922" s="25"/>
      <c r="CL922" s="25"/>
      <c r="CM922" s="25"/>
      <c r="CN922" s="25"/>
      <c r="CO922" s="25"/>
      <c r="CP922" s="25"/>
      <c r="CQ922" s="25"/>
      <c r="CR922" s="25"/>
      <c r="CS922" s="25"/>
      <c r="CT922" s="25"/>
      <c r="CU922" s="25"/>
      <c r="CV922" s="25"/>
      <c r="CW922" s="25"/>
      <c r="CX922" s="25"/>
      <c r="CY922" s="25"/>
      <c r="CZ922" s="25"/>
      <c r="DA922" s="25"/>
      <c r="DB922" s="25"/>
      <c r="DC922" s="25"/>
      <c r="DD922" s="25"/>
      <c r="DE922" s="25"/>
      <c r="DF922" s="25"/>
      <c r="DG922" s="25"/>
      <c r="DH922" s="25"/>
    </row>
    <row r="923" spans="1:112" customFormat="1" ht="102" x14ac:dyDescent="0.2">
      <c r="A923" s="2" t="s">
        <v>2720</v>
      </c>
      <c r="B923" s="2" t="s">
        <v>2721</v>
      </c>
      <c r="C923" s="2" t="s">
        <v>2721</v>
      </c>
      <c r="D923" s="1">
        <v>2</v>
      </c>
      <c r="E923" s="2" t="s">
        <v>153</v>
      </c>
      <c r="F923" s="2" t="s">
        <v>2705</v>
      </c>
      <c r="G923" s="2" t="s">
        <v>2674</v>
      </c>
      <c r="H923" s="2" t="s">
        <v>2675</v>
      </c>
      <c r="I923" s="2" t="s">
        <v>2676</v>
      </c>
      <c r="J923" s="25" t="s">
        <v>27</v>
      </c>
      <c r="K923" s="25" t="s">
        <v>48</v>
      </c>
      <c r="L923" s="25" t="s">
        <v>1593</v>
      </c>
      <c r="M923" s="25" t="s">
        <v>1594</v>
      </c>
      <c r="N923" s="25" t="s">
        <v>2722</v>
      </c>
      <c r="O923" s="25" t="s">
        <v>2707</v>
      </c>
      <c r="P923" s="25" t="s">
        <v>183</v>
      </c>
      <c r="Q923" s="25" t="s">
        <v>41</v>
      </c>
      <c r="R923" s="25" t="s">
        <v>32</v>
      </c>
      <c r="S923" s="25" t="s">
        <v>33</v>
      </c>
      <c r="T923" s="25" t="s">
        <v>2723</v>
      </c>
      <c r="U923" s="25" t="s">
        <v>4736</v>
      </c>
      <c r="V923" s="25" t="s">
        <v>4737</v>
      </c>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c r="BP923" s="25"/>
      <c r="BQ923" s="25"/>
      <c r="BR923" s="25"/>
      <c r="BS923" s="25"/>
      <c r="BT923" s="25"/>
      <c r="BU923" s="25"/>
      <c r="BV923" s="25"/>
      <c r="BW923" s="25"/>
      <c r="BX923" s="25"/>
      <c r="BY923" s="25"/>
      <c r="BZ923" s="25"/>
      <c r="CA923" s="25"/>
      <c r="CB923" s="25"/>
      <c r="CC923" s="25"/>
      <c r="CD923" s="25"/>
      <c r="CE923" s="25"/>
      <c r="CF923" s="25"/>
      <c r="CG923" s="25"/>
      <c r="CH923" s="25"/>
      <c r="CI923" s="25"/>
      <c r="CJ923" s="25"/>
      <c r="CK923" s="25"/>
      <c r="CL923" s="25"/>
      <c r="CM923" s="25"/>
      <c r="CN923" s="25"/>
      <c r="CO923" s="25"/>
      <c r="CP923" s="25"/>
      <c r="CQ923" s="25"/>
      <c r="CR923" s="25"/>
      <c r="CS923" s="25"/>
      <c r="CT923" s="25"/>
      <c r="CU923" s="25"/>
      <c r="CV923" s="25"/>
      <c r="CW923" s="25"/>
      <c r="CX923" s="25"/>
      <c r="CY923" s="25"/>
      <c r="CZ923" s="25"/>
      <c r="DA923" s="25"/>
      <c r="DB923" s="25"/>
      <c r="DC923" s="25"/>
      <c r="DD923" s="25"/>
      <c r="DE923" s="25"/>
      <c r="DF923" s="25"/>
      <c r="DG923" s="25"/>
      <c r="DH923" s="25"/>
    </row>
    <row r="924" spans="1:112" customFormat="1" ht="102" x14ac:dyDescent="0.2">
      <c r="A924" s="2" t="s">
        <v>2724</v>
      </c>
      <c r="B924" s="2" t="s">
        <v>2725</v>
      </c>
      <c r="C924" s="2" t="s">
        <v>2725</v>
      </c>
      <c r="D924" s="1">
        <v>2</v>
      </c>
      <c r="E924" s="2" t="s">
        <v>153</v>
      </c>
      <c r="F924" s="2" t="s">
        <v>2705</v>
      </c>
      <c r="G924" s="2" t="s">
        <v>2674</v>
      </c>
      <c r="H924" s="2" t="s">
        <v>2675</v>
      </c>
      <c r="I924" s="2" t="s">
        <v>2676</v>
      </c>
      <c r="J924" s="25" t="s">
        <v>27</v>
      </c>
      <c r="K924" s="25" t="s">
        <v>48</v>
      </c>
      <c r="L924" s="25" t="s">
        <v>1593</v>
      </c>
      <c r="M924" s="25" t="s">
        <v>1594</v>
      </c>
      <c r="N924" s="25" t="s">
        <v>2726</v>
      </c>
      <c r="O924" s="25" t="s">
        <v>2707</v>
      </c>
      <c r="P924" s="25" t="s">
        <v>177</v>
      </c>
      <c r="Q924" s="25" t="s">
        <v>41</v>
      </c>
      <c r="R924" s="25" t="s">
        <v>32</v>
      </c>
      <c r="S924" s="25" t="s">
        <v>33</v>
      </c>
      <c r="T924" s="25" t="s">
        <v>2727</v>
      </c>
      <c r="U924" s="25" t="s">
        <v>4738</v>
      </c>
      <c r="V924" s="25" t="s">
        <v>4739</v>
      </c>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c r="BM924" s="25"/>
      <c r="BN924" s="25"/>
      <c r="BO924" s="25"/>
      <c r="BP924" s="25"/>
      <c r="BQ924" s="25"/>
      <c r="BR924" s="25"/>
      <c r="BS924" s="25"/>
      <c r="BT924" s="25"/>
      <c r="BU924" s="25"/>
      <c r="BV924" s="25"/>
      <c r="BW924" s="25"/>
      <c r="BX924" s="25"/>
      <c r="BY924" s="25"/>
      <c r="BZ924" s="25"/>
      <c r="CA924" s="25"/>
      <c r="CB924" s="25"/>
      <c r="CC924" s="25"/>
      <c r="CD924" s="25"/>
      <c r="CE924" s="25"/>
      <c r="CF924" s="25"/>
      <c r="CG924" s="25"/>
      <c r="CH924" s="25"/>
      <c r="CI924" s="25"/>
      <c r="CJ924" s="25"/>
      <c r="CK924" s="25"/>
      <c r="CL924" s="25"/>
      <c r="CM924" s="25"/>
      <c r="CN924" s="25"/>
      <c r="CO924" s="25"/>
      <c r="CP924" s="25"/>
      <c r="CQ924" s="25"/>
      <c r="CR924" s="25"/>
      <c r="CS924" s="25"/>
      <c r="CT924" s="25"/>
      <c r="CU924" s="25"/>
      <c r="CV924" s="25"/>
      <c r="CW924" s="25"/>
      <c r="CX924" s="25"/>
      <c r="CY924" s="25"/>
      <c r="CZ924" s="25"/>
      <c r="DA924" s="25"/>
      <c r="DB924" s="25"/>
      <c r="DC924" s="25"/>
      <c r="DD924" s="25"/>
      <c r="DE924" s="25"/>
      <c r="DF924" s="25"/>
      <c r="DG924" s="25"/>
      <c r="DH924" s="25"/>
    </row>
    <row r="925" spans="1:112" customFormat="1" ht="102" x14ac:dyDescent="0.2">
      <c r="A925" s="2" t="s">
        <v>2728</v>
      </c>
      <c r="B925" s="2" t="s">
        <v>2729</v>
      </c>
      <c r="C925" s="2" t="s">
        <v>2729</v>
      </c>
      <c r="D925" s="1">
        <v>2</v>
      </c>
      <c r="E925" s="2" t="s">
        <v>153</v>
      </c>
      <c r="F925" s="2" t="s">
        <v>2705</v>
      </c>
      <c r="G925" s="2" t="s">
        <v>2674</v>
      </c>
      <c r="H925" s="2" t="s">
        <v>2675</v>
      </c>
      <c r="I925" s="2" t="s">
        <v>2676</v>
      </c>
      <c r="J925" s="25" t="s">
        <v>27</v>
      </c>
      <c r="K925" s="25" t="s">
        <v>48</v>
      </c>
      <c r="L925" s="25" t="s">
        <v>1593</v>
      </c>
      <c r="M925" s="25" t="s">
        <v>1594</v>
      </c>
      <c r="N925" s="25" t="s">
        <v>2699</v>
      </c>
      <c r="O925" s="25" t="s">
        <v>183</v>
      </c>
      <c r="P925" s="25" t="s">
        <v>825</v>
      </c>
      <c r="Q925" s="25" t="s">
        <v>41</v>
      </c>
      <c r="R925" s="25" t="s">
        <v>32</v>
      </c>
      <c r="S925" s="25" t="s">
        <v>33</v>
      </c>
      <c r="T925" s="25" t="s">
        <v>2700</v>
      </c>
      <c r="U925" s="25" t="s">
        <v>4718</v>
      </c>
      <c r="V925" s="25" t="s">
        <v>4719</v>
      </c>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c r="BM925" s="25"/>
      <c r="BN925" s="25"/>
      <c r="BO925" s="25"/>
      <c r="BP925" s="25"/>
      <c r="BQ925" s="25"/>
      <c r="BR925" s="25"/>
      <c r="BS925" s="25"/>
      <c r="BT925" s="25"/>
      <c r="BU925" s="25"/>
      <c r="BV925" s="25"/>
      <c r="BW925" s="25"/>
      <c r="BX925" s="25"/>
      <c r="BY925" s="25"/>
      <c r="BZ925" s="25"/>
      <c r="CA925" s="25"/>
      <c r="CB925" s="25"/>
      <c r="CC925" s="25"/>
      <c r="CD925" s="25"/>
      <c r="CE925" s="25"/>
      <c r="CF925" s="25"/>
      <c r="CG925" s="25"/>
      <c r="CH925" s="25"/>
      <c r="CI925" s="25"/>
      <c r="CJ925" s="25"/>
      <c r="CK925" s="25"/>
      <c r="CL925" s="25"/>
      <c r="CM925" s="25"/>
      <c r="CN925" s="25"/>
      <c r="CO925" s="25"/>
      <c r="CP925" s="25"/>
      <c r="CQ925" s="25"/>
      <c r="CR925" s="25"/>
      <c r="CS925" s="25"/>
      <c r="CT925" s="25"/>
      <c r="CU925" s="25"/>
      <c r="CV925" s="25"/>
      <c r="CW925" s="25"/>
      <c r="CX925" s="25"/>
      <c r="CY925" s="25"/>
      <c r="CZ925" s="25"/>
      <c r="DA925" s="25"/>
      <c r="DB925" s="25"/>
      <c r="DC925" s="25"/>
      <c r="DD925" s="25"/>
      <c r="DE925" s="25"/>
      <c r="DF925" s="25"/>
      <c r="DG925" s="25"/>
      <c r="DH925" s="25"/>
    </row>
    <row r="926" spans="1:112" customFormat="1" ht="102" x14ac:dyDescent="0.2">
      <c r="A926" s="2" t="s">
        <v>2730</v>
      </c>
      <c r="B926" s="2" t="s">
        <v>2731</v>
      </c>
      <c r="C926" s="2" t="s">
        <v>2731</v>
      </c>
      <c r="D926" s="1">
        <v>2</v>
      </c>
      <c r="E926" s="2" t="s">
        <v>153</v>
      </c>
      <c r="F926" s="2" t="s">
        <v>2705</v>
      </c>
      <c r="G926" s="2" t="s">
        <v>2674</v>
      </c>
      <c r="H926" s="2" t="s">
        <v>2675</v>
      </c>
      <c r="I926" s="2" t="s">
        <v>2676</v>
      </c>
      <c r="J926" s="25" t="s">
        <v>27</v>
      </c>
      <c r="K926" s="25" t="s">
        <v>48</v>
      </c>
      <c r="L926" s="25" t="s">
        <v>1593</v>
      </c>
      <c r="M926" s="25" t="s">
        <v>1594</v>
      </c>
      <c r="N926" s="25" t="s">
        <v>2699</v>
      </c>
      <c r="O926" s="25" t="s">
        <v>183</v>
      </c>
      <c r="P926" s="25" t="s">
        <v>825</v>
      </c>
      <c r="Q926" s="25" t="s">
        <v>199</v>
      </c>
      <c r="R926" s="25" t="s">
        <v>32</v>
      </c>
      <c r="S926" s="25" t="s">
        <v>33</v>
      </c>
      <c r="T926" s="25" t="s">
        <v>2700</v>
      </c>
      <c r="U926" s="25" t="s">
        <v>4718</v>
      </c>
      <c r="V926" s="25" t="s">
        <v>4719</v>
      </c>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c r="BM926" s="25"/>
      <c r="BN926" s="25"/>
      <c r="BO926" s="25"/>
      <c r="BP926" s="25"/>
      <c r="BQ926" s="25"/>
      <c r="BR926" s="25"/>
      <c r="BS926" s="25"/>
      <c r="BT926" s="25"/>
      <c r="BU926" s="25"/>
      <c r="BV926" s="25"/>
      <c r="BW926" s="25"/>
      <c r="BX926" s="25"/>
      <c r="BY926" s="25"/>
      <c r="BZ926" s="25"/>
      <c r="CA926" s="25"/>
      <c r="CB926" s="25"/>
      <c r="CC926" s="25"/>
      <c r="CD926" s="25"/>
      <c r="CE926" s="25"/>
      <c r="CF926" s="25"/>
      <c r="CG926" s="25"/>
      <c r="CH926" s="25"/>
      <c r="CI926" s="25"/>
      <c r="CJ926" s="25"/>
      <c r="CK926" s="25"/>
      <c r="CL926" s="25"/>
      <c r="CM926" s="25"/>
      <c r="CN926" s="25"/>
      <c r="CO926" s="25"/>
      <c r="CP926" s="25"/>
      <c r="CQ926" s="25"/>
      <c r="CR926" s="25"/>
      <c r="CS926" s="25"/>
      <c r="CT926" s="25"/>
      <c r="CU926" s="25"/>
      <c r="CV926" s="25"/>
      <c r="CW926" s="25"/>
      <c r="CX926" s="25"/>
      <c r="CY926" s="25"/>
      <c r="CZ926" s="25"/>
      <c r="DA926" s="25"/>
      <c r="DB926" s="25"/>
      <c r="DC926" s="25"/>
      <c r="DD926" s="25"/>
      <c r="DE926" s="25"/>
      <c r="DF926" s="25"/>
      <c r="DG926" s="25"/>
      <c r="DH926" s="25"/>
    </row>
    <row r="927" spans="1:112" customFormat="1" ht="68" x14ac:dyDescent="0.2">
      <c r="A927" s="2" t="s">
        <v>2732</v>
      </c>
      <c r="B927" s="2" t="s">
        <v>2733</v>
      </c>
      <c r="C927" s="2" t="s">
        <v>2733</v>
      </c>
      <c r="D927" s="1">
        <v>2</v>
      </c>
      <c r="E927" s="2" t="s">
        <v>971</v>
      </c>
      <c r="F927" s="2" t="s">
        <v>2734</v>
      </c>
      <c r="G927" s="2" t="s">
        <v>2735</v>
      </c>
      <c r="H927" s="2"/>
      <c r="I927" s="2" t="s">
        <v>204</v>
      </c>
      <c r="J927" s="25" t="s">
        <v>144</v>
      </c>
      <c r="K927" s="25" t="s">
        <v>144</v>
      </c>
      <c r="L927" s="25" t="s">
        <v>205</v>
      </c>
      <c r="M927" s="25" t="s">
        <v>206</v>
      </c>
      <c r="N927" s="25" t="s">
        <v>2736</v>
      </c>
      <c r="O927" s="25" t="s">
        <v>146</v>
      </c>
      <c r="P927" s="25" t="s">
        <v>2737</v>
      </c>
      <c r="Q927" s="25" t="s">
        <v>41</v>
      </c>
      <c r="R927" s="25" t="s">
        <v>32</v>
      </c>
      <c r="S927" s="25" t="s">
        <v>33</v>
      </c>
      <c r="T927" s="25" t="s">
        <v>2738</v>
      </c>
      <c r="U927" s="25" t="s">
        <v>2739</v>
      </c>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c r="BP927" s="25"/>
      <c r="BQ927" s="25"/>
      <c r="BR927" s="25"/>
      <c r="BS927" s="25"/>
      <c r="BT927" s="25"/>
      <c r="BU927" s="25"/>
      <c r="BV927" s="25"/>
      <c r="BW927" s="25"/>
      <c r="BX927" s="25"/>
      <c r="BY927" s="25"/>
      <c r="BZ927" s="25"/>
      <c r="CA927" s="25"/>
      <c r="CB927" s="25"/>
      <c r="CC927" s="25"/>
      <c r="CD927" s="25"/>
      <c r="CE927" s="25"/>
      <c r="CF927" s="25"/>
      <c r="CG927" s="25"/>
      <c r="CH927" s="25"/>
      <c r="CI927" s="25"/>
      <c r="CJ927" s="25"/>
      <c r="CK927" s="25"/>
      <c r="CL927" s="25"/>
      <c r="CM927" s="25"/>
      <c r="CN927" s="25"/>
      <c r="CO927" s="25"/>
      <c r="CP927" s="25"/>
      <c r="CQ927" s="25"/>
      <c r="CR927" s="25"/>
      <c r="CS927" s="25"/>
      <c r="CT927" s="25"/>
      <c r="CU927" s="25"/>
      <c r="CV927" s="25"/>
      <c r="CW927" s="25"/>
      <c r="CX927" s="25"/>
      <c r="CY927" s="25"/>
      <c r="CZ927" s="25"/>
      <c r="DA927" s="25"/>
      <c r="DB927" s="25"/>
      <c r="DC927" s="25"/>
      <c r="DD927" s="25"/>
      <c r="DE927" s="25"/>
      <c r="DF927" s="25"/>
      <c r="DG927" s="25"/>
      <c r="DH927" s="25"/>
    </row>
    <row r="928" spans="1:112" customFormat="1" ht="85" x14ac:dyDescent="0.2">
      <c r="A928" s="2" t="s">
        <v>2740</v>
      </c>
      <c r="B928" s="2" t="s">
        <v>2741</v>
      </c>
      <c r="C928" s="2" t="s">
        <v>2741</v>
      </c>
      <c r="D928" s="1">
        <v>2</v>
      </c>
      <c r="E928" s="2" t="s">
        <v>61</v>
      </c>
      <c r="F928" s="2"/>
      <c r="G928" s="2" t="s">
        <v>2742</v>
      </c>
      <c r="H928" s="2" t="s">
        <v>2743</v>
      </c>
      <c r="I928" s="2" t="s">
        <v>2744</v>
      </c>
      <c r="J928" s="25" t="s">
        <v>469</v>
      </c>
      <c r="K928" s="25" t="s">
        <v>470</v>
      </c>
      <c r="L928" s="25" t="s">
        <v>2745</v>
      </c>
      <c r="M928" s="25" t="s">
        <v>544</v>
      </c>
      <c r="N928" s="25" t="s">
        <v>2746</v>
      </c>
      <c r="O928" s="25" t="s">
        <v>2747</v>
      </c>
      <c r="P928" s="25" t="s">
        <v>30</v>
      </c>
      <c r="Q928" s="25" t="s">
        <v>41</v>
      </c>
      <c r="R928" s="25" t="s">
        <v>32</v>
      </c>
      <c r="S928" s="25" t="s">
        <v>33</v>
      </c>
      <c r="T928" s="25" t="s">
        <v>2748</v>
      </c>
      <c r="U928" s="25" t="s">
        <v>2749</v>
      </c>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c r="BM928" s="25"/>
      <c r="BN928" s="25"/>
      <c r="BO928" s="25"/>
      <c r="BP928" s="25"/>
      <c r="BQ928" s="25"/>
      <c r="BR928" s="25"/>
      <c r="BS928" s="25"/>
      <c r="BT928" s="25"/>
      <c r="BU928" s="25"/>
      <c r="BV928" s="25"/>
      <c r="BW928" s="25"/>
      <c r="BX928" s="25"/>
      <c r="BY928" s="25"/>
      <c r="BZ928" s="25"/>
      <c r="CA928" s="25"/>
      <c r="CB928" s="25"/>
      <c r="CC928" s="25"/>
      <c r="CD928" s="25"/>
      <c r="CE928" s="25"/>
      <c r="CF928" s="25"/>
      <c r="CG928" s="25"/>
      <c r="CH928" s="25"/>
      <c r="CI928" s="25"/>
      <c r="CJ928" s="25"/>
      <c r="CK928" s="25"/>
      <c r="CL928" s="25"/>
      <c r="CM928" s="25"/>
      <c r="CN928" s="25"/>
      <c r="CO928" s="25"/>
      <c r="CP928" s="25"/>
      <c r="CQ928" s="25"/>
      <c r="CR928" s="25"/>
      <c r="CS928" s="25"/>
      <c r="CT928" s="25"/>
      <c r="CU928" s="25"/>
      <c r="CV928" s="25"/>
      <c r="CW928" s="25"/>
      <c r="CX928" s="25"/>
      <c r="CY928" s="25"/>
      <c r="CZ928" s="25"/>
      <c r="DA928" s="25"/>
      <c r="DB928" s="25"/>
      <c r="DC928" s="25"/>
      <c r="DD928" s="25"/>
      <c r="DE928" s="25"/>
      <c r="DF928" s="25"/>
      <c r="DG928" s="25"/>
      <c r="DH928" s="25"/>
    </row>
    <row r="929" spans="1:112" customFormat="1" ht="119" x14ac:dyDescent="0.2">
      <c r="A929" s="2" t="s">
        <v>2750</v>
      </c>
      <c r="B929" s="2" t="s">
        <v>2751</v>
      </c>
      <c r="C929" s="2" t="s">
        <v>2751</v>
      </c>
      <c r="D929" s="1">
        <v>2</v>
      </c>
      <c r="E929" s="2" t="s">
        <v>23</v>
      </c>
      <c r="F929" s="2"/>
      <c r="G929" s="2" t="s">
        <v>2735</v>
      </c>
      <c r="H929" s="2" t="s">
        <v>1863</v>
      </c>
      <c r="I929" s="2" t="s">
        <v>1747</v>
      </c>
      <c r="J929" s="25" t="s">
        <v>469</v>
      </c>
      <c r="K929" s="25" t="s">
        <v>470</v>
      </c>
      <c r="L929" s="25" t="s">
        <v>1748</v>
      </c>
      <c r="M929" s="25" t="s">
        <v>1749</v>
      </c>
      <c r="N929" s="25" t="s">
        <v>2752</v>
      </c>
      <c r="O929" s="25" t="s">
        <v>650</v>
      </c>
      <c r="P929" s="25" t="s">
        <v>2753</v>
      </c>
      <c r="Q929" s="25" t="s">
        <v>41</v>
      </c>
      <c r="R929" s="25" t="s">
        <v>32</v>
      </c>
      <c r="S929" s="25" t="s">
        <v>33</v>
      </c>
      <c r="T929" s="25" t="s">
        <v>2754</v>
      </c>
      <c r="U929" s="25" t="s">
        <v>2755</v>
      </c>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c r="BM929" s="25"/>
      <c r="BN929" s="25"/>
      <c r="BO929" s="25"/>
      <c r="BP929" s="25"/>
      <c r="BQ929" s="25"/>
      <c r="BR929" s="25"/>
      <c r="BS929" s="25"/>
      <c r="BT929" s="25"/>
      <c r="BU929" s="25"/>
      <c r="BV929" s="25"/>
      <c r="BW929" s="25"/>
      <c r="BX929" s="25"/>
      <c r="BY929" s="25"/>
      <c r="BZ929" s="25"/>
      <c r="CA929" s="25"/>
      <c r="CB929" s="25"/>
      <c r="CC929" s="25"/>
      <c r="CD929" s="25"/>
      <c r="CE929" s="25"/>
      <c r="CF929" s="25"/>
      <c r="CG929" s="25"/>
      <c r="CH929" s="25"/>
      <c r="CI929" s="25"/>
      <c r="CJ929" s="25"/>
      <c r="CK929" s="25"/>
      <c r="CL929" s="25"/>
      <c r="CM929" s="25"/>
      <c r="CN929" s="25"/>
      <c r="CO929" s="25"/>
      <c r="CP929" s="25"/>
      <c r="CQ929" s="25"/>
      <c r="CR929" s="25"/>
      <c r="CS929" s="25"/>
      <c r="CT929" s="25"/>
      <c r="CU929" s="25"/>
      <c r="CV929" s="25"/>
      <c r="CW929" s="25"/>
      <c r="CX929" s="25"/>
      <c r="CY929" s="25"/>
      <c r="CZ929" s="25"/>
      <c r="DA929" s="25"/>
      <c r="DB929" s="25"/>
      <c r="DC929" s="25"/>
      <c r="DD929" s="25"/>
      <c r="DE929" s="25"/>
      <c r="DF929" s="25"/>
      <c r="DG929" s="25"/>
      <c r="DH929" s="25"/>
    </row>
    <row r="930" spans="1:112" customFormat="1" ht="119" x14ac:dyDescent="0.2">
      <c r="A930" s="2" t="s">
        <v>2756</v>
      </c>
      <c r="B930" s="2" t="s">
        <v>2757</v>
      </c>
      <c r="C930" s="2" t="s">
        <v>2757</v>
      </c>
      <c r="D930" s="1">
        <v>2</v>
      </c>
      <c r="E930" s="2" t="s">
        <v>23</v>
      </c>
      <c r="F930" s="2"/>
      <c r="G930" s="2" t="s">
        <v>2735</v>
      </c>
      <c r="H930" s="2" t="s">
        <v>1863</v>
      </c>
      <c r="I930" s="2" t="s">
        <v>1747</v>
      </c>
      <c r="J930" s="25" t="s">
        <v>469</v>
      </c>
      <c r="K930" s="25" t="s">
        <v>470</v>
      </c>
      <c r="L930" s="25" t="s">
        <v>1748</v>
      </c>
      <c r="M930" s="25" t="s">
        <v>1749</v>
      </c>
      <c r="N930" s="25" t="s">
        <v>2752</v>
      </c>
      <c r="O930" s="25" t="s">
        <v>650</v>
      </c>
      <c r="P930" s="25" t="s">
        <v>2753</v>
      </c>
      <c r="Q930" s="25" t="s">
        <v>199</v>
      </c>
      <c r="R930" s="25" t="s">
        <v>32</v>
      </c>
      <c r="S930" s="25" t="s">
        <v>33</v>
      </c>
      <c r="T930" s="25" t="s">
        <v>2754</v>
      </c>
      <c r="U930" s="25" t="s">
        <v>2755</v>
      </c>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c r="BP930" s="25"/>
      <c r="BQ930" s="25"/>
      <c r="BR930" s="25"/>
      <c r="BS930" s="25"/>
      <c r="BT930" s="25"/>
      <c r="BU930" s="25"/>
      <c r="BV930" s="25"/>
      <c r="BW930" s="25"/>
      <c r="BX930" s="25"/>
      <c r="BY930" s="25"/>
      <c r="BZ930" s="25"/>
      <c r="CA930" s="25"/>
      <c r="CB930" s="25"/>
      <c r="CC930" s="25"/>
      <c r="CD930" s="25"/>
      <c r="CE930" s="25"/>
      <c r="CF930" s="25"/>
      <c r="CG930" s="25"/>
      <c r="CH930" s="25"/>
      <c r="CI930" s="25"/>
      <c r="CJ930" s="25"/>
      <c r="CK930" s="25"/>
      <c r="CL930" s="25"/>
      <c r="CM930" s="25"/>
      <c r="CN930" s="25"/>
      <c r="CO930" s="25"/>
      <c r="CP930" s="25"/>
      <c r="CQ930" s="25"/>
      <c r="CR930" s="25"/>
      <c r="CS930" s="25"/>
      <c r="CT930" s="25"/>
      <c r="CU930" s="25"/>
      <c r="CV930" s="25"/>
      <c r="CW930" s="25"/>
      <c r="CX930" s="25"/>
      <c r="CY930" s="25"/>
      <c r="CZ930" s="25"/>
      <c r="DA930" s="25"/>
      <c r="DB930" s="25"/>
      <c r="DC930" s="25"/>
      <c r="DD930" s="25"/>
      <c r="DE930" s="25"/>
      <c r="DF930" s="25"/>
      <c r="DG930" s="25"/>
      <c r="DH930" s="25"/>
    </row>
    <row r="931" spans="1:112" customFormat="1" ht="85" x14ac:dyDescent="0.2">
      <c r="A931" s="2" t="s">
        <v>2758</v>
      </c>
      <c r="B931" s="2" t="s">
        <v>2759</v>
      </c>
      <c r="C931" s="2" t="s">
        <v>2759</v>
      </c>
      <c r="D931" s="1">
        <v>2</v>
      </c>
      <c r="E931" s="2" t="s">
        <v>23</v>
      </c>
      <c r="F931" s="2"/>
      <c r="G931" s="2" t="s">
        <v>2735</v>
      </c>
      <c r="H931" s="2" t="s">
        <v>538</v>
      </c>
      <c r="I931" s="2" t="s">
        <v>1818</v>
      </c>
      <c r="J931" s="25" t="s">
        <v>1007</v>
      </c>
      <c r="K931" s="25" t="s">
        <v>2760</v>
      </c>
      <c r="L931" s="25" t="s">
        <v>2760</v>
      </c>
      <c r="M931" s="25" t="s">
        <v>810</v>
      </c>
      <c r="N931" s="25" t="s">
        <v>2761</v>
      </c>
      <c r="O931" s="25" t="s">
        <v>810</v>
      </c>
      <c r="P931" s="25" t="s">
        <v>41</v>
      </c>
      <c r="Q931" s="25" t="s">
        <v>41</v>
      </c>
      <c r="R931" s="25" t="s">
        <v>32</v>
      </c>
      <c r="S931" s="25" t="s">
        <v>33</v>
      </c>
      <c r="T931" s="25" t="s">
        <v>1480</v>
      </c>
      <c r="U931" s="25" t="s">
        <v>4740</v>
      </c>
      <c r="V931" s="25" t="s">
        <v>4741</v>
      </c>
      <c r="W931" s="25" t="s">
        <v>4742</v>
      </c>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c r="BP931" s="25"/>
      <c r="BQ931" s="25"/>
      <c r="BR931" s="25"/>
      <c r="BS931" s="25"/>
      <c r="BT931" s="25"/>
      <c r="BU931" s="25"/>
      <c r="BV931" s="25"/>
      <c r="BW931" s="25"/>
      <c r="BX931" s="25"/>
      <c r="BY931" s="25"/>
      <c r="BZ931" s="25"/>
      <c r="CA931" s="25"/>
      <c r="CB931" s="25"/>
      <c r="CC931" s="25"/>
      <c r="CD931" s="25"/>
      <c r="CE931" s="25"/>
      <c r="CF931" s="25"/>
      <c r="CG931" s="25"/>
      <c r="CH931" s="25"/>
      <c r="CI931" s="25"/>
      <c r="CJ931" s="25"/>
      <c r="CK931" s="25"/>
      <c r="CL931" s="25"/>
      <c r="CM931" s="25"/>
      <c r="CN931" s="25"/>
      <c r="CO931" s="25"/>
      <c r="CP931" s="25"/>
      <c r="CQ931" s="25"/>
      <c r="CR931" s="25"/>
      <c r="CS931" s="25"/>
      <c r="CT931" s="25"/>
      <c r="CU931" s="25"/>
      <c r="CV931" s="25"/>
      <c r="CW931" s="25"/>
      <c r="CX931" s="25"/>
      <c r="CY931" s="25"/>
      <c r="CZ931" s="25"/>
      <c r="DA931" s="25"/>
      <c r="DB931" s="25"/>
      <c r="DC931" s="25"/>
      <c r="DD931" s="25"/>
      <c r="DE931" s="25"/>
      <c r="DF931" s="25"/>
      <c r="DG931" s="25"/>
      <c r="DH931" s="25"/>
    </row>
    <row r="932" spans="1:112" customFormat="1" ht="85" x14ac:dyDescent="0.2">
      <c r="A932" s="2" t="s">
        <v>2762</v>
      </c>
      <c r="B932" s="2" t="s">
        <v>2763</v>
      </c>
      <c r="C932" s="2" t="s">
        <v>2763</v>
      </c>
      <c r="D932" s="1">
        <v>2</v>
      </c>
      <c r="E932" s="2" t="s">
        <v>23</v>
      </c>
      <c r="F932" s="2"/>
      <c r="G932" s="2" t="s">
        <v>2735</v>
      </c>
      <c r="H932" s="2" t="s">
        <v>538</v>
      </c>
      <c r="I932" s="2" t="s">
        <v>1818</v>
      </c>
      <c r="J932" s="25" t="s">
        <v>1007</v>
      </c>
      <c r="K932" s="25" t="s">
        <v>2760</v>
      </c>
      <c r="L932" s="25" t="s">
        <v>2760</v>
      </c>
      <c r="M932" s="25" t="s">
        <v>810</v>
      </c>
      <c r="N932" s="25" t="s">
        <v>2761</v>
      </c>
      <c r="O932" s="25" t="s">
        <v>810</v>
      </c>
      <c r="P932" s="25" t="s">
        <v>41</v>
      </c>
      <c r="Q932" s="25" t="s">
        <v>199</v>
      </c>
      <c r="R932" s="25" t="s">
        <v>32</v>
      </c>
      <c r="S932" s="25" t="s">
        <v>33</v>
      </c>
      <c r="T932" s="25" t="s">
        <v>1480</v>
      </c>
      <c r="U932" s="25" t="s">
        <v>4740</v>
      </c>
      <c r="V932" s="25" t="s">
        <v>4741</v>
      </c>
      <c r="W932" s="25" t="s">
        <v>4742</v>
      </c>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c r="BP932" s="25"/>
      <c r="BQ932" s="25"/>
      <c r="BR932" s="25"/>
      <c r="BS932" s="25"/>
      <c r="BT932" s="25"/>
      <c r="BU932" s="25"/>
      <c r="BV932" s="25"/>
      <c r="BW932" s="25"/>
      <c r="BX932" s="25"/>
      <c r="BY932" s="25"/>
      <c r="BZ932" s="25"/>
      <c r="CA932" s="25"/>
      <c r="CB932" s="25"/>
      <c r="CC932" s="25"/>
      <c r="CD932" s="25"/>
      <c r="CE932" s="25"/>
      <c r="CF932" s="25"/>
      <c r="CG932" s="25"/>
      <c r="CH932" s="25"/>
      <c r="CI932" s="25"/>
      <c r="CJ932" s="25"/>
      <c r="CK932" s="25"/>
      <c r="CL932" s="25"/>
      <c r="CM932" s="25"/>
      <c r="CN932" s="25"/>
      <c r="CO932" s="25"/>
      <c r="CP932" s="25"/>
      <c r="CQ932" s="25"/>
      <c r="CR932" s="25"/>
      <c r="CS932" s="25"/>
      <c r="CT932" s="25"/>
      <c r="CU932" s="25"/>
      <c r="CV932" s="25"/>
      <c r="CW932" s="25"/>
      <c r="CX932" s="25"/>
      <c r="CY932" s="25"/>
      <c r="CZ932" s="25"/>
      <c r="DA932" s="25"/>
      <c r="DB932" s="25"/>
      <c r="DC932" s="25"/>
      <c r="DD932" s="25"/>
      <c r="DE932" s="25"/>
      <c r="DF932" s="25"/>
      <c r="DG932" s="25"/>
      <c r="DH932" s="25"/>
    </row>
    <row r="933" spans="1:112" customFormat="1" ht="85" x14ac:dyDescent="0.2">
      <c r="A933" s="2" t="s">
        <v>2764</v>
      </c>
      <c r="B933" s="2" t="s">
        <v>2765</v>
      </c>
      <c r="C933" s="2" t="s">
        <v>2765</v>
      </c>
      <c r="D933" s="1">
        <v>2</v>
      </c>
      <c r="E933" s="2" t="s">
        <v>23</v>
      </c>
      <c r="F933" s="2"/>
      <c r="G933" s="2" t="s">
        <v>2766</v>
      </c>
      <c r="H933" s="2" t="s">
        <v>538</v>
      </c>
      <c r="I933" s="2" t="s">
        <v>1476</v>
      </c>
      <c r="J933" s="25" t="s">
        <v>1007</v>
      </c>
      <c r="K933" s="25" t="s">
        <v>1008</v>
      </c>
      <c r="L933" s="25" t="s">
        <v>2767</v>
      </c>
      <c r="M933" s="25" t="s">
        <v>2326</v>
      </c>
      <c r="N933" s="25" t="s">
        <v>2768</v>
      </c>
      <c r="O933" s="25" t="s">
        <v>2326</v>
      </c>
      <c r="P933" s="25" t="s">
        <v>41</v>
      </c>
      <c r="Q933" s="25" t="s">
        <v>41</v>
      </c>
      <c r="R933" s="25" t="s">
        <v>32</v>
      </c>
      <c r="S933" s="25" t="s">
        <v>33</v>
      </c>
      <c r="T933" s="25" t="s">
        <v>1480</v>
      </c>
      <c r="U933" s="25" t="s">
        <v>4743</v>
      </c>
      <c r="V933" s="25" t="s">
        <v>4744</v>
      </c>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c r="BP933" s="25"/>
      <c r="BQ933" s="25"/>
      <c r="BR933" s="25"/>
      <c r="BS933" s="25"/>
      <c r="BT933" s="25"/>
      <c r="BU933" s="25"/>
      <c r="BV933" s="25"/>
      <c r="BW933" s="25"/>
      <c r="BX933" s="25"/>
      <c r="BY933" s="25"/>
      <c r="BZ933" s="25"/>
      <c r="CA933" s="25"/>
      <c r="CB933" s="25"/>
      <c r="CC933" s="25"/>
      <c r="CD933" s="25"/>
      <c r="CE933" s="25"/>
      <c r="CF933" s="25"/>
      <c r="CG933" s="25"/>
      <c r="CH933" s="25"/>
      <c r="CI933" s="25"/>
      <c r="CJ933" s="25"/>
      <c r="CK933" s="25"/>
      <c r="CL933" s="25"/>
      <c r="CM933" s="25"/>
      <c r="CN933" s="25"/>
      <c r="CO933" s="25"/>
      <c r="CP933" s="25"/>
      <c r="CQ933" s="25"/>
      <c r="CR933" s="25"/>
      <c r="CS933" s="25"/>
      <c r="CT933" s="25"/>
      <c r="CU933" s="25"/>
      <c r="CV933" s="25"/>
      <c r="CW933" s="25"/>
      <c r="CX933" s="25"/>
      <c r="CY933" s="25"/>
      <c r="CZ933" s="25"/>
      <c r="DA933" s="25"/>
      <c r="DB933" s="25"/>
      <c r="DC933" s="25"/>
      <c r="DD933" s="25"/>
      <c r="DE933" s="25"/>
      <c r="DF933" s="25"/>
      <c r="DG933" s="25"/>
      <c r="DH933" s="25"/>
    </row>
    <row r="934" spans="1:112" customFormat="1" ht="85" x14ac:dyDescent="0.2">
      <c r="A934" s="21" t="s">
        <v>2769</v>
      </c>
      <c r="B934" s="2" t="s">
        <v>2770</v>
      </c>
      <c r="C934" s="2" t="s">
        <v>2770</v>
      </c>
      <c r="D934" s="1">
        <v>2</v>
      </c>
      <c r="E934" s="2" t="s">
        <v>23</v>
      </c>
      <c r="F934" s="2"/>
      <c r="G934" s="2" t="s">
        <v>2766</v>
      </c>
      <c r="H934" s="2" t="s">
        <v>538</v>
      </c>
      <c r="I934" s="2" t="s">
        <v>1476</v>
      </c>
      <c r="J934" s="25" t="s">
        <v>1007</v>
      </c>
      <c r="K934" s="25" t="s">
        <v>1008</v>
      </c>
      <c r="L934" s="25" t="s">
        <v>2767</v>
      </c>
      <c r="M934" s="25" t="s">
        <v>2326</v>
      </c>
      <c r="N934" s="25" t="s">
        <v>2768</v>
      </c>
      <c r="O934" s="25" t="s">
        <v>2326</v>
      </c>
      <c r="P934" s="25" t="s">
        <v>41</v>
      </c>
      <c r="Q934" s="25" t="s">
        <v>199</v>
      </c>
      <c r="R934" s="25" t="s">
        <v>32</v>
      </c>
      <c r="S934" s="25" t="s">
        <v>33</v>
      </c>
      <c r="T934" s="25" t="s">
        <v>1480</v>
      </c>
      <c r="U934" s="25" t="s">
        <v>4743</v>
      </c>
      <c r="V934" s="25" t="s">
        <v>4744</v>
      </c>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c r="BP934" s="25"/>
      <c r="BQ934" s="25"/>
      <c r="BR934" s="25"/>
      <c r="BS934" s="25"/>
      <c r="BT934" s="25"/>
      <c r="BU934" s="25"/>
      <c r="BV934" s="25"/>
      <c r="BW934" s="25"/>
      <c r="BX934" s="25"/>
      <c r="BY934" s="25"/>
      <c r="BZ934" s="25"/>
      <c r="CA934" s="25"/>
      <c r="CB934" s="25"/>
      <c r="CC934" s="25"/>
      <c r="CD934" s="25"/>
      <c r="CE934" s="25"/>
      <c r="CF934" s="25"/>
      <c r="CG934" s="25"/>
      <c r="CH934" s="25"/>
      <c r="CI934" s="25"/>
      <c r="CJ934" s="25"/>
      <c r="CK934" s="25"/>
      <c r="CL934" s="25"/>
      <c r="CM934" s="25"/>
      <c r="CN934" s="25"/>
      <c r="CO934" s="25"/>
      <c r="CP934" s="25"/>
      <c r="CQ934" s="25"/>
      <c r="CR934" s="25"/>
      <c r="CS934" s="25"/>
      <c r="CT934" s="25"/>
      <c r="CU934" s="25"/>
      <c r="CV934" s="25"/>
      <c r="CW934" s="25"/>
      <c r="CX934" s="25"/>
      <c r="CY934" s="25"/>
      <c r="CZ934" s="25"/>
      <c r="DA934" s="25"/>
      <c r="DB934" s="25"/>
      <c r="DC934" s="25"/>
      <c r="DD934" s="25"/>
      <c r="DE934" s="25"/>
      <c r="DF934" s="25"/>
      <c r="DG934" s="25"/>
      <c r="DH934" s="25"/>
    </row>
    <row r="935" spans="1:112" customFormat="1" ht="85" x14ac:dyDescent="0.2">
      <c r="A935" s="21" t="s">
        <v>2771</v>
      </c>
      <c r="B935" s="2" t="s">
        <v>2772</v>
      </c>
      <c r="C935" s="2" t="s">
        <v>2772</v>
      </c>
      <c r="D935" s="1">
        <v>2</v>
      </c>
      <c r="E935" s="2" t="s">
        <v>23</v>
      </c>
      <c r="F935" s="2"/>
      <c r="G935" s="2" t="s">
        <v>2766</v>
      </c>
      <c r="H935" s="2" t="s">
        <v>538</v>
      </c>
      <c r="I935" s="2" t="s">
        <v>1476</v>
      </c>
      <c r="J935" s="25" t="s">
        <v>1007</v>
      </c>
      <c r="K935" s="25" t="s">
        <v>1008</v>
      </c>
      <c r="L935" s="25" t="s">
        <v>2773</v>
      </c>
      <c r="M935" s="25" t="s">
        <v>2334</v>
      </c>
      <c r="N935" s="25" t="s">
        <v>2774</v>
      </c>
      <c r="O935" s="25" t="s">
        <v>2334</v>
      </c>
      <c r="P935" s="25" t="s">
        <v>41</v>
      </c>
      <c r="Q935" s="25" t="s">
        <v>41</v>
      </c>
      <c r="R935" s="25" t="s">
        <v>32</v>
      </c>
      <c r="S935" s="25" t="s">
        <v>33</v>
      </c>
      <c r="T935" s="25" t="s">
        <v>1480</v>
      </c>
      <c r="U935" s="25" t="s">
        <v>4745</v>
      </c>
      <c r="V935" s="25" t="s">
        <v>4746</v>
      </c>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c r="BP935" s="25"/>
      <c r="BQ935" s="25"/>
      <c r="BR935" s="25"/>
      <c r="BS935" s="25"/>
      <c r="BT935" s="25"/>
      <c r="BU935" s="25"/>
      <c r="BV935" s="25"/>
      <c r="BW935" s="25"/>
      <c r="BX935" s="25"/>
      <c r="BY935" s="25"/>
      <c r="BZ935" s="25"/>
      <c r="CA935" s="25"/>
      <c r="CB935" s="25"/>
      <c r="CC935" s="25"/>
      <c r="CD935" s="25"/>
      <c r="CE935" s="25"/>
      <c r="CF935" s="25"/>
      <c r="CG935" s="25"/>
      <c r="CH935" s="25"/>
      <c r="CI935" s="25"/>
      <c r="CJ935" s="25"/>
      <c r="CK935" s="25"/>
      <c r="CL935" s="25"/>
      <c r="CM935" s="25"/>
      <c r="CN935" s="25"/>
      <c r="CO935" s="25"/>
      <c r="CP935" s="25"/>
      <c r="CQ935" s="25"/>
      <c r="CR935" s="25"/>
      <c r="CS935" s="25"/>
      <c r="CT935" s="25"/>
      <c r="CU935" s="25"/>
      <c r="CV935" s="25"/>
      <c r="CW935" s="25"/>
      <c r="CX935" s="25"/>
      <c r="CY935" s="25"/>
      <c r="CZ935" s="25"/>
      <c r="DA935" s="25"/>
      <c r="DB935" s="25"/>
      <c r="DC935" s="25"/>
      <c r="DD935" s="25"/>
      <c r="DE935" s="25"/>
      <c r="DF935" s="25"/>
      <c r="DG935" s="25"/>
      <c r="DH935" s="25"/>
    </row>
    <row r="936" spans="1:112" customFormat="1" ht="85" x14ac:dyDescent="0.2">
      <c r="A936" s="21" t="s">
        <v>2775</v>
      </c>
      <c r="B936" s="2" t="s">
        <v>2776</v>
      </c>
      <c r="C936" s="2" t="s">
        <v>2776</v>
      </c>
      <c r="D936" s="1">
        <v>2</v>
      </c>
      <c r="E936" s="2" t="s">
        <v>23</v>
      </c>
      <c r="F936" s="2"/>
      <c r="G936" s="2" t="s">
        <v>2766</v>
      </c>
      <c r="H936" s="2" t="s">
        <v>538</v>
      </c>
      <c r="I936" s="2" t="s">
        <v>1476</v>
      </c>
      <c r="J936" s="25" t="s">
        <v>1007</v>
      </c>
      <c r="K936" s="25" t="s">
        <v>1008</v>
      </c>
      <c r="L936" s="25" t="s">
        <v>2773</v>
      </c>
      <c r="M936" s="25" t="s">
        <v>2334</v>
      </c>
      <c r="N936" s="25" t="s">
        <v>2774</v>
      </c>
      <c r="O936" s="25" t="s">
        <v>2334</v>
      </c>
      <c r="P936" s="25" t="s">
        <v>41</v>
      </c>
      <c r="Q936" s="25" t="s">
        <v>199</v>
      </c>
      <c r="R936" s="25" t="s">
        <v>32</v>
      </c>
      <c r="S936" s="25" t="s">
        <v>33</v>
      </c>
      <c r="T936" s="25" t="s">
        <v>1480</v>
      </c>
      <c r="U936" s="25" t="s">
        <v>4745</v>
      </c>
      <c r="V936" s="25" t="s">
        <v>4746</v>
      </c>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c r="BM936" s="25"/>
      <c r="BN936" s="25"/>
      <c r="BO936" s="25"/>
      <c r="BP936" s="25"/>
      <c r="BQ936" s="25"/>
      <c r="BR936" s="25"/>
      <c r="BS936" s="25"/>
      <c r="BT936" s="25"/>
      <c r="BU936" s="25"/>
      <c r="BV936" s="25"/>
      <c r="BW936" s="25"/>
      <c r="BX936" s="25"/>
      <c r="BY936" s="25"/>
      <c r="BZ936" s="25"/>
      <c r="CA936" s="25"/>
      <c r="CB936" s="25"/>
      <c r="CC936" s="25"/>
      <c r="CD936" s="25"/>
      <c r="CE936" s="25"/>
      <c r="CF936" s="25"/>
      <c r="CG936" s="25"/>
      <c r="CH936" s="25"/>
      <c r="CI936" s="25"/>
      <c r="CJ936" s="25"/>
      <c r="CK936" s="25"/>
      <c r="CL936" s="25"/>
      <c r="CM936" s="25"/>
      <c r="CN936" s="25"/>
      <c r="CO936" s="25"/>
      <c r="CP936" s="25"/>
      <c r="CQ936" s="25"/>
      <c r="CR936" s="25"/>
      <c r="CS936" s="25"/>
      <c r="CT936" s="25"/>
      <c r="CU936" s="25"/>
      <c r="CV936" s="25"/>
      <c r="CW936" s="25"/>
      <c r="CX936" s="25"/>
      <c r="CY936" s="25"/>
      <c r="CZ936" s="25"/>
      <c r="DA936" s="25"/>
      <c r="DB936" s="25"/>
      <c r="DC936" s="25"/>
      <c r="DD936" s="25"/>
      <c r="DE936" s="25"/>
      <c r="DF936" s="25"/>
      <c r="DG936" s="25"/>
      <c r="DH936" s="25"/>
    </row>
    <row r="937" spans="1:112" ht="137" customHeight="1" x14ac:dyDescent="0.2">
      <c r="A937" s="21" t="s">
        <v>2777</v>
      </c>
      <c r="B937" s="2" t="s">
        <v>2778</v>
      </c>
      <c r="C937" s="2" t="s">
        <v>2778</v>
      </c>
      <c r="D937" s="1">
        <v>2</v>
      </c>
      <c r="E937" s="2" t="s">
        <v>1474</v>
      </c>
      <c r="F937" s="2" t="s">
        <v>2779</v>
      </c>
      <c r="G937" s="2" t="s">
        <v>2766</v>
      </c>
      <c r="H937" s="2" t="s">
        <v>538</v>
      </c>
      <c r="I937" s="2" t="s">
        <v>1476</v>
      </c>
      <c r="J937" s="2" t="s">
        <v>1007</v>
      </c>
      <c r="K937" s="2" t="s">
        <v>2780</v>
      </c>
      <c r="L937" s="2" t="s">
        <v>2781</v>
      </c>
      <c r="M937" s="2" t="s">
        <v>863</v>
      </c>
      <c r="N937" s="25" t="s">
        <v>2782</v>
      </c>
      <c r="O937" s="2" t="s">
        <v>2783</v>
      </c>
      <c r="P937" s="2" t="s">
        <v>115</v>
      </c>
      <c r="Q937" s="2" t="s">
        <v>41</v>
      </c>
      <c r="R937" s="2" t="s">
        <v>32</v>
      </c>
      <c r="S937" s="2" t="s">
        <v>33</v>
      </c>
      <c r="T937" s="2" t="s">
        <v>2784</v>
      </c>
      <c r="U937" s="2" t="s">
        <v>4747</v>
      </c>
      <c r="V937" s="2" t="s">
        <v>4748</v>
      </c>
      <c r="W937" s="2" t="s">
        <v>4749</v>
      </c>
    </row>
    <row r="938" spans="1:112" ht="85" x14ac:dyDescent="0.2">
      <c r="A938" s="21" t="s">
        <v>2785</v>
      </c>
      <c r="B938" s="2" t="s">
        <v>2786</v>
      </c>
      <c r="C938" s="2" t="s">
        <v>2786</v>
      </c>
      <c r="D938" s="1">
        <v>2</v>
      </c>
      <c r="E938" s="2" t="s">
        <v>1474</v>
      </c>
      <c r="F938" s="2" t="s">
        <v>2779</v>
      </c>
      <c r="G938" s="2" t="s">
        <v>2766</v>
      </c>
      <c r="H938" s="2" t="s">
        <v>538</v>
      </c>
      <c r="I938" s="2" t="s">
        <v>1476</v>
      </c>
      <c r="J938" s="2" t="s">
        <v>1007</v>
      </c>
      <c r="K938" s="2" t="s">
        <v>2780</v>
      </c>
      <c r="L938" s="2" t="s">
        <v>2781</v>
      </c>
      <c r="M938" s="2" t="s">
        <v>863</v>
      </c>
      <c r="N938" s="2" t="s">
        <v>2782</v>
      </c>
      <c r="O938" s="2" t="s">
        <v>2783</v>
      </c>
      <c r="P938" s="2" t="s">
        <v>115</v>
      </c>
      <c r="Q938" s="2" t="s">
        <v>199</v>
      </c>
      <c r="R938" s="2" t="s">
        <v>32</v>
      </c>
      <c r="S938" s="2" t="s">
        <v>33</v>
      </c>
      <c r="T938" s="2" t="s">
        <v>2784</v>
      </c>
      <c r="U938" s="2" t="s">
        <v>4747</v>
      </c>
      <c r="V938" s="2" t="s">
        <v>4748</v>
      </c>
      <c r="W938" s="2" t="s">
        <v>4749</v>
      </c>
    </row>
    <row r="939" spans="1:112" ht="85" x14ac:dyDescent="0.2">
      <c r="A939" s="21" t="s">
        <v>2787</v>
      </c>
      <c r="B939" s="2" t="s">
        <v>2788</v>
      </c>
      <c r="C939" s="2" t="s">
        <v>2788</v>
      </c>
      <c r="D939" s="1">
        <v>2</v>
      </c>
      <c r="E939" s="2" t="s">
        <v>1474</v>
      </c>
      <c r="F939" s="2" t="s">
        <v>2779</v>
      </c>
      <c r="G939" s="2" t="s">
        <v>2766</v>
      </c>
      <c r="H939" s="2" t="s">
        <v>538</v>
      </c>
      <c r="I939" s="2" t="s">
        <v>1476</v>
      </c>
      <c r="J939" s="2" t="s">
        <v>1007</v>
      </c>
      <c r="K939" s="2" t="s">
        <v>2780</v>
      </c>
      <c r="L939" s="2" t="s">
        <v>2781</v>
      </c>
      <c r="M939" s="2" t="s">
        <v>863</v>
      </c>
      <c r="N939" s="2" t="s">
        <v>2789</v>
      </c>
      <c r="O939" s="2" t="s">
        <v>863</v>
      </c>
      <c r="P939" s="2" t="s">
        <v>41</v>
      </c>
      <c r="Q939" s="2" t="s">
        <v>41</v>
      </c>
      <c r="R939" s="2" t="s">
        <v>32</v>
      </c>
      <c r="S939" s="2" t="s">
        <v>33</v>
      </c>
      <c r="T939" s="2" t="s">
        <v>1480</v>
      </c>
      <c r="U939" s="2" t="s">
        <v>4750</v>
      </c>
      <c r="V939" s="2" t="s">
        <v>4751</v>
      </c>
    </row>
    <row r="940" spans="1:112" ht="85" x14ac:dyDescent="0.2">
      <c r="A940" s="25" t="s">
        <v>2790</v>
      </c>
      <c r="B940" s="2" t="s">
        <v>2791</v>
      </c>
      <c r="C940" s="2" t="s">
        <v>2791</v>
      </c>
      <c r="D940" s="1">
        <v>2</v>
      </c>
      <c r="E940" s="2" t="s">
        <v>1474</v>
      </c>
      <c r="F940" s="2" t="s">
        <v>2779</v>
      </c>
      <c r="G940" s="2" t="s">
        <v>2766</v>
      </c>
      <c r="H940" s="2" t="s">
        <v>538</v>
      </c>
      <c r="I940" s="2" t="s">
        <v>1476</v>
      </c>
      <c r="J940" s="2" t="s">
        <v>1007</v>
      </c>
      <c r="K940" s="2" t="s">
        <v>2780</v>
      </c>
      <c r="L940" s="2" t="s">
        <v>2781</v>
      </c>
      <c r="M940" s="2" t="s">
        <v>863</v>
      </c>
      <c r="N940" s="25" t="s">
        <v>2789</v>
      </c>
      <c r="O940" s="2" t="s">
        <v>863</v>
      </c>
      <c r="P940" s="2" t="s">
        <v>41</v>
      </c>
      <c r="Q940" s="2" t="s">
        <v>199</v>
      </c>
      <c r="R940" s="2" t="s">
        <v>32</v>
      </c>
      <c r="S940" s="2" t="s">
        <v>33</v>
      </c>
      <c r="T940" s="2" t="s">
        <v>1480</v>
      </c>
      <c r="U940" s="2" t="s">
        <v>4750</v>
      </c>
      <c r="V940" s="2" t="s">
        <v>4751</v>
      </c>
    </row>
    <row r="941" spans="1:112" ht="85" x14ac:dyDescent="0.2">
      <c r="A941" s="25" t="s">
        <v>2792</v>
      </c>
      <c r="B941" s="2" t="s">
        <v>2793</v>
      </c>
      <c r="C941" s="2" t="s">
        <v>2793</v>
      </c>
      <c r="D941" s="1">
        <v>2</v>
      </c>
      <c r="E941" s="2" t="s">
        <v>23</v>
      </c>
      <c r="G941" s="2" t="s">
        <v>2766</v>
      </c>
      <c r="H941" s="2" t="s">
        <v>538</v>
      </c>
      <c r="I941" s="2" t="s">
        <v>1476</v>
      </c>
      <c r="J941" s="2" t="s">
        <v>1761</v>
      </c>
      <c r="K941" s="2" t="s">
        <v>2794</v>
      </c>
      <c r="L941" s="2" t="s">
        <v>2795</v>
      </c>
      <c r="M941" s="2" t="s">
        <v>2281</v>
      </c>
      <c r="N941" s="25" t="s">
        <v>2796</v>
      </c>
      <c r="O941" s="2" t="s">
        <v>2281</v>
      </c>
      <c r="P941" s="2" t="s">
        <v>94</v>
      </c>
      <c r="Q941" s="2" t="s">
        <v>41</v>
      </c>
      <c r="R941" s="2" t="s">
        <v>32</v>
      </c>
      <c r="S941" s="2" t="s">
        <v>33</v>
      </c>
      <c r="T941" s="2" t="s">
        <v>1480</v>
      </c>
      <c r="U941" s="2" t="s">
        <v>4752</v>
      </c>
      <c r="V941" s="2" t="s">
        <v>4753</v>
      </c>
      <c r="W941" s="2" t="s">
        <v>4754</v>
      </c>
    </row>
    <row r="942" spans="1:112" ht="85" x14ac:dyDescent="0.2">
      <c r="A942" s="25" t="s">
        <v>2797</v>
      </c>
      <c r="B942" s="2" t="s">
        <v>2798</v>
      </c>
      <c r="C942" s="2" t="s">
        <v>2798</v>
      </c>
      <c r="D942" s="1">
        <v>2</v>
      </c>
      <c r="E942" s="2" t="s">
        <v>23</v>
      </c>
      <c r="G942" s="2" t="s">
        <v>2766</v>
      </c>
      <c r="H942" s="2" t="s">
        <v>538</v>
      </c>
      <c r="I942" s="2" t="s">
        <v>1476</v>
      </c>
      <c r="J942" s="2" t="s">
        <v>1761</v>
      </c>
      <c r="K942" s="2" t="s">
        <v>2794</v>
      </c>
      <c r="L942" s="2" t="s">
        <v>2795</v>
      </c>
      <c r="M942" s="2" t="s">
        <v>2281</v>
      </c>
      <c r="N942" s="25" t="s">
        <v>2796</v>
      </c>
      <c r="O942" s="2" t="s">
        <v>2281</v>
      </c>
      <c r="P942" s="2" t="s">
        <v>94</v>
      </c>
      <c r="Q942" s="2" t="s">
        <v>199</v>
      </c>
      <c r="R942" s="2" t="s">
        <v>32</v>
      </c>
      <c r="S942" s="2" t="s">
        <v>33</v>
      </c>
      <c r="T942" s="2" t="s">
        <v>1480</v>
      </c>
      <c r="U942" s="2" t="s">
        <v>4752</v>
      </c>
      <c r="V942" s="2" t="s">
        <v>4753</v>
      </c>
      <c r="W942" s="2" t="s">
        <v>4754</v>
      </c>
    </row>
    <row r="943" spans="1:112" ht="85" x14ac:dyDescent="0.2">
      <c r="A943" s="25" t="s">
        <v>2799</v>
      </c>
      <c r="B943" s="2" t="s">
        <v>2800</v>
      </c>
      <c r="C943" s="2" t="s">
        <v>2800</v>
      </c>
      <c r="D943" s="1">
        <v>2</v>
      </c>
      <c r="E943" s="2" t="s">
        <v>23</v>
      </c>
      <c r="G943" s="2" t="s">
        <v>2766</v>
      </c>
      <c r="H943" s="2" t="s">
        <v>538</v>
      </c>
      <c r="I943" s="2" t="s">
        <v>1476</v>
      </c>
      <c r="J943" s="2" t="s">
        <v>1007</v>
      </c>
      <c r="K943" s="2" t="s">
        <v>1008</v>
      </c>
      <c r="L943" s="2" t="s">
        <v>1008</v>
      </c>
      <c r="M943" s="2" t="s">
        <v>1827</v>
      </c>
      <c r="N943" s="25" t="s">
        <v>2801</v>
      </c>
      <c r="O943" s="2" t="s">
        <v>2281</v>
      </c>
      <c r="P943" s="2" t="s">
        <v>159</v>
      </c>
      <c r="Q943" s="2" t="s">
        <v>41</v>
      </c>
      <c r="R943" s="2" t="s">
        <v>32</v>
      </c>
      <c r="S943" s="2" t="s">
        <v>33</v>
      </c>
      <c r="T943" s="2" t="s">
        <v>1480</v>
      </c>
      <c r="U943" s="2" t="s">
        <v>4755</v>
      </c>
      <c r="V943" s="2" t="s">
        <v>4756</v>
      </c>
    </row>
    <row r="944" spans="1:112" ht="85" x14ac:dyDescent="0.2">
      <c r="A944" s="25" t="s">
        <v>2802</v>
      </c>
      <c r="B944" s="2" t="s">
        <v>2803</v>
      </c>
      <c r="C944" s="2" t="s">
        <v>2803</v>
      </c>
      <c r="D944" s="1">
        <v>2</v>
      </c>
      <c r="E944" s="2" t="s">
        <v>23</v>
      </c>
      <c r="G944" s="2" t="s">
        <v>2766</v>
      </c>
      <c r="H944" s="2" t="s">
        <v>538</v>
      </c>
      <c r="I944" s="2" t="s">
        <v>1476</v>
      </c>
      <c r="J944" s="2" t="s">
        <v>1007</v>
      </c>
      <c r="K944" s="2" t="s">
        <v>1008</v>
      </c>
      <c r="L944" s="2" t="s">
        <v>1008</v>
      </c>
      <c r="M944" s="2" t="s">
        <v>1827</v>
      </c>
      <c r="N944" s="25" t="s">
        <v>2801</v>
      </c>
      <c r="O944" s="2" t="s">
        <v>2281</v>
      </c>
      <c r="P944" s="2" t="s">
        <v>159</v>
      </c>
      <c r="Q944" s="2" t="s">
        <v>199</v>
      </c>
      <c r="R944" s="2" t="s">
        <v>32</v>
      </c>
      <c r="S944" s="2" t="s">
        <v>33</v>
      </c>
      <c r="T944" s="2" t="s">
        <v>1480</v>
      </c>
      <c r="U944" s="2" t="s">
        <v>4755</v>
      </c>
      <c r="V944" s="2" t="s">
        <v>4756</v>
      </c>
    </row>
    <row r="945" spans="1:112" ht="85" x14ac:dyDescent="0.2">
      <c r="A945" s="25" t="s">
        <v>2804</v>
      </c>
      <c r="B945" s="2" t="s">
        <v>2805</v>
      </c>
      <c r="C945" s="2" t="s">
        <v>2805</v>
      </c>
      <c r="D945" s="1">
        <v>2</v>
      </c>
      <c r="E945" s="2" t="s">
        <v>1474</v>
      </c>
      <c r="F945" s="2" t="s">
        <v>2779</v>
      </c>
      <c r="G945" s="2" t="s">
        <v>2766</v>
      </c>
      <c r="H945" s="2" t="s">
        <v>538</v>
      </c>
      <c r="I945" s="2" t="s">
        <v>1476</v>
      </c>
      <c r="J945" s="2" t="s">
        <v>1007</v>
      </c>
      <c r="K945" s="2" t="s">
        <v>1008</v>
      </c>
      <c r="L945" s="2" t="s">
        <v>2806</v>
      </c>
      <c r="M945" s="2" t="s">
        <v>2415</v>
      </c>
      <c r="N945" s="25" t="s">
        <v>2807</v>
      </c>
      <c r="O945" s="2" t="s">
        <v>2415</v>
      </c>
      <c r="P945" s="2" t="s">
        <v>41</v>
      </c>
      <c r="Q945" s="2" t="s">
        <v>41</v>
      </c>
      <c r="R945" s="2" t="s">
        <v>32</v>
      </c>
      <c r="S945" s="2" t="s">
        <v>33</v>
      </c>
      <c r="T945" s="2" t="s">
        <v>1480</v>
      </c>
      <c r="U945" s="2" t="s">
        <v>4757</v>
      </c>
      <c r="V945" s="2" t="s">
        <v>4758</v>
      </c>
    </row>
    <row r="946" spans="1:112" ht="85" x14ac:dyDescent="0.2">
      <c r="A946" s="25" t="s">
        <v>2808</v>
      </c>
      <c r="B946" s="2" t="s">
        <v>2809</v>
      </c>
      <c r="C946" s="2" t="s">
        <v>2809</v>
      </c>
      <c r="D946" s="1">
        <v>2</v>
      </c>
      <c r="E946" s="2" t="s">
        <v>1474</v>
      </c>
      <c r="F946" s="2" t="s">
        <v>2779</v>
      </c>
      <c r="G946" s="2" t="s">
        <v>2766</v>
      </c>
      <c r="H946" s="2" t="s">
        <v>538</v>
      </c>
      <c r="I946" s="2" t="s">
        <v>1476</v>
      </c>
      <c r="J946" s="2" t="s">
        <v>1007</v>
      </c>
      <c r="K946" s="2" t="s">
        <v>1008</v>
      </c>
      <c r="L946" s="2" t="s">
        <v>2806</v>
      </c>
      <c r="M946" s="2" t="s">
        <v>2415</v>
      </c>
      <c r="N946" s="25" t="s">
        <v>2807</v>
      </c>
      <c r="O946" s="2" t="s">
        <v>2415</v>
      </c>
      <c r="P946" s="2" t="s">
        <v>41</v>
      </c>
      <c r="Q946" s="2" t="s">
        <v>199</v>
      </c>
      <c r="R946" s="2" t="s">
        <v>32</v>
      </c>
      <c r="S946" s="2" t="s">
        <v>33</v>
      </c>
      <c r="T946" s="2" t="s">
        <v>1480</v>
      </c>
      <c r="U946" s="2" t="s">
        <v>4757</v>
      </c>
      <c r="V946" s="2" t="s">
        <v>4758</v>
      </c>
    </row>
    <row r="947" spans="1:112" ht="85" x14ac:dyDescent="0.2">
      <c r="A947" s="25" t="s">
        <v>2810</v>
      </c>
      <c r="B947" s="2" t="s">
        <v>2811</v>
      </c>
      <c r="C947" s="2" t="s">
        <v>2811</v>
      </c>
      <c r="D947" s="1">
        <v>2</v>
      </c>
      <c r="E947" s="2" t="s">
        <v>23</v>
      </c>
      <c r="G947" s="2" t="s">
        <v>2766</v>
      </c>
      <c r="H947" s="2" t="s">
        <v>538</v>
      </c>
      <c r="I947" s="2" t="s">
        <v>1476</v>
      </c>
      <c r="J947" s="2" t="s">
        <v>1007</v>
      </c>
      <c r="K947" s="2" t="s">
        <v>1008</v>
      </c>
      <c r="L947" s="2" t="s">
        <v>1008</v>
      </c>
      <c r="M947" s="2" t="s">
        <v>1827</v>
      </c>
      <c r="N947" s="25" t="s">
        <v>2812</v>
      </c>
      <c r="O947" s="2" t="s">
        <v>1827</v>
      </c>
      <c r="P947" s="2" t="s">
        <v>94</v>
      </c>
      <c r="Q947" s="2" t="s">
        <v>41</v>
      </c>
      <c r="R947" s="2" t="s">
        <v>32</v>
      </c>
      <c r="S947" s="2" t="s">
        <v>33</v>
      </c>
      <c r="T947" s="2" t="s">
        <v>1480</v>
      </c>
      <c r="U947" s="2" t="s">
        <v>4759</v>
      </c>
      <c r="V947" s="2" t="s">
        <v>4760</v>
      </c>
      <c r="W947" s="2" t="s">
        <v>4761</v>
      </c>
      <c r="X947" s="2" t="s">
        <v>4762</v>
      </c>
      <c r="Y947" s="2" t="s">
        <v>4763</v>
      </c>
      <c r="Z947" s="2" t="s">
        <v>4764</v>
      </c>
      <c r="AA947" s="2" t="s">
        <v>4765</v>
      </c>
    </row>
    <row r="948" spans="1:112" ht="51" customHeight="1" x14ac:dyDescent="0.2">
      <c r="A948" s="25" t="s">
        <v>2813</v>
      </c>
      <c r="B948" s="2" t="s">
        <v>2814</v>
      </c>
      <c r="C948" s="2" t="s">
        <v>2814</v>
      </c>
      <c r="D948" s="1">
        <v>2</v>
      </c>
      <c r="E948" s="2" t="s">
        <v>23</v>
      </c>
      <c r="G948" s="2" t="s">
        <v>2766</v>
      </c>
      <c r="H948" s="2" t="s">
        <v>538</v>
      </c>
      <c r="I948" s="2" t="s">
        <v>1476</v>
      </c>
      <c r="J948" s="2" t="s">
        <v>1007</v>
      </c>
      <c r="K948" s="2" t="s">
        <v>1008</v>
      </c>
      <c r="L948" s="2" t="s">
        <v>1008</v>
      </c>
      <c r="M948" s="2" t="s">
        <v>1827</v>
      </c>
      <c r="N948" s="25" t="s">
        <v>2812</v>
      </c>
      <c r="O948" s="2" t="s">
        <v>1827</v>
      </c>
      <c r="P948" s="2" t="s">
        <v>94</v>
      </c>
      <c r="Q948" s="2" t="s">
        <v>199</v>
      </c>
      <c r="R948" s="2" t="s">
        <v>32</v>
      </c>
      <c r="S948" s="2" t="s">
        <v>33</v>
      </c>
      <c r="T948" s="2" t="s">
        <v>1480</v>
      </c>
      <c r="U948" s="2" t="s">
        <v>4759</v>
      </c>
      <c r="V948" s="2" t="s">
        <v>4760</v>
      </c>
      <c r="W948" s="2" t="s">
        <v>4761</v>
      </c>
      <c r="X948" s="2" t="s">
        <v>4762</v>
      </c>
      <c r="Y948" s="2" t="s">
        <v>4763</v>
      </c>
      <c r="Z948" s="2" t="s">
        <v>4764</v>
      </c>
      <c r="AA948" s="2" t="s">
        <v>4765</v>
      </c>
    </row>
    <row r="949" spans="1:112" ht="85" x14ac:dyDescent="0.2">
      <c r="A949" s="25" t="s">
        <v>2815</v>
      </c>
      <c r="B949" s="2" t="s">
        <v>2816</v>
      </c>
      <c r="C949" s="2" t="s">
        <v>2816</v>
      </c>
      <c r="D949" s="1">
        <v>2</v>
      </c>
      <c r="E949" s="2" t="s">
        <v>61</v>
      </c>
      <c r="F949" s="2" t="s">
        <v>2779</v>
      </c>
      <c r="G949" s="2" t="s">
        <v>2766</v>
      </c>
      <c r="H949" s="2" t="s">
        <v>538</v>
      </c>
      <c r="I949" s="2" t="s">
        <v>1476</v>
      </c>
      <c r="J949" s="2" t="s">
        <v>1007</v>
      </c>
      <c r="K949" s="2" t="s">
        <v>1008</v>
      </c>
      <c r="L949" s="2" t="s">
        <v>1008</v>
      </c>
      <c r="M949" s="2" t="s">
        <v>1827</v>
      </c>
      <c r="N949" s="25" t="s">
        <v>2817</v>
      </c>
      <c r="O949" s="2" t="s">
        <v>1827</v>
      </c>
      <c r="P949" s="2" t="s">
        <v>159</v>
      </c>
      <c r="Q949" s="2" t="s">
        <v>41</v>
      </c>
      <c r="R949" s="2" t="s">
        <v>32</v>
      </c>
      <c r="S949" s="2" t="s">
        <v>33</v>
      </c>
      <c r="T949" s="2" t="s">
        <v>2818</v>
      </c>
      <c r="U949" s="2" t="s">
        <v>2819</v>
      </c>
    </row>
    <row r="950" spans="1:112" ht="68" x14ac:dyDescent="0.2">
      <c r="A950" s="25" t="s">
        <v>2820</v>
      </c>
      <c r="B950" s="2" t="s">
        <v>2821</v>
      </c>
      <c r="C950" s="2" t="s">
        <v>2822</v>
      </c>
      <c r="D950" s="1">
        <v>2</v>
      </c>
      <c r="E950" s="2" t="s">
        <v>23</v>
      </c>
      <c r="G950" s="2" t="s">
        <v>2823</v>
      </c>
      <c r="H950" s="2" t="s">
        <v>1169</v>
      </c>
      <c r="I950" s="2" t="s">
        <v>1780</v>
      </c>
      <c r="J950" s="2" t="s">
        <v>2824</v>
      </c>
      <c r="K950" s="2" t="s">
        <v>2824</v>
      </c>
      <c r="L950" s="2" t="s">
        <v>2825</v>
      </c>
      <c r="M950" s="2" t="s">
        <v>2826</v>
      </c>
      <c r="N950" s="25" t="s">
        <v>1093</v>
      </c>
      <c r="O950" s="2" t="s">
        <v>1094</v>
      </c>
      <c r="P950" s="2" t="s">
        <v>1094</v>
      </c>
      <c r="Q950" s="2" t="s">
        <v>2827</v>
      </c>
      <c r="R950" s="2" t="s">
        <v>32</v>
      </c>
      <c r="S950" s="2" t="s">
        <v>392</v>
      </c>
      <c r="U950" s="2" t="s">
        <v>292</v>
      </c>
    </row>
    <row r="951" spans="1:112" ht="68" x14ac:dyDescent="0.2">
      <c r="A951" s="25" t="s">
        <v>2828</v>
      </c>
      <c r="B951" s="2" t="s">
        <v>2829</v>
      </c>
      <c r="C951" s="2" t="s">
        <v>2830</v>
      </c>
      <c r="D951" s="1">
        <v>2</v>
      </c>
      <c r="E951" s="2" t="s">
        <v>23</v>
      </c>
      <c r="G951" s="2" t="s">
        <v>2823</v>
      </c>
      <c r="H951" s="2" t="s">
        <v>1169</v>
      </c>
      <c r="I951" s="2" t="s">
        <v>1780</v>
      </c>
      <c r="J951" s="2" t="s">
        <v>2824</v>
      </c>
      <c r="K951" s="2" t="s">
        <v>2824</v>
      </c>
      <c r="L951" s="2" t="s">
        <v>2831</v>
      </c>
      <c r="M951" s="2" t="s">
        <v>2832</v>
      </c>
      <c r="N951" s="25" t="s">
        <v>1093</v>
      </c>
      <c r="O951" s="2" t="s">
        <v>1094</v>
      </c>
      <c r="P951" s="2" t="s">
        <v>1094</v>
      </c>
      <c r="Q951" s="2" t="s">
        <v>2833</v>
      </c>
      <c r="R951" s="2" t="s">
        <v>32</v>
      </c>
      <c r="S951" s="2" t="s">
        <v>392</v>
      </c>
      <c r="U951" s="2" t="s">
        <v>292</v>
      </c>
    </row>
    <row r="952" spans="1:112" ht="85" x14ac:dyDescent="0.2">
      <c r="A952" s="25" t="s">
        <v>2834</v>
      </c>
      <c r="B952" s="2" t="s">
        <v>2835</v>
      </c>
      <c r="C952" s="2" t="s">
        <v>2835</v>
      </c>
      <c r="D952" s="1">
        <v>2</v>
      </c>
      <c r="E952" s="2" t="s">
        <v>2232</v>
      </c>
      <c r="F952" s="2" t="s">
        <v>2836</v>
      </c>
      <c r="G952" s="2" t="s">
        <v>2735</v>
      </c>
      <c r="H952" s="2" t="s">
        <v>492</v>
      </c>
      <c r="I952" s="2" t="s">
        <v>2235</v>
      </c>
      <c r="J952" s="2" t="s">
        <v>469</v>
      </c>
      <c r="K952" s="2" t="s">
        <v>470</v>
      </c>
      <c r="L952" s="2" t="s">
        <v>2236</v>
      </c>
      <c r="M952" s="2" t="s">
        <v>2237</v>
      </c>
      <c r="N952" s="25" t="s">
        <v>2837</v>
      </c>
      <c r="O952" s="2" t="s">
        <v>2237</v>
      </c>
      <c r="P952" s="2" t="s">
        <v>30</v>
      </c>
      <c r="Q952" s="2" t="s">
        <v>41</v>
      </c>
      <c r="R952" s="2" t="s">
        <v>32</v>
      </c>
      <c r="S952" s="2" t="s">
        <v>33</v>
      </c>
      <c r="T952" s="2" t="s">
        <v>2239</v>
      </c>
      <c r="U952" s="2" t="s">
        <v>4766</v>
      </c>
      <c r="V952" s="2" t="s">
        <v>4767</v>
      </c>
      <c r="W952" s="2" t="s">
        <v>4768</v>
      </c>
    </row>
    <row r="953" spans="1:112" ht="170" x14ac:dyDescent="0.2">
      <c r="A953" s="25" t="s">
        <v>2838</v>
      </c>
      <c r="B953" s="2" t="s">
        <v>2839</v>
      </c>
      <c r="C953" s="2" t="s">
        <v>2839</v>
      </c>
      <c r="D953" s="1">
        <v>2</v>
      </c>
      <c r="E953" s="2" t="s">
        <v>23</v>
      </c>
      <c r="G953" s="2" t="s">
        <v>2823</v>
      </c>
      <c r="H953" s="2" t="s">
        <v>1169</v>
      </c>
      <c r="I953" s="2" t="s">
        <v>2840</v>
      </c>
      <c r="J953" s="2" t="s">
        <v>1026</v>
      </c>
      <c r="K953" s="2" t="s">
        <v>1039</v>
      </c>
      <c r="L953" s="2" t="s">
        <v>1040</v>
      </c>
      <c r="M953" s="2" t="s">
        <v>1041</v>
      </c>
      <c r="N953" s="25" t="s">
        <v>2841</v>
      </c>
      <c r="O953" s="2" t="s">
        <v>2028</v>
      </c>
      <c r="P953" s="2" t="s">
        <v>41</v>
      </c>
      <c r="Q953" s="2" t="s">
        <v>41</v>
      </c>
      <c r="R953" s="2" t="s">
        <v>32</v>
      </c>
      <c r="S953" s="2" t="s">
        <v>33</v>
      </c>
      <c r="T953" s="2" t="s">
        <v>2842</v>
      </c>
      <c r="U953" s="2" t="s">
        <v>4769</v>
      </c>
      <c r="V953" s="2" t="s">
        <v>4770</v>
      </c>
      <c r="W953" s="2" t="s">
        <v>4771</v>
      </c>
      <c r="X953" s="2" t="s">
        <v>4772</v>
      </c>
      <c r="Y953" s="2" t="s">
        <v>4773</v>
      </c>
      <c r="Z953" s="2" t="s">
        <v>4774</v>
      </c>
      <c r="AA953" s="2" t="s">
        <v>4775</v>
      </c>
      <c r="AB953" s="2" t="s">
        <v>4776</v>
      </c>
      <c r="AC953" s="2" t="s">
        <v>4777</v>
      </c>
      <c r="AD953" s="2" t="s">
        <v>4778</v>
      </c>
    </row>
    <row r="954" spans="1:112" ht="170" x14ac:dyDescent="0.2">
      <c r="A954" s="25" t="s">
        <v>2843</v>
      </c>
      <c r="B954" s="2" t="s">
        <v>2844</v>
      </c>
      <c r="C954" s="2" t="s">
        <v>2844</v>
      </c>
      <c r="D954" s="1">
        <v>2</v>
      </c>
      <c r="E954" s="2" t="s">
        <v>23</v>
      </c>
      <c r="G954" s="2" t="s">
        <v>2823</v>
      </c>
      <c r="H954" s="2" t="s">
        <v>1169</v>
      </c>
      <c r="I954" s="2" t="s">
        <v>2840</v>
      </c>
      <c r="J954" s="2" t="s">
        <v>1026</v>
      </c>
      <c r="K954" s="2" t="s">
        <v>1039</v>
      </c>
      <c r="L954" s="2" t="s">
        <v>1040</v>
      </c>
      <c r="M954" s="2" t="s">
        <v>1041</v>
      </c>
      <c r="N954" s="25" t="s">
        <v>2841</v>
      </c>
      <c r="O954" s="2" t="s">
        <v>2028</v>
      </c>
      <c r="P954" s="2" t="s">
        <v>41</v>
      </c>
      <c r="Q954" s="2" t="s">
        <v>199</v>
      </c>
      <c r="R954" s="2" t="s">
        <v>32</v>
      </c>
      <c r="S954" s="2" t="s">
        <v>33</v>
      </c>
      <c r="T954" s="2" t="s">
        <v>2842</v>
      </c>
      <c r="U954" s="2" t="s">
        <v>2845</v>
      </c>
    </row>
    <row r="955" spans="1:112" ht="170" x14ac:dyDescent="0.2">
      <c r="A955" s="26" t="s">
        <v>5274</v>
      </c>
      <c r="B955" s="7" t="s">
        <v>5275</v>
      </c>
      <c r="C955" s="2" t="s">
        <v>5275</v>
      </c>
      <c r="D955" s="1">
        <v>2</v>
      </c>
      <c r="E955" s="2" t="s">
        <v>23</v>
      </c>
      <c r="G955" s="2" t="s">
        <v>2823</v>
      </c>
      <c r="H955" s="2" t="s">
        <v>1169</v>
      </c>
      <c r="I955" s="2" t="s">
        <v>2840</v>
      </c>
      <c r="J955" s="12" t="s">
        <v>1026</v>
      </c>
      <c r="K955" s="12" t="s">
        <v>1039</v>
      </c>
      <c r="L955" s="12" t="s">
        <v>5266</v>
      </c>
      <c r="M955" s="12" t="s">
        <v>1041</v>
      </c>
      <c r="N955" s="34" t="s">
        <v>2841</v>
      </c>
      <c r="O955" s="12" t="s">
        <v>5276</v>
      </c>
      <c r="P955" s="12" t="s">
        <v>41</v>
      </c>
      <c r="Q955" s="12" t="s">
        <v>41</v>
      </c>
      <c r="R955" s="12" t="s">
        <v>32</v>
      </c>
      <c r="S955" s="12" t="s">
        <v>33</v>
      </c>
      <c r="T955" s="12" t="s">
        <v>2842</v>
      </c>
      <c r="U955" s="12" t="s">
        <v>5277</v>
      </c>
      <c r="V955" s="12" t="s">
        <v>5277</v>
      </c>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c r="DD955" s="12"/>
      <c r="DE955" s="12"/>
      <c r="DF955" s="12"/>
      <c r="DG955" s="12"/>
      <c r="DH955" s="12"/>
    </row>
    <row r="956" spans="1:112" ht="170" x14ac:dyDescent="0.2">
      <c r="A956" s="26" t="s">
        <v>5278</v>
      </c>
      <c r="B956" s="7" t="s">
        <v>5279</v>
      </c>
      <c r="C956" s="2" t="s">
        <v>5279</v>
      </c>
      <c r="D956" s="1">
        <v>2</v>
      </c>
      <c r="E956" s="2" t="s">
        <v>23</v>
      </c>
      <c r="G956" s="2" t="s">
        <v>2823</v>
      </c>
      <c r="H956" s="2" t="s">
        <v>1169</v>
      </c>
      <c r="I956" s="2" t="s">
        <v>2840</v>
      </c>
      <c r="J956" s="12" t="s">
        <v>1026</v>
      </c>
      <c r="K956" s="12" t="s">
        <v>1039</v>
      </c>
      <c r="L956" s="12" t="s">
        <v>5266</v>
      </c>
      <c r="M956" s="12" t="s">
        <v>1041</v>
      </c>
      <c r="N956" s="34" t="s">
        <v>2841</v>
      </c>
      <c r="O956" s="12" t="s">
        <v>5276</v>
      </c>
      <c r="P956" s="12" t="s">
        <v>41</v>
      </c>
      <c r="Q956" s="12" t="s">
        <v>199</v>
      </c>
      <c r="R956" s="12" t="s">
        <v>32</v>
      </c>
      <c r="S956" s="12" t="s">
        <v>33</v>
      </c>
      <c r="T956" s="12" t="s">
        <v>2842</v>
      </c>
      <c r="U956" s="12" t="s">
        <v>2845</v>
      </c>
      <c r="V956" s="12" t="s">
        <v>2845</v>
      </c>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c r="CV956" s="12"/>
      <c r="CW956" s="12"/>
      <c r="CX956" s="12"/>
      <c r="CY956" s="12"/>
      <c r="CZ956" s="12"/>
      <c r="DA956" s="12"/>
      <c r="DB956" s="12"/>
      <c r="DC956" s="12"/>
      <c r="DD956" s="12"/>
      <c r="DE956" s="12"/>
      <c r="DF956" s="12"/>
      <c r="DG956" s="12"/>
      <c r="DH956" s="12"/>
    </row>
    <row r="957" spans="1:112" ht="170" x14ac:dyDescent="0.2">
      <c r="A957" s="25" t="s">
        <v>2846</v>
      </c>
      <c r="B957" s="2" t="s">
        <v>2847</v>
      </c>
      <c r="C957" s="2" t="s">
        <v>2847</v>
      </c>
      <c r="D957" s="1">
        <v>2</v>
      </c>
      <c r="E957" s="2" t="s">
        <v>23</v>
      </c>
      <c r="G957" s="2" t="s">
        <v>2823</v>
      </c>
      <c r="H957" s="2" t="s">
        <v>1169</v>
      </c>
      <c r="I957" s="2" t="s">
        <v>2840</v>
      </c>
      <c r="J957" s="2" t="s">
        <v>1026</v>
      </c>
      <c r="K957" s="2" t="s">
        <v>1039</v>
      </c>
      <c r="L957" s="2" t="s">
        <v>1048</v>
      </c>
      <c r="M957" s="2" t="s">
        <v>1049</v>
      </c>
      <c r="N957" s="25" t="s">
        <v>2841</v>
      </c>
      <c r="O957" s="2" t="s">
        <v>2028</v>
      </c>
      <c r="P957" s="2" t="s">
        <v>41</v>
      </c>
      <c r="Q957" s="2" t="s">
        <v>41</v>
      </c>
      <c r="R957" s="2" t="s">
        <v>32</v>
      </c>
      <c r="S957" s="2" t="s">
        <v>33</v>
      </c>
      <c r="T957" s="2" t="s">
        <v>2848</v>
      </c>
      <c r="U957" s="2" t="s">
        <v>4769</v>
      </c>
      <c r="V957" s="2" t="s">
        <v>4770</v>
      </c>
      <c r="W957" s="2" t="s">
        <v>4771</v>
      </c>
      <c r="X957" s="2" t="s">
        <v>4772</v>
      </c>
      <c r="Y957" s="2" t="s">
        <v>4773</v>
      </c>
      <c r="Z957" s="2" t="s">
        <v>4774</v>
      </c>
      <c r="AA957" s="2" t="s">
        <v>4775</v>
      </c>
      <c r="AB957" s="2" t="s">
        <v>4776</v>
      </c>
      <c r="AC957" s="2" t="s">
        <v>4777</v>
      </c>
      <c r="AD957" s="2" t="s">
        <v>4778</v>
      </c>
    </row>
    <row r="958" spans="1:112" ht="170" x14ac:dyDescent="0.2">
      <c r="A958" s="26" t="s">
        <v>5290</v>
      </c>
      <c r="B958" s="7" t="s">
        <v>5291</v>
      </c>
      <c r="C958" s="2" t="s">
        <v>5291</v>
      </c>
      <c r="D958" s="1">
        <v>2</v>
      </c>
      <c r="E958" s="2" t="s">
        <v>23</v>
      </c>
      <c r="G958" s="2" t="s">
        <v>2823</v>
      </c>
      <c r="H958" s="2" t="s">
        <v>1169</v>
      </c>
      <c r="I958" s="2" t="s">
        <v>2840</v>
      </c>
      <c r="J958" s="12" t="s">
        <v>1026</v>
      </c>
      <c r="K958" s="12" t="s">
        <v>1039</v>
      </c>
      <c r="L958" s="12" t="s">
        <v>1048</v>
      </c>
      <c r="M958" s="12" t="s">
        <v>1049</v>
      </c>
      <c r="N958" s="34" t="s">
        <v>2841</v>
      </c>
      <c r="O958" s="12" t="s">
        <v>2028</v>
      </c>
      <c r="P958" s="12" t="s">
        <v>41</v>
      </c>
      <c r="Q958" s="12" t="s">
        <v>199</v>
      </c>
      <c r="R958" s="12" t="s">
        <v>32</v>
      </c>
      <c r="S958" s="12" t="s">
        <v>33</v>
      </c>
      <c r="T958" s="12" t="s">
        <v>2848</v>
      </c>
      <c r="U958" s="12" t="s">
        <v>2845</v>
      </c>
      <c r="V958" s="12" t="s">
        <v>2845</v>
      </c>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c r="CV958" s="12"/>
      <c r="CW958" s="12"/>
      <c r="CX958" s="12"/>
      <c r="CY958" s="12"/>
      <c r="CZ958" s="12"/>
      <c r="DA958" s="12"/>
      <c r="DB958" s="12"/>
      <c r="DC958" s="12"/>
      <c r="DD958" s="12"/>
      <c r="DE958" s="12"/>
      <c r="DF958" s="12"/>
      <c r="DG958" s="12"/>
      <c r="DH958" s="12"/>
    </row>
    <row r="959" spans="1:112" ht="170" x14ac:dyDescent="0.2">
      <c r="A959" s="26" t="s">
        <v>5292</v>
      </c>
      <c r="B959" s="7" t="s">
        <v>5293</v>
      </c>
      <c r="C959" s="2" t="s">
        <v>5293</v>
      </c>
      <c r="D959" s="1">
        <v>2</v>
      </c>
      <c r="E959" s="2" t="s">
        <v>23</v>
      </c>
      <c r="G959" s="2" t="s">
        <v>2823</v>
      </c>
      <c r="H959" s="2" t="s">
        <v>1169</v>
      </c>
      <c r="I959" s="2" t="s">
        <v>2840</v>
      </c>
      <c r="J959" s="12" t="s">
        <v>1026</v>
      </c>
      <c r="K959" s="12" t="s">
        <v>1039</v>
      </c>
      <c r="L959" s="12" t="s">
        <v>5282</v>
      </c>
      <c r="M959" s="12" t="s">
        <v>1049</v>
      </c>
      <c r="N959" s="34" t="s">
        <v>2841</v>
      </c>
      <c r="O959" s="12" t="s">
        <v>5276</v>
      </c>
      <c r="P959" s="12" t="s">
        <v>41</v>
      </c>
      <c r="Q959" s="12" t="s">
        <v>41</v>
      </c>
      <c r="R959" s="12" t="s">
        <v>32</v>
      </c>
      <c r="S959" s="12" t="s">
        <v>33</v>
      </c>
      <c r="T959" s="12" t="s">
        <v>1044</v>
      </c>
      <c r="U959" s="12" t="s">
        <v>5277</v>
      </c>
      <c r="V959" s="12" t="s">
        <v>5277</v>
      </c>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c r="CA959" s="12"/>
      <c r="CB959" s="12"/>
      <c r="CC959" s="12"/>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c r="CZ959" s="12"/>
      <c r="DA959" s="12"/>
      <c r="DB959" s="12"/>
      <c r="DC959" s="12"/>
      <c r="DD959" s="12"/>
      <c r="DE959" s="12"/>
      <c r="DF959" s="12"/>
      <c r="DG959" s="12"/>
      <c r="DH959" s="12"/>
    </row>
    <row r="960" spans="1:112" ht="170" x14ac:dyDescent="0.2">
      <c r="A960" s="25" t="s">
        <v>2849</v>
      </c>
      <c r="B960" s="2" t="s">
        <v>2850</v>
      </c>
      <c r="C960" s="2" t="s">
        <v>2850</v>
      </c>
      <c r="D960" s="1">
        <v>2</v>
      </c>
      <c r="E960" s="2" t="s">
        <v>23</v>
      </c>
      <c r="G960" s="2" t="s">
        <v>2823</v>
      </c>
      <c r="H960" s="2" t="s">
        <v>1169</v>
      </c>
      <c r="I960" s="2" t="s">
        <v>2840</v>
      </c>
      <c r="J960" s="2" t="s">
        <v>1026</v>
      </c>
      <c r="K960" s="2" t="s">
        <v>1039</v>
      </c>
      <c r="L960" s="2" t="s">
        <v>1053</v>
      </c>
      <c r="M960" s="2" t="s">
        <v>1054</v>
      </c>
      <c r="N960" s="25" t="s">
        <v>2841</v>
      </c>
      <c r="O960" s="2" t="s">
        <v>2028</v>
      </c>
      <c r="P960" s="2" t="s">
        <v>41</v>
      </c>
      <c r="Q960" s="2" t="s">
        <v>41</v>
      </c>
      <c r="R960" s="2" t="s">
        <v>32</v>
      </c>
      <c r="S960" s="2" t="s">
        <v>33</v>
      </c>
      <c r="T960" s="2" t="s">
        <v>2848</v>
      </c>
      <c r="U960" s="2" t="s">
        <v>4769</v>
      </c>
      <c r="V960" s="2" t="s">
        <v>4770</v>
      </c>
      <c r="W960" s="2" t="s">
        <v>4771</v>
      </c>
      <c r="X960" s="2" t="s">
        <v>4772</v>
      </c>
      <c r="Y960" s="2" t="s">
        <v>4773</v>
      </c>
      <c r="Z960" s="2" t="s">
        <v>4774</v>
      </c>
      <c r="AA960" s="2" t="s">
        <v>4775</v>
      </c>
      <c r="AB960" s="2" t="s">
        <v>4776</v>
      </c>
      <c r="AC960" s="2" t="s">
        <v>4777</v>
      </c>
      <c r="AD960" s="2" t="s">
        <v>4778</v>
      </c>
    </row>
    <row r="961" spans="1:112" ht="170" x14ac:dyDescent="0.2">
      <c r="A961" s="25" t="s">
        <v>2851</v>
      </c>
      <c r="B961" s="2" t="s">
        <v>2852</v>
      </c>
      <c r="C961" s="2" t="s">
        <v>2852</v>
      </c>
      <c r="D961" s="1">
        <v>2</v>
      </c>
      <c r="E961" s="2" t="s">
        <v>23</v>
      </c>
      <c r="G961" s="2" t="s">
        <v>2823</v>
      </c>
      <c r="H961" s="2" t="s">
        <v>1169</v>
      </c>
      <c r="I961" s="2" t="s">
        <v>2840</v>
      </c>
      <c r="J961" s="2" t="s">
        <v>1026</v>
      </c>
      <c r="K961" s="2" t="s">
        <v>1039</v>
      </c>
      <c r="L961" s="2" t="s">
        <v>1053</v>
      </c>
      <c r="M961" s="2" t="s">
        <v>1054</v>
      </c>
      <c r="N961" s="25" t="s">
        <v>2841</v>
      </c>
      <c r="O961" s="2" t="s">
        <v>2028</v>
      </c>
      <c r="P961" s="2" t="s">
        <v>41</v>
      </c>
      <c r="Q961" s="2" t="s">
        <v>199</v>
      </c>
      <c r="R961" s="2" t="s">
        <v>32</v>
      </c>
      <c r="S961" s="2" t="s">
        <v>33</v>
      </c>
      <c r="T961" s="2" t="s">
        <v>2848</v>
      </c>
      <c r="U961" s="2" t="s">
        <v>2845</v>
      </c>
    </row>
    <row r="962" spans="1:112" ht="204" x14ac:dyDescent="0.2">
      <c r="A962" s="25" t="s">
        <v>2853</v>
      </c>
      <c r="B962" s="2" t="s">
        <v>2854</v>
      </c>
      <c r="C962" s="2" t="s">
        <v>2854</v>
      </c>
      <c r="D962" s="1">
        <v>2</v>
      </c>
      <c r="E962" s="2" t="s">
        <v>23</v>
      </c>
      <c r="G962" s="2" t="s">
        <v>2823</v>
      </c>
      <c r="H962" s="2" t="s">
        <v>1169</v>
      </c>
      <c r="I962" s="2" t="s">
        <v>2840</v>
      </c>
      <c r="J962" s="2" t="s">
        <v>1026</v>
      </c>
      <c r="K962" s="2" t="s">
        <v>1039</v>
      </c>
      <c r="L962" s="2" t="s">
        <v>1058</v>
      </c>
      <c r="M962" s="2" t="s">
        <v>1059</v>
      </c>
      <c r="N962" s="25" t="s">
        <v>2841</v>
      </c>
      <c r="O962" s="2" t="s">
        <v>2028</v>
      </c>
      <c r="P962" s="2" t="s">
        <v>41</v>
      </c>
      <c r="Q962" s="2" t="s">
        <v>41</v>
      </c>
      <c r="R962" s="2" t="s">
        <v>32</v>
      </c>
      <c r="S962" s="2" t="s">
        <v>33</v>
      </c>
      <c r="T962" s="2" t="s">
        <v>2855</v>
      </c>
      <c r="U962" s="2" t="s">
        <v>4769</v>
      </c>
      <c r="V962" s="2" t="s">
        <v>4770</v>
      </c>
      <c r="W962" s="2" t="s">
        <v>4771</v>
      </c>
      <c r="X962" s="2" t="s">
        <v>4772</v>
      </c>
      <c r="Y962" s="2" t="s">
        <v>4773</v>
      </c>
      <c r="Z962" s="2" t="s">
        <v>4774</v>
      </c>
      <c r="AA962" s="2" t="s">
        <v>4775</v>
      </c>
      <c r="AB962" s="2" t="s">
        <v>4776</v>
      </c>
      <c r="AC962" s="2" t="s">
        <v>4777</v>
      </c>
      <c r="AD962" s="2" t="s">
        <v>4778</v>
      </c>
    </row>
    <row r="963" spans="1:112" ht="170" x14ac:dyDescent="0.2">
      <c r="A963" s="25" t="s">
        <v>2856</v>
      </c>
      <c r="B963" s="2" t="s">
        <v>2857</v>
      </c>
      <c r="C963" s="2" t="s">
        <v>2857</v>
      </c>
      <c r="D963" s="1">
        <v>2</v>
      </c>
      <c r="E963" s="2" t="s">
        <v>23</v>
      </c>
      <c r="F963" s="2" t="s">
        <v>2858</v>
      </c>
      <c r="G963" s="2" t="s">
        <v>2823</v>
      </c>
      <c r="H963" s="2" t="s">
        <v>2859</v>
      </c>
      <c r="I963" s="2" t="s">
        <v>2860</v>
      </c>
      <c r="J963" s="2" t="s">
        <v>1026</v>
      </c>
      <c r="K963" s="2" t="s">
        <v>1039</v>
      </c>
      <c r="L963" s="2" t="s">
        <v>2861</v>
      </c>
      <c r="M963" s="2" t="s">
        <v>2862</v>
      </c>
      <c r="N963" s="25" t="s">
        <v>2863</v>
      </c>
      <c r="O963" s="2" t="s">
        <v>2028</v>
      </c>
      <c r="P963" s="2" t="s">
        <v>68</v>
      </c>
      <c r="Q963" s="2" t="s">
        <v>41</v>
      </c>
      <c r="R963" s="2" t="s">
        <v>32</v>
      </c>
      <c r="S963" s="2" t="s">
        <v>33</v>
      </c>
      <c r="T963" s="2" t="s">
        <v>2864</v>
      </c>
      <c r="U963" s="2" t="s">
        <v>2865</v>
      </c>
    </row>
    <row r="964" spans="1:112" ht="102" x14ac:dyDescent="0.2">
      <c r="A964" s="25" t="s">
        <v>2866</v>
      </c>
      <c r="B964" s="2" t="s">
        <v>2867</v>
      </c>
      <c r="C964" s="2" t="s">
        <v>2867</v>
      </c>
      <c r="D964" s="1">
        <v>2</v>
      </c>
      <c r="E964" s="2" t="s">
        <v>23</v>
      </c>
      <c r="G964" s="2" t="s">
        <v>2823</v>
      </c>
      <c r="H964" s="2" t="s">
        <v>664</v>
      </c>
      <c r="I964" s="2" t="s">
        <v>2868</v>
      </c>
      <c r="J964" s="2" t="s">
        <v>469</v>
      </c>
      <c r="K964" s="2" t="s">
        <v>470</v>
      </c>
      <c r="L964" s="2" t="s">
        <v>471</v>
      </c>
      <c r="M964" s="2" t="s">
        <v>472</v>
      </c>
      <c r="N964" s="25" t="s">
        <v>2869</v>
      </c>
      <c r="O964" s="2" t="s">
        <v>472</v>
      </c>
      <c r="P964" s="2" t="s">
        <v>159</v>
      </c>
      <c r="Q964" s="2" t="s">
        <v>41</v>
      </c>
      <c r="R964" s="2" t="s">
        <v>32</v>
      </c>
      <c r="S964" s="2" t="s">
        <v>33</v>
      </c>
      <c r="T964" s="2" t="s">
        <v>2870</v>
      </c>
      <c r="U964" s="2" t="s">
        <v>4779</v>
      </c>
      <c r="V964" s="2" t="s">
        <v>4780</v>
      </c>
      <c r="W964" s="2" t="s">
        <v>4781</v>
      </c>
    </row>
    <row r="965" spans="1:112" ht="102" x14ac:dyDescent="0.2">
      <c r="A965" s="25" t="s">
        <v>2871</v>
      </c>
      <c r="B965" s="2" t="s">
        <v>2872</v>
      </c>
      <c r="C965" s="2" t="s">
        <v>2872</v>
      </c>
      <c r="D965" s="1">
        <v>2</v>
      </c>
      <c r="E965" s="2" t="s">
        <v>23</v>
      </c>
      <c r="G965" s="2" t="s">
        <v>2823</v>
      </c>
      <c r="H965" s="2" t="s">
        <v>664</v>
      </c>
      <c r="I965" s="2" t="s">
        <v>2868</v>
      </c>
      <c r="J965" s="2" t="s">
        <v>469</v>
      </c>
      <c r="K965" s="2" t="s">
        <v>470</v>
      </c>
      <c r="L965" s="2" t="s">
        <v>471</v>
      </c>
      <c r="M965" s="2" t="s">
        <v>472</v>
      </c>
      <c r="N965" s="25" t="s">
        <v>2869</v>
      </c>
      <c r="O965" s="2" t="s">
        <v>472</v>
      </c>
      <c r="P965" s="2" t="s">
        <v>159</v>
      </c>
      <c r="Q965" s="2" t="s">
        <v>199</v>
      </c>
      <c r="R965" s="2" t="s">
        <v>32</v>
      </c>
      <c r="S965" s="2" t="s">
        <v>33</v>
      </c>
      <c r="T965" s="2" t="s">
        <v>2870</v>
      </c>
      <c r="U965" s="2" t="s">
        <v>4779</v>
      </c>
      <c r="V965" s="2" t="s">
        <v>4780</v>
      </c>
      <c r="W965" s="2" t="s">
        <v>4781</v>
      </c>
    </row>
    <row r="966" spans="1:112" ht="119" x14ac:dyDescent="0.2">
      <c r="A966" s="25" t="s">
        <v>2873</v>
      </c>
      <c r="B966" s="2" t="s">
        <v>2874</v>
      </c>
      <c r="C966" s="2" t="s">
        <v>2875</v>
      </c>
      <c r="D966" s="1">
        <v>2</v>
      </c>
      <c r="E966" s="2" t="s">
        <v>61</v>
      </c>
      <c r="F966" s="2" t="s">
        <v>2876</v>
      </c>
      <c r="G966" s="2" t="s">
        <v>2735</v>
      </c>
      <c r="H966" s="2" t="s">
        <v>369</v>
      </c>
      <c r="I966" s="2" t="s">
        <v>1306</v>
      </c>
      <c r="J966" s="2" t="s">
        <v>469</v>
      </c>
      <c r="K966" s="2" t="s">
        <v>470</v>
      </c>
      <c r="L966" s="2" t="s">
        <v>1307</v>
      </c>
      <c r="M966" s="2" t="s">
        <v>1308</v>
      </c>
      <c r="N966" s="25" t="s">
        <v>2877</v>
      </c>
      <c r="O966" s="2" t="s">
        <v>854</v>
      </c>
      <c r="P966" s="2" t="s">
        <v>1782</v>
      </c>
      <c r="Q966" s="2" t="s">
        <v>41</v>
      </c>
      <c r="R966" s="2" t="s">
        <v>32</v>
      </c>
      <c r="S966" s="2" t="s">
        <v>33</v>
      </c>
      <c r="T966" s="2" t="s">
        <v>2878</v>
      </c>
      <c r="U966" s="2" t="s">
        <v>4782</v>
      </c>
      <c r="V966" s="2" t="s">
        <v>4783</v>
      </c>
    </row>
    <row r="967" spans="1:112" ht="119" x14ac:dyDescent="0.2">
      <c r="A967" s="25" t="s">
        <v>2879</v>
      </c>
      <c r="B967" s="2" t="s">
        <v>2880</v>
      </c>
      <c r="C967" s="2" t="s">
        <v>2880</v>
      </c>
      <c r="D967" s="1">
        <v>2</v>
      </c>
      <c r="E967" s="2" t="s">
        <v>61</v>
      </c>
      <c r="F967" s="2" t="s">
        <v>2876</v>
      </c>
      <c r="G967" s="2" t="s">
        <v>2735</v>
      </c>
      <c r="H967" s="2" t="s">
        <v>369</v>
      </c>
      <c r="I967" s="2" t="s">
        <v>1306</v>
      </c>
      <c r="J967" s="2" t="s">
        <v>469</v>
      </c>
      <c r="K967" s="2" t="s">
        <v>470</v>
      </c>
      <c r="L967" s="2" t="s">
        <v>1307</v>
      </c>
      <c r="M967" s="2" t="s">
        <v>1308</v>
      </c>
      <c r="N967" s="25" t="s">
        <v>2881</v>
      </c>
      <c r="O967" s="2" t="s">
        <v>854</v>
      </c>
      <c r="P967" s="2" t="s">
        <v>2326</v>
      </c>
      <c r="Q967" s="2" t="s">
        <v>41</v>
      </c>
      <c r="R967" s="2" t="s">
        <v>32</v>
      </c>
      <c r="S967" s="2" t="s">
        <v>33</v>
      </c>
      <c r="T967" s="2" t="s">
        <v>2882</v>
      </c>
      <c r="U967" s="2" t="s">
        <v>2883</v>
      </c>
    </row>
    <row r="968" spans="1:112" ht="119" x14ac:dyDescent="0.2">
      <c r="A968" s="25" t="s">
        <v>2884</v>
      </c>
      <c r="B968" s="2" t="s">
        <v>2885</v>
      </c>
      <c r="C968" s="2" t="s">
        <v>2885</v>
      </c>
      <c r="D968" s="1">
        <v>2</v>
      </c>
      <c r="E968" s="2" t="s">
        <v>61</v>
      </c>
      <c r="F968" s="2" t="s">
        <v>2876</v>
      </c>
      <c r="G968" s="2" t="s">
        <v>2735</v>
      </c>
      <c r="H968" s="2" t="s">
        <v>369</v>
      </c>
      <c r="I968" s="2" t="s">
        <v>1306</v>
      </c>
      <c r="J968" s="2" t="s">
        <v>469</v>
      </c>
      <c r="K968" s="2" t="s">
        <v>470</v>
      </c>
      <c r="L968" s="2" t="s">
        <v>1307</v>
      </c>
      <c r="M968" s="2" t="s">
        <v>1308</v>
      </c>
      <c r="N968" s="25" t="s">
        <v>2881</v>
      </c>
      <c r="O968" s="2" t="s">
        <v>854</v>
      </c>
      <c r="P968" s="2" t="s">
        <v>2326</v>
      </c>
      <c r="Q968" s="2" t="s">
        <v>199</v>
      </c>
      <c r="R968" s="2" t="s">
        <v>32</v>
      </c>
      <c r="S968" s="2" t="s">
        <v>33</v>
      </c>
      <c r="T968" s="2" t="s">
        <v>2882</v>
      </c>
      <c r="U968" s="2" t="s">
        <v>2883</v>
      </c>
    </row>
    <row r="969" spans="1:112" ht="204" x14ac:dyDescent="0.2">
      <c r="A969" s="25" t="s">
        <v>2886</v>
      </c>
      <c r="B969" s="2" t="s">
        <v>2887</v>
      </c>
      <c r="C969" s="2" t="s">
        <v>2887</v>
      </c>
      <c r="D969" s="1">
        <v>2</v>
      </c>
      <c r="E969" s="2" t="s">
        <v>153</v>
      </c>
      <c r="F969" s="2" t="s">
        <v>2888</v>
      </c>
      <c r="G969" s="2" t="s">
        <v>2735</v>
      </c>
      <c r="H969" s="2" t="s">
        <v>2257</v>
      </c>
      <c r="I969" s="2" t="s">
        <v>2258</v>
      </c>
      <c r="J969" s="2" t="s">
        <v>645</v>
      </c>
      <c r="K969" s="2" t="s">
        <v>646</v>
      </c>
      <c r="L969" s="2" t="s">
        <v>647</v>
      </c>
      <c r="M969" s="2" t="s">
        <v>648</v>
      </c>
      <c r="N969" s="25" t="s">
        <v>2889</v>
      </c>
      <c r="O969" s="2" t="s">
        <v>648</v>
      </c>
      <c r="P969" s="2" t="s">
        <v>564</v>
      </c>
      <c r="Q969" s="2" t="s">
        <v>41</v>
      </c>
      <c r="R969" s="2" t="s">
        <v>32</v>
      </c>
      <c r="S969" s="2" t="s">
        <v>33</v>
      </c>
      <c r="T969" s="2" t="s">
        <v>456</v>
      </c>
      <c r="U969" s="2" t="s">
        <v>4784</v>
      </c>
      <c r="V969" s="2" t="s">
        <v>4785</v>
      </c>
    </row>
    <row r="970" spans="1:112" ht="119" x14ac:dyDescent="0.2">
      <c r="A970" s="25" t="s">
        <v>2890</v>
      </c>
      <c r="B970" s="2" t="s">
        <v>2891</v>
      </c>
      <c r="C970" s="2" t="s">
        <v>2892</v>
      </c>
      <c r="D970" s="1">
        <v>2</v>
      </c>
      <c r="E970" s="2" t="s">
        <v>153</v>
      </c>
      <c r="F970" s="2" t="s">
        <v>2639</v>
      </c>
      <c r="G970" s="2" t="s">
        <v>1168</v>
      </c>
      <c r="H970" s="2" t="s">
        <v>2893</v>
      </c>
      <c r="I970" s="2" t="s">
        <v>1159</v>
      </c>
      <c r="J970" s="2" t="s">
        <v>469</v>
      </c>
      <c r="K970" s="2" t="s">
        <v>470</v>
      </c>
      <c r="L970" s="2" t="s">
        <v>1160</v>
      </c>
      <c r="M970" s="2" t="s">
        <v>1161</v>
      </c>
      <c r="N970" s="25" t="s">
        <v>1162</v>
      </c>
      <c r="O970" s="2" t="s">
        <v>1161</v>
      </c>
      <c r="P970" s="2" t="s">
        <v>30</v>
      </c>
      <c r="Q970" s="2" t="s">
        <v>30</v>
      </c>
      <c r="R970" s="2" t="s">
        <v>32</v>
      </c>
      <c r="S970" s="2" t="s">
        <v>33</v>
      </c>
      <c r="T970" s="2" t="s">
        <v>2894</v>
      </c>
      <c r="U970" s="2" t="s">
        <v>4025</v>
      </c>
      <c r="V970" s="2" t="s">
        <v>4026</v>
      </c>
      <c r="W970" s="2" t="s">
        <v>4027</v>
      </c>
    </row>
    <row r="971" spans="1:112" ht="102" x14ac:dyDescent="0.2">
      <c r="A971" s="25" t="s">
        <v>2895</v>
      </c>
      <c r="B971" s="2" t="s">
        <v>2896</v>
      </c>
      <c r="C971" s="2" t="s">
        <v>2896</v>
      </c>
      <c r="D971" s="1">
        <v>2</v>
      </c>
      <c r="E971" s="2" t="s">
        <v>23</v>
      </c>
      <c r="G971" s="2" t="s">
        <v>2735</v>
      </c>
      <c r="H971" s="2" t="s">
        <v>680</v>
      </c>
      <c r="I971" s="2" t="s">
        <v>2897</v>
      </c>
      <c r="J971" s="2" t="s">
        <v>469</v>
      </c>
      <c r="K971" s="2" t="s">
        <v>470</v>
      </c>
      <c r="L971" s="2" t="s">
        <v>1960</v>
      </c>
      <c r="M971" s="2" t="s">
        <v>1961</v>
      </c>
      <c r="N971" s="25" t="s">
        <v>2898</v>
      </c>
      <c r="O971" s="2" t="s">
        <v>1961</v>
      </c>
      <c r="P971" s="2" t="s">
        <v>40</v>
      </c>
      <c r="Q971" s="2" t="s">
        <v>41</v>
      </c>
      <c r="R971" s="2" t="s">
        <v>32</v>
      </c>
      <c r="S971" s="2" t="s">
        <v>33</v>
      </c>
      <c r="T971" s="2" t="s">
        <v>2899</v>
      </c>
      <c r="U971" s="2" t="s">
        <v>4786</v>
      </c>
      <c r="V971" s="2" t="s">
        <v>4787</v>
      </c>
      <c r="W971" s="2" t="s">
        <v>4788</v>
      </c>
      <c r="X971" s="2" t="s">
        <v>4789</v>
      </c>
      <c r="Y971" s="2" t="s">
        <v>4790</v>
      </c>
      <c r="Z971" s="2" t="s">
        <v>4791</v>
      </c>
      <c r="AA971" s="2" t="s">
        <v>4792</v>
      </c>
    </row>
    <row r="972" spans="1:112" ht="102" x14ac:dyDescent="0.2">
      <c r="A972" s="25" t="s">
        <v>2900</v>
      </c>
      <c r="B972" s="2" t="s">
        <v>2901</v>
      </c>
      <c r="C972" s="2" t="s">
        <v>2901</v>
      </c>
      <c r="D972" s="1">
        <v>2</v>
      </c>
      <c r="E972" s="2" t="s">
        <v>23</v>
      </c>
      <c r="G972" s="2" t="s">
        <v>2735</v>
      </c>
      <c r="H972" s="2" t="s">
        <v>680</v>
      </c>
      <c r="I972" s="2" t="s">
        <v>2897</v>
      </c>
      <c r="J972" s="2" t="s">
        <v>469</v>
      </c>
      <c r="K972" s="2" t="s">
        <v>470</v>
      </c>
      <c r="L972" s="2" t="s">
        <v>1960</v>
      </c>
      <c r="M972" s="2" t="s">
        <v>1961</v>
      </c>
      <c r="N972" s="25" t="s">
        <v>2902</v>
      </c>
      <c r="O972" s="2" t="s">
        <v>1961</v>
      </c>
      <c r="P972" s="2" t="s">
        <v>52</v>
      </c>
      <c r="Q972" s="2" t="s">
        <v>41</v>
      </c>
      <c r="R972" s="2" t="s">
        <v>32</v>
      </c>
      <c r="S972" s="2" t="s">
        <v>33</v>
      </c>
      <c r="T972" s="2" t="s">
        <v>2903</v>
      </c>
      <c r="U972" s="2" t="s">
        <v>4793</v>
      </c>
      <c r="V972" s="2" t="s">
        <v>4794</v>
      </c>
      <c r="W972" s="2" t="s">
        <v>4795</v>
      </c>
      <c r="X972" s="2" t="s">
        <v>4796</v>
      </c>
      <c r="Y972" s="2" t="s">
        <v>4797</v>
      </c>
      <c r="Z972" s="2" t="s">
        <v>4798</v>
      </c>
      <c r="AA972" s="2" t="s">
        <v>4799</v>
      </c>
      <c r="AB972" s="2" t="s">
        <v>4800</v>
      </c>
      <c r="AC972" s="2" t="s">
        <v>4801</v>
      </c>
      <c r="AD972" s="2" t="s">
        <v>4802</v>
      </c>
      <c r="AE972" s="2" t="s">
        <v>4803</v>
      </c>
      <c r="AF972" s="2" t="s">
        <v>4804</v>
      </c>
      <c r="AG972" s="2" t="s">
        <v>4805</v>
      </c>
      <c r="AH972" s="2" t="s">
        <v>4806</v>
      </c>
      <c r="AI972" s="2" t="s">
        <v>4807</v>
      </c>
      <c r="AJ972" s="2" t="s">
        <v>4808</v>
      </c>
      <c r="AK972" s="2" t="s">
        <v>4809</v>
      </c>
      <c r="AL972" s="2" t="s">
        <v>4810</v>
      </c>
    </row>
    <row r="973" spans="1:112" ht="119" x14ac:dyDescent="0.2">
      <c r="A973" s="25" t="s">
        <v>2904</v>
      </c>
      <c r="B973" s="2" t="s">
        <v>2905</v>
      </c>
      <c r="C973" s="2" t="s">
        <v>2905</v>
      </c>
      <c r="D973" s="1">
        <v>2</v>
      </c>
      <c r="E973" s="2" t="s">
        <v>61</v>
      </c>
      <c r="F973" s="2" t="s">
        <v>2906</v>
      </c>
      <c r="G973" s="2" t="s">
        <v>2735</v>
      </c>
      <c r="H973" s="2" t="s">
        <v>680</v>
      </c>
      <c r="I973" s="2" t="s">
        <v>1995</v>
      </c>
      <c r="J973" s="2" t="s">
        <v>27</v>
      </c>
      <c r="K973" s="2" t="s">
        <v>1121</v>
      </c>
      <c r="L973" s="2" t="s">
        <v>1996</v>
      </c>
      <c r="M973" s="2" t="s">
        <v>1997</v>
      </c>
      <c r="N973" s="25" t="s">
        <v>2907</v>
      </c>
      <c r="O973" s="2" t="s">
        <v>2145</v>
      </c>
      <c r="P973" s="2" t="s">
        <v>1068</v>
      </c>
      <c r="Q973" s="2" t="s">
        <v>41</v>
      </c>
      <c r="R973" s="2" t="s">
        <v>32</v>
      </c>
      <c r="S973" s="2" t="s">
        <v>33</v>
      </c>
      <c r="T973" s="2" t="s">
        <v>2908</v>
      </c>
      <c r="U973" s="2" t="s">
        <v>2909</v>
      </c>
    </row>
    <row r="974" spans="1:112" ht="119" x14ac:dyDescent="0.2">
      <c r="A974" s="25" t="s">
        <v>2910</v>
      </c>
      <c r="B974" s="2" t="s">
        <v>2911</v>
      </c>
      <c r="C974" s="2" t="s">
        <v>2911</v>
      </c>
      <c r="D974" s="1">
        <v>2</v>
      </c>
      <c r="E974" s="2" t="s">
        <v>61</v>
      </c>
      <c r="F974" s="2" t="s">
        <v>2912</v>
      </c>
      <c r="G974" s="2" t="s">
        <v>2735</v>
      </c>
      <c r="H974" s="2" t="s">
        <v>680</v>
      </c>
      <c r="I974" s="2" t="s">
        <v>1995</v>
      </c>
      <c r="J974" s="2" t="s">
        <v>27</v>
      </c>
      <c r="K974" s="2" t="s">
        <v>1121</v>
      </c>
      <c r="L974" s="2" t="s">
        <v>1996</v>
      </c>
      <c r="M974" s="2" t="s">
        <v>1997</v>
      </c>
      <c r="N974" s="25" t="s">
        <v>2907</v>
      </c>
      <c r="O974" s="2" t="s">
        <v>2145</v>
      </c>
      <c r="P974" s="2" t="s">
        <v>1068</v>
      </c>
      <c r="Q974" s="2" t="s">
        <v>199</v>
      </c>
      <c r="R974" s="2" t="s">
        <v>32</v>
      </c>
      <c r="S974" s="2" t="s">
        <v>33</v>
      </c>
      <c r="T974" s="2" t="s">
        <v>2908</v>
      </c>
      <c r="U974" s="2" t="s">
        <v>2909</v>
      </c>
    </row>
    <row r="975" spans="1:112" ht="51" x14ac:dyDescent="0.2">
      <c r="A975" s="26" t="s">
        <v>5487</v>
      </c>
      <c r="B975" s="7" t="s">
        <v>5488</v>
      </c>
      <c r="C975" s="2" t="s">
        <v>5489</v>
      </c>
      <c r="D975" s="1">
        <v>2</v>
      </c>
      <c r="E975" s="2" t="s">
        <v>61</v>
      </c>
      <c r="F975" s="2" t="s">
        <v>2912</v>
      </c>
      <c r="G975" s="2" t="s">
        <v>2946</v>
      </c>
      <c r="H975" s="2" t="s">
        <v>680</v>
      </c>
      <c r="I975" s="2" t="s">
        <v>2947</v>
      </c>
      <c r="J975" s="12" t="s">
        <v>27</v>
      </c>
      <c r="K975" s="12" t="s">
        <v>48</v>
      </c>
      <c r="L975" s="12" t="s">
        <v>1996</v>
      </c>
      <c r="M975" s="12" t="s">
        <v>1997</v>
      </c>
      <c r="N975" s="34" t="s">
        <v>2948</v>
      </c>
      <c r="O975" s="12" t="s">
        <v>183</v>
      </c>
      <c r="P975" s="12" t="s">
        <v>881</v>
      </c>
      <c r="Q975" s="12" t="s">
        <v>41</v>
      </c>
      <c r="R975" s="12" t="s">
        <v>32</v>
      </c>
      <c r="S975" s="12" t="s">
        <v>33</v>
      </c>
      <c r="T975" s="12" t="s">
        <v>2949</v>
      </c>
      <c r="U975" s="12" t="s">
        <v>5490</v>
      </c>
      <c r="V975" s="12" t="s">
        <v>5490</v>
      </c>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c r="DD975" s="12"/>
      <c r="DE975" s="12"/>
      <c r="DF975" s="12"/>
      <c r="DG975" s="12"/>
      <c r="DH975" s="12"/>
    </row>
    <row r="976" spans="1:112" ht="102" x14ac:dyDescent="0.2">
      <c r="A976" s="25" t="s">
        <v>2913</v>
      </c>
      <c r="B976" s="2" t="s">
        <v>2914</v>
      </c>
      <c r="C976" s="2" t="s">
        <v>2915</v>
      </c>
      <c r="D976" s="1">
        <v>2</v>
      </c>
      <c r="E976" s="2" t="s">
        <v>2916</v>
      </c>
      <c r="F976" s="2" t="s">
        <v>2917</v>
      </c>
      <c r="G976" s="2" t="s">
        <v>2735</v>
      </c>
      <c r="I976" s="2" t="s">
        <v>2918</v>
      </c>
      <c r="J976" s="2" t="s">
        <v>27</v>
      </c>
      <c r="K976" s="2" t="s">
        <v>64</v>
      </c>
      <c r="L976" s="2" t="s">
        <v>494</v>
      </c>
      <c r="M976" s="2" t="s">
        <v>495</v>
      </c>
      <c r="N976" s="25" t="s">
        <v>2919</v>
      </c>
      <c r="O976" s="2" t="s">
        <v>183</v>
      </c>
      <c r="P976" s="2" t="s">
        <v>441</v>
      </c>
      <c r="Q976" s="2" t="s">
        <v>41</v>
      </c>
      <c r="R976" s="2" t="s">
        <v>32</v>
      </c>
      <c r="S976" s="2" t="s">
        <v>33</v>
      </c>
      <c r="T976" s="2" t="s">
        <v>2920</v>
      </c>
      <c r="U976" s="2" t="s">
        <v>2921</v>
      </c>
    </row>
    <row r="977" spans="1:112" ht="102" x14ac:dyDescent="0.2">
      <c r="A977" s="25" t="s">
        <v>2922</v>
      </c>
      <c r="B977" s="2" t="s">
        <v>2923</v>
      </c>
      <c r="C977" s="2" t="s">
        <v>2924</v>
      </c>
      <c r="D977" s="1">
        <v>2</v>
      </c>
      <c r="E977" s="2" t="s">
        <v>2916</v>
      </c>
      <c r="F977" s="2" t="s">
        <v>2917</v>
      </c>
      <c r="G977" s="2" t="s">
        <v>2735</v>
      </c>
      <c r="I977" s="2" t="s">
        <v>2918</v>
      </c>
      <c r="J977" s="2" t="s">
        <v>27</v>
      </c>
      <c r="K977" s="2" t="s">
        <v>64</v>
      </c>
      <c r="L977" s="2" t="s">
        <v>494</v>
      </c>
      <c r="M977" s="2" t="s">
        <v>495</v>
      </c>
      <c r="N977" s="25" t="s">
        <v>2919</v>
      </c>
      <c r="O977" s="2" t="s">
        <v>183</v>
      </c>
      <c r="P977" s="2" t="s">
        <v>441</v>
      </c>
      <c r="Q977" s="2" t="s">
        <v>199</v>
      </c>
      <c r="R977" s="2" t="s">
        <v>32</v>
      </c>
      <c r="S977" s="2" t="s">
        <v>33</v>
      </c>
      <c r="T977" s="2" t="s">
        <v>2920</v>
      </c>
      <c r="U977" s="2" t="s">
        <v>2921</v>
      </c>
    </row>
    <row r="978" spans="1:112" ht="204" x14ac:dyDescent="0.2">
      <c r="A978" s="25" t="s">
        <v>2925</v>
      </c>
      <c r="B978" s="2" t="s">
        <v>2926</v>
      </c>
      <c r="C978" s="2" t="s">
        <v>2926</v>
      </c>
      <c r="D978" s="1">
        <v>2</v>
      </c>
      <c r="E978" s="2" t="s">
        <v>23</v>
      </c>
      <c r="G978" s="2" t="s">
        <v>2735</v>
      </c>
      <c r="H978" s="2" t="s">
        <v>369</v>
      </c>
      <c r="I978" s="2" t="s">
        <v>2927</v>
      </c>
      <c r="J978" s="2" t="s">
        <v>27</v>
      </c>
      <c r="K978" s="2" t="s">
        <v>64</v>
      </c>
      <c r="L978" s="2" t="s">
        <v>494</v>
      </c>
      <c r="M978" s="2" t="s">
        <v>495</v>
      </c>
      <c r="N978" s="25" t="s">
        <v>2928</v>
      </c>
      <c r="O978" s="2" t="s">
        <v>183</v>
      </c>
      <c r="P978" s="2" t="s">
        <v>227</v>
      </c>
      <c r="Q978" s="2" t="s">
        <v>41</v>
      </c>
      <c r="R978" s="2" t="s">
        <v>32</v>
      </c>
      <c r="S978" s="2" t="s">
        <v>33</v>
      </c>
      <c r="T978" s="2" t="s">
        <v>2929</v>
      </c>
      <c r="U978" s="2" t="s">
        <v>4811</v>
      </c>
      <c r="V978" s="2" t="s">
        <v>4812</v>
      </c>
    </row>
    <row r="979" spans="1:112" ht="204" x14ac:dyDescent="0.2">
      <c r="A979" s="26" t="s">
        <v>5491</v>
      </c>
      <c r="B979" s="7" t="s">
        <v>5492</v>
      </c>
      <c r="C979" s="2" t="s">
        <v>5492</v>
      </c>
      <c r="D979" s="1">
        <v>2</v>
      </c>
      <c r="E979" s="2" t="s">
        <v>23</v>
      </c>
      <c r="G979" s="2" t="s">
        <v>2735</v>
      </c>
      <c r="H979" s="2" t="s">
        <v>369</v>
      </c>
      <c r="I979" s="2" t="s">
        <v>2927</v>
      </c>
      <c r="J979" s="12" t="s">
        <v>27</v>
      </c>
      <c r="K979" s="12" t="s">
        <v>64</v>
      </c>
      <c r="L979" s="12" t="s">
        <v>494</v>
      </c>
      <c r="M979" s="12" t="s">
        <v>495</v>
      </c>
      <c r="N979" s="34" t="s">
        <v>2928</v>
      </c>
      <c r="O979" s="12" t="s">
        <v>183</v>
      </c>
      <c r="P979" s="12" t="s">
        <v>227</v>
      </c>
      <c r="Q979" s="12" t="s">
        <v>199</v>
      </c>
      <c r="R979" s="12" t="s">
        <v>32</v>
      </c>
      <c r="S979" s="12" t="s">
        <v>33</v>
      </c>
      <c r="T979" s="12" t="s">
        <v>2929</v>
      </c>
      <c r="U979" s="12" t="s">
        <v>5493</v>
      </c>
      <c r="V979" s="12" t="s">
        <v>5493</v>
      </c>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c r="CA979" s="12"/>
      <c r="CB979" s="12"/>
      <c r="CC979" s="12"/>
      <c r="CD979" s="12"/>
      <c r="CE979" s="12"/>
      <c r="CF979" s="12"/>
      <c r="CG979" s="12"/>
      <c r="CH979" s="12"/>
      <c r="CI979" s="12"/>
      <c r="CJ979" s="12"/>
      <c r="CK979" s="12"/>
      <c r="CL979" s="12"/>
      <c r="CM979" s="12"/>
      <c r="CN979" s="12"/>
      <c r="CO979" s="12"/>
      <c r="CP979" s="12"/>
      <c r="CQ979" s="12"/>
      <c r="CR979" s="12"/>
      <c r="CS979" s="12"/>
      <c r="CT979" s="12"/>
      <c r="CU979" s="12"/>
      <c r="CV979" s="12"/>
      <c r="CW979" s="12"/>
      <c r="CX979" s="12"/>
      <c r="CY979" s="12"/>
      <c r="CZ979" s="12"/>
      <c r="DA979" s="12"/>
      <c r="DB979" s="12"/>
      <c r="DC979" s="12"/>
      <c r="DD979" s="12"/>
      <c r="DE979" s="12"/>
      <c r="DF979" s="12"/>
      <c r="DG979" s="12"/>
      <c r="DH979" s="12"/>
    </row>
    <row r="980" spans="1:112" ht="204" x14ac:dyDescent="0.2">
      <c r="A980" s="25" t="s">
        <v>2930</v>
      </c>
      <c r="B980" s="2" t="s">
        <v>2931</v>
      </c>
      <c r="C980" s="2" t="s">
        <v>2932</v>
      </c>
      <c r="D980" s="1">
        <v>2</v>
      </c>
      <c r="E980" s="2" t="s">
        <v>23</v>
      </c>
      <c r="G980" s="2" t="s">
        <v>2735</v>
      </c>
      <c r="H980" s="2" t="s">
        <v>369</v>
      </c>
      <c r="I980" s="2" t="s">
        <v>2927</v>
      </c>
      <c r="J980" s="2" t="s">
        <v>27</v>
      </c>
      <c r="K980" s="2" t="s">
        <v>64</v>
      </c>
      <c r="L980" s="2" t="s">
        <v>494</v>
      </c>
      <c r="M980" s="2" t="s">
        <v>495</v>
      </c>
      <c r="N980" s="25" t="s">
        <v>2928</v>
      </c>
      <c r="O980" s="2" t="s">
        <v>183</v>
      </c>
      <c r="P980" s="2" t="s">
        <v>227</v>
      </c>
      <c r="Q980" s="2" t="s">
        <v>30</v>
      </c>
      <c r="R980" s="2" t="s">
        <v>32</v>
      </c>
      <c r="S980" s="2" t="s">
        <v>33</v>
      </c>
      <c r="T980" s="2" t="s">
        <v>2933</v>
      </c>
      <c r="U980" s="2" t="s">
        <v>4813</v>
      </c>
      <c r="V980" s="2" t="s">
        <v>4814</v>
      </c>
      <c r="W980" s="2" t="s">
        <v>4815</v>
      </c>
    </row>
    <row r="981" spans="1:112" ht="204" x14ac:dyDescent="0.2">
      <c r="A981" s="25" t="s">
        <v>2934</v>
      </c>
      <c r="B981" s="2" t="s">
        <v>2935</v>
      </c>
      <c r="C981" s="2" t="s">
        <v>2936</v>
      </c>
      <c r="D981" s="1">
        <v>2</v>
      </c>
      <c r="E981" s="2" t="s">
        <v>23</v>
      </c>
      <c r="G981" s="2" t="s">
        <v>2735</v>
      </c>
      <c r="H981" s="2" t="s">
        <v>369</v>
      </c>
      <c r="I981" s="2" t="s">
        <v>2927</v>
      </c>
      <c r="J981" s="2" t="s">
        <v>27</v>
      </c>
      <c r="K981" s="2" t="s">
        <v>64</v>
      </c>
      <c r="L981" s="2" t="s">
        <v>494</v>
      </c>
      <c r="M981" s="2" t="s">
        <v>495</v>
      </c>
      <c r="N981" s="25" t="s">
        <v>2928</v>
      </c>
      <c r="O981" s="2" t="s">
        <v>183</v>
      </c>
      <c r="P981" s="2" t="s">
        <v>227</v>
      </c>
      <c r="Q981" s="2" t="s">
        <v>403</v>
      </c>
      <c r="R981" s="2" t="s">
        <v>32</v>
      </c>
      <c r="S981" s="2" t="s">
        <v>33</v>
      </c>
      <c r="T981" s="2" t="s">
        <v>2933</v>
      </c>
      <c r="U981" s="2" t="s">
        <v>4813</v>
      </c>
      <c r="V981" s="2" t="s">
        <v>4814</v>
      </c>
      <c r="W981" s="2" t="s">
        <v>4815</v>
      </c>
    </row>
    <row r="982" spans="1:112" ht="204" x14ac:dyDescent="0.2">
      <c r="A982" s="25" t="s">
        <v>2937</v>
      </c>
      <c r="B982" s="2" t="s">
        <v>2938</v>
      </c>
      <c r="C982" s="2" t="s">
        <v>2939</v>
      </c>
      <c r="D982" s="1">
        <v>2</v>
      </c>
      <c r="E982" s="2" t="s">
        <v>23</v>
      </c>
      <c r="G982" s="2" t="s">
        <v>2735</v>
      </c>
      <c r="H982" s="2" t="s">
        <v>369</v>
      </c>
      <c r="I982" s="2" t="s">
        <v>2927</v>
      </c>
      <c r="J982" s="2" t="s">
        <v>27</v>
      </c>
      <c r="K982" s="2" t="s">
        <v>64</v>
      </c>
      <c r="L982" s="2" t="s">
        <v>494</v>
      </c>
      <c r="M982" s="2" t="s">
        <v>495</v>
      </c>
      <c r="N982" s="25" t="s">
        <v>2940</v>
      </c>
      <c r="O982" s="2" t="s">
        <v>183</v>
      </c>
      <c r="P982" s="2" t="s">
        <v>564</v>
      </c>
      <c r="Q982" s="2" t="s">
        <v>41</v>
      </c>
      <c r="R982" s="2" t="s">
        <v>32</v>
      </c>
      <c r="S982" s="2" t="s">
        <v>33</v>
      </c>
      <c r="T982" s="2" t="s">
        <v>2941</v>
      </c>
      <c r="U982" s="2" t="s">
        <v>2942</v>
      </c>
    </row>
    <row r="983" spans="1:112" ht="102" x14ac:dyDescent="0.2">
      <c r="A983" s="25" t="s">
        <v>2943</v>
      </c>
      <c r="B983" s="2" t="s">
        <v>2944</v>
      </c>
      <c r="C983" s="2" t="s">
        <v>2945</v>
      </c>
      <c r="D983" s="1">
        <v>2</v>
      </c>
      <c r="E983" s="2" t="s">
        <v>61</v>
      </c>
      <c r="F983" s="2" t="s">
        <v>2906</v>
      </c>
      <c r="G983" s="2" t="s">
        <v>2946</v>
      </c>
      <c r="H983" s="2" t="s">
        <v>680</v>
      </c>
      <c r="I983" s="2" t="s">
        <v>2947</v>
      </c>
      <c r="J983" s="2" t="s">
        <v>27</v>
      </c>
      <c r="K983" s="2" t="s">
        <v>1121</v>
      </c>
      <c r="L983" s="2" t="s">
        <v>2318</v>
      </c>
      <c r="M983" s="2" t="s">
        <v>2319</v>
      </c>
      <c r="N983" s="25" t="s">
        <v>2948</v>
      </c>
      <c r="O983" s="2" t="s">
        <v>183</v>
      </c>
      <c r="P983" s="2" t="s">
        <v>881</v>
      </c>
      <c r="Q983" s="2" t="s">
        <v>41</v>
      </c>
      <c r="R983" s="2" t="s">
        <v>32</v>
      </c>
      <c r="S983" s="2" t="s">
        <v>33</v>
      </c>
      <c r="T983" s="2" t="s">
        <v>2949</v>
      </c>
      <c r="U983" s="2" t="s">
        <v>4816</v>
      </c>
      <c r="V983" s="2" t="s">
        <v>4817</v>
      </c>
      <c r="W983" s="2" t="s">
        <v>4818</v>
      </c>
      <c r="X983" s="2" t="s">
        <v>4819</v>
      </c>
    </row>
    <row r="984" spans="1:112" ht="102" x14ac:dyDescent="0.2">
      <c r="A984" s="25" t="s">
        <v>2950</v>
      </c>
      <c r="B984" s="2" t="s">
        <v>2951</v>
      </c>
      <c r="C984" s="2" t="s">
        <v>2952</v>
      </c>
      <c r="D984" s="1">
        <v>2</v>
      </c>
      <c r="E984" s="2" t="s">
        <v>61</v>
      </c>
      <c r="F984" s="2" t="s">
        <v>2912</v>
      </c>
      <c r="G984" s="2" t="s">
        <v>2946</v>
      </c>
      <c r="H984" s="2" t="s">
        <v>680</v>
      </c>
      <c r="I984" s="2" t="s">
        <v>2947</v>
      </c>
      <c r="J984" s="2" t="s">
        <v>27</v>
      </c>
      <c r="K984" s="2" t="s">
        <v>1121</v>
      </c>
      <c r="L984" s="2" t="s">
        <v>2318</v>
      </c>
      <c r="M984" s="2" t="s">
        <v>2319</v>
      </c>
      <c r="N984" s="25" t="s">
        <v>2948</v>
      </c>
      <c r="O984" s="2" t="s">
        <v>183</v>
      </c>
      <c r="P984" s="2" t="s">
        <v>881</v>
      </c>
      <c r="Q984" s="2" t="s">
        <v>199</v>
      </c>
      <c r="R984" s="2" t="s">
        <v>32</v>
      </c>
      <c r="S984" s="2" t="s">
        <v>33</v>
      </c>
      <c r="T984" s="2" t="s">
        <v>2949</v>
      </c>
      <c r="U984" s="2" t="s">
        <v>4816</v>
      </c>
      <c r="V984" s="2" t="s">
        <v>4817</v>
      </c>
      <c r="W984" s="2" t="s">
        <v>4818</v>
      </c>
      <c r="X984" s="2" t="s">
        <v>4819</v>
      </c>
    </row>
    <row r="985" spans="1:112" ht="119" x14ac:dyDescent="0.2">
      <c r="A985" s="26" t="s">
        <v>5543</v>
      </c>
      <c r="B985" s="7" t="s">
        <v>5544</v>
      </c>
      <c r="C985" s="2" t="s">
        <v>5544</v>
      </c>
      <c r="D985" s="5">
        <v>2</v>
      </c>
      <c r="E985" s="6" t="s">
        <v>23</v>
      </c>
      <c r="F985" s="6" t="s">
        <v>6052</v>
      </c>
      <c r="G985" s="6" t="s">
        <v>2735</v>
      </c>
      <c r="H985" s="6"/>
      <c r="I985" s="6" t="s">
        <v>6053</v>
      </c>
      <c r="J985" s="12" t="s">
        <v>763</v>
      </c>
      <c r="K985" s="12" t="s">
        <v>764</v>
      </c>
      <c r="L985" s="12" t="s">
        <v>764</v>
      </c>
      <c r="M985" s="12" t="s">
        <v>765</v>
      </c>
      <c r="N985" s="34" t="s">
        <v>5545</v>
      </c>
      <c r="O985" s="12" t="s">
        <v>767</v>
      </c>
      <c r="P985" s="12" t="s">
        <v>30</v>
      </c>
      <c r="Q985" s="12" t="s">
        <v>41</v>
      </c>
      <c r="R985" s="12" t="s">
        <v>32</v>
      </c>
      <c r="S985" s="12" t="s">
        <v>33</v>
      </c>
      <c r="T985" s="12" t="s">
        <v>5546</v>
      </c>
      <c r="U985" s="12" t="s">
        <v>5547</v>
      </c>
      <c r="V985" s="12" t="s">
        <v>5547</v>
      </c>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c r="DD985" s="12"/>
      <c r="DE985" s="12"/>
      <c r="DF985" s="12"/>
      <c r="DG985" s="12"/>
      <c r="DH985" s="12"/>
    </row>
    <row r="986" spans="1:112" ht="85" x14ac:dyDescent="0.2">
      <c r="A986" s="25" t="s">
        <v>2953</v>
      </c>
      <c r="B986" s="2" t="s">
        <v>2954</v>
      </c>
      <c r="C986" s="2" t="s">
        <v>2954</v>
      </c>
      <c r="D986" s="1">
        <v>2</v>
      </c>
      <c r="E986" s="2" t="s">
        <v>23</v>
      </c>
      <c r="G986" s="2" t="s">
        <v>2735</v>
      </c>
      <c r="H986" s="2" t="s">
        <v>369</v>
      </c>
      <c r="I986" s="2" t="s">
        <v>6804</v>
      </c>
      <c r="J986" s="2" t="s">
        <v>763</v>
      </c>
      <c r="K986" s="2" t="s">
        <v>859</v>
      </c>
      <c r="L986" s="2" t="s">
        <v>2561</v>
      </c>
      <c r="M986" s="2" t="s">
        <v>2562</v>
      </c>
      <c r="N986" s="25" t="s">
        <v>2955</v>
      </c>
      <c r="O986" s="2" t="s">
        <v>767</v>
      </c>
      <c r="P986" s="2" t="s">
        <v>1551</v>
      </c>
      <c r="Q986" s="2" t="s">
        <v>41</v>
      </c>
      <c r="R986" s="2" t="s">
        <v>32</v>
      </c>
      <c r="S986" s="2" t="s">
        <v>33</v>
      </c>
      <c r="T986" s="2" t="s">
        <v>850</v>
      </c>
      <c r="U986" s="2" t="s">
        <v>4820</v>
      </c>
      <c r="V986" s="2" t="s">
        <v>4821</v>
      </c>
    </row>
    <row r="987" spans="1:112" ht="85" x14ac:dyDescent="0.2">
      <c r="A987" s="25" t="s">
        <v>2956</v>
      </c>
      <c r="B987" s="2" t="s">
        <v>2957</v>
      </c>
      <c r="C987" s="2" t="s">
        <v>2957</v>
      </c>
      <c r="D987" s="1">
        <v>2</v>
      </c>
      <c r="E987" s="2" t="s">
        <v>23</v>
      </c>
      <c r="G987" s="2" t="s">
        <v>2735</v>
      </c>
      <c r="H987" s="2" t="s">
        <v>369</v>
      </c>
      <c r="I987" s="2" t="s">
        <v>6804</v>
      </c>
      <c r="J987" s="2" t="s">
        <v>763</v>
      </c>
      <c r="K987" s="2" t="s">
        <v>859</v>
      </c>
      <c r="L987" s="2" t="s">
        <v>2561</v>
      </c>
      <c r="M987" s="2" t="s">
        <v>2562</v>
      </c>
      <c r="N987" s="25" t="s">
        <v>2955</v>
      </c>
      <c r="O987" s="2" t="s">
        <v>767</v>
      </c>
      <c r="P987" s="2" t="s">
        <v>1551</v>
      </c>
      <c r="Q987" s="2" t="s">
        <v>199</v>
      </c>
      <c r="R987" s="2" t="s">
        <v>32</v>
      </c>
      <c r="S987" s="2" t="s">
        <v>33</v>
      </c>
      <c r="T987" s="2" t="s">
        <v>850</v>
      </c>
      <c r="U987" s="2" t="s">
        <v>4820</v>
      </c>
      <c r="V987" s="2" t="s">
        <v>4821</v>
      </c>
    </row>
    <row r="988" spans="1:112" ht="102" x14ac:dyDescent="0.2">
      <c r="A988" s="25" t="s">
        <v>2958</v>
      </c>
      <c r="B988" s="2" t="s">
        <v>2959</v>
      </c>
      <c r="C988" s="2" t="s">
        <v>2959</v>
      </c>
      <c r="D988" s="1">
        <v>2</v>
      </c>
      <c r="E988" s="2" t="s">
        <v>23</v>
      </c>
      <c r="G988" s="2" t="s">
        <v>2735</v>
      </c>
      <c r="H988" s="2" t="s">
        <v>369</v>
      </c>
      <c r="I988" s="2" t="s">
        <v>858</v>
      </c>
      <c r="J988" s="2" t="s">
        <v>763</v>
      </c>
      <c r="K988" s="2" t="s">
        <v>859</v>
      </c>
      <c r="L988" s="2" t="s">
        <v>2561</v>
      </c>
      <c r="M988" s="2" t="s">
        <v>2562</v>
      </c>
      <c r="N988" s="25" t="s">
        <v>2960</v>
      </c>
      <c r="O988" s="2" t="s">
        <v>767</v>
      </c>
      <c r="P988" s="2" t="s">
        <v>711</v>
      </c>
      <c r="Q988" s="2" t="s">
        <v>41</v>
      </c>
      <c r="R988" s="2" t="s">
        <v>32</v>
      </c>
      <c r="S988" s="2" t="s">
        <v>33</v>
      </c>
      <c r="T988" s="2" t="s">
        <v>2335</v>
      </c>
      <c r="U988" s="2" t="s">
        <v>2961</v>
      </c>
    </row>
    <row r="989" spans="1:112" ht="102" x14ac:dyDescent="0.2">
      <c r="A989" s="25" t="s">
        <v>2962</v>
      </c>
      <c r="B989" s="2" t="s">
        <v>2963</v>
      </c>
      <c r="C989" s="2" t="s">
        <v>2963</v>
      </c>
      <c r="D989" s="1">
        <v>2</v>
      </c>
      <c r="E989" s="2" t="s">
        <v>23</v>
      </c>
      <c r="G989" s="2" t="s">
        <v>2735</v>
      </c>
      <c r="H989" s="2" t="s">
        <v>369</v>
      </c>
      <c r="I989" s="2" t="s">
        <v>858</v>
      </c>
      <c r="J989" s="2" t="s">
        <v>763</v>
      </c>
      <c r="K989" s="2" t="s">
        <v>859</v>
      </c>
      <c r="L989" s="2" t="s">
        <v>2561</v>
      </c>
      <c r="M989" s="2" t="s">
        <v>2562</v>
      </c>
      <c r="N989" s="25" t="s">
        <v>2960</v>
      </c>
      <c r="O989" s="2" t="s">
        <v>767</v>
      </c>
      <c r="P989" s="2" t="s">
        <v>711</v>
      </c>
      <c r="Q989" s="2" t="s">
        <v>199</v>
      </c>
      <c r="R989" s="2" t="s">
        <v>32</v>
      </c>
      <c r="S989" s="2" t="s">
        <v>33</v>
      </c>
      <c r="T989" s="2" t="s">
        <v>2335</v>
      </c>
      <c r="U989" s="2" t="s">
        <v>2961</v>
      </c>
    </row>
    <row r="990" spans="1:112" ht="102" x14ac:dyDescent="0.2">
      <c r="A990" s="26" t="s">
        <v>5655</v>
      </c>
      <c r="B990" s="7" t="s">
        <v>5656</v>
      </c>
      <c r="C990" s="2" t="s">
        <v>5656</v>
      </c>
      <c r="D990" s="1">
        <v>2</v>
      </c>
      <c r="E990" s="2" t="s">
        <v>23</v>
      </c>
      <c r="G990" s="2" t="s">
        <v>2735</v>
      </c>
      <c r="H990" s="2" t="s">
        <v>369</v>
      </c>
      <c r="I990" s="2" t="s">
        <v>858</v>
      </c>
      <c r="J990" s="12" t="s">
        <v>763</v>
      </c>
      <c r="K990" s="12" t="s">
        <v>859</v>
      </c>
      <c r="L990" s="12" t="s">
        <v>2561</v>
      </c>
      <c r="M990" s="12" t="s">
        <v>2562</v>
      </c>
      <c r="N990" s="34" t="s">
        <v>5657</v>
      </c>
      <c r="O990" s="12" t="s">
        <v>767</v>
      </c>
      <c r="P990" s="12" t="s">
        <v>703</v>
      </c>
      <c r="Q990" s="12" t="s">
        <v>41</v>
      </c>
      <c r="R990" s="12" t="s">
        <v>32</v>
      </c>
      <c r="S990" s="12" t="s">
        <v>33</v>
      </c>
      <c r="T990" s="12" t="s">
        <v>5658</v>
      </c>
      <c r="U990" s="12" t="s">
        <v>5659</v>
      </c>
      <c r="V990" s="12" t="s">
        <v>5659</v>
      </c>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c r="CA990" s="12"/>
      <c r="CB990" s="12"/>
      <c r="CC990" s="12"/>
      <c r="CD990" s="12"/>
      <c r="CE990" s="12"/>
      <c r="CF990" s="12"/>
      <c r="CG990" s="12"/>
      <c r="CH990" s="12"/>
      <c r="CI990" s="12"/>
      <c r="CJ990" s="12"/>
      <c r="CK990" s="12"/>
      <c r="CL990" s="12"/>
      <c r="CM990" s="12"/>
      <c r="CN990" s="12"/>
      <c r="CO990" s="12"/>
      <c r="CP990" s="12"/>
      <c r="CQ990" s="12"/>
      <c r="CR990" s="12"/>
      <c r="CS990" s="12"/>
      <c r="CT990" s="12"/>
      <c r="CU990" s="12"/>
      <c r="CV990" s="12"/>
      <c r="CW990" s="12"/>
      <c r="CX990" s="12"/>
      <c r="CY990" s="12"/>
      <c r="CZ990" s="12"/>
      <c r="DA990" s="12"/>
      <c r="DB990" s="12"/>
      <c r="DC990" s="12"/>
      <c r="DD990" s="12"/>
      <c r="DE990" s="12"/>
      <c r="DF990" s="12"/>
      <c r="DG990" s="12"/>
      <c r="DH990" s="12"/>
    </row>
    <row r="991" spans="1:112" ht="102" x14ac:dyDescent="0.2">
      <c r="A991" s="25" t="s">
        <v>2964</v>
      </c>
      <c r="B991" s="2" t="s">
        <v>2965</v>
      </c>
      <c r="C991" s="2" t="s">
        <v>2965</v>
      </c>
      <c r="D991" s="1">
        <v>2</v>
      </c>
      <c r="E991" s="2" t="s">
        <v>23</v>
      </c>
      <c r="G991" s="2" t="s">
        <v>2735</v>
      </c>
      <c r="H991" s="2" t="s">
        <v>369</v>
      </c>
      <c r="I991" s="2" t="s">
        <v>858</v>
      </c>
      <c r="J991" s="2" t="s">
        <v>763</v>
      </c>
      <c r="K991" s="2" t="s">
        <v>859</v>
      </c>
      <c r="L991" s="2" t="s">
        <v>2561</v>
      </c>
      <c r="M991" s="2" t="s">
        <v>2562</v>
      </c>
      <c r="N991" s="25" t="s">
        <v>2966</v>
      </c>
      <c r="O991" s="2" t="s">
        <v>767</v>
      </c>
      <c r="P991" s="2" t="s">
        <v>1317</v>
      </c>
      <c r="Q991" s="2" t="s">
        <v>41</v>
      </c>
      <c r="R991" s="2" t="s">
        <v>32</v>
      </c>
      <c r="S991" s="2" t="s">
        <v>33</v>
      </c>
      <c r="T991" s="2" t="s">
        <v>850</v>
      </c>
      <c r="U991" s="2" t="s">
        <v>4822</v>
      </c>
      <c r="V991" s="2" t="s">
        <v>4823</v>
      </c>
    </row>
    <row r="992" spans="1:112" ht="102" x14ac:dyDescent="0.2">
      <c r="A992" s="25" t="s">
        <v>2967</v>
      </c>
      <c r="B992" s="2" t="s">
        <v>2968</v>
      </c>
      <c r="C992" s="2" t="s">
        <v>2968</v>
      </c>
      <c r="D992" s="1">
        <v>2</v>
      </c>
      <c r="E992" s="2" t="s">
        <v>23</v>
      </c>
      <c r="G992" s="2" t="s">
        <v>2735</v>
      </c>
      <c r="H992" s="2" t="s">
        <v>369</v>
      </c>
      <c r="I992" s="2" t="s">
        <v>858</v>
      </c>
      <c r="J992" s="2" t="s">
        <v>763</v>
      </c>
      <c r="K992" s="2" t="s">
        <v>859</v>
      </c>
      <c r="L992" s="2" t="s">
        <v>2561</v>
      </c>
      <c r="M992" s="2" t="s">
        <v>2562</v>
      </c>
      <c r="N992" s="25" t="s">
        <v>2969</v>
      </c>
      <c r="O992" s="2" t="s">
        <v>848</v>
      </c>
      <c r="P992" s="2" t="s">
        <v>881</v>
      </c>
      <c r="Q992" s="2" t="s">
        <v>41</v>
      </c>
      <c r="R992" s="2" t="s">
        <v>32</v>
      </c>
      <c r="S992" s="2" t="s">
        <v>33</v>
      </c>
      <c r="T992" s="2" t="s">
        <v>2970</v>
      </c>
      <c r="U992" s="2" t="s">
        <v>2971</v>
      </c>
    </row>
    <row r="993" spans="1:112" ht="102" x14ac:dyDescent="0.2">
      <c r="A993" s="25" t="s">
        <v>2972</v>
      </c>
      <c r="B993" s="2" t="s">
        <v>2973</v>
      </c>
      <c r="C993" s="2" t="s">
        <v>2973</v>
      </c>
      <c r="D993" s="1">
        <v>2</v>
      </c>
      <c r="E993" s="2" t="s">
        <v>23</v>
      </c>
      <c r="G993" s="2" t="s">
        <v>2735</v>
      </c>
      <c r="H993" s="2" t="s">
        <v>369</v>
      </c>
      <c r="I993" s="2" t="s">
        <v>858</v>
      </c>
      <c r="J993" s="2" t="s">
        <v>763</v>
      </c>
      <c r="K993" s="2" t="s">
        <v>859</v>
      </c>
      <c r="L993" s="2" t="s">
        <v>2561</v>
      </c>
      <c r="M993" s="2" t="s">
        <v>2562</v>
      </c>
      <c r="N993" s="25" t="s">
        <v>2969</v>
      </c>
      <c r="O993" s="2" t="s">
        <v>848</v>
      </c>
      <c r="P993" s="2" t="s">
        <v>881</v>
      </c>
      <c r="Q993" s="2" t="s">
        <v>199</v>
      </c>
      <c r="R993" s="2" t="s">
        <v>32</v>
      </c>
      <c r="S993" s="2" t="s">
        <v>33</v>
      </c>
      <c r="T993" s="2" t="s">
        <v>2974</v>
      </c>
      <c r="U993" s="2" t="s">
        <v>2975</v>
      </c>
    </row>
    <row r="994" spans="1:112" ht="102" x14ac:dyDescent="0.2">
      <c r="A994" s="25" t="s">
        <v>2976</v>
      </c>
      <c r="B994" s="2" t="s">
        <v>2977</v>
      </c>
      <c r="C994" s="2" t="s">
        <v>2977</v>
      </c>
      <c r="D994" s="1">
        <v>2</v>
      </c>
      <c r="E994" s="2" t="s">
        <v>23</v>
      </c>
      <c r="G994" s="2" t="s">
        <v>2735</v>
      </c>
      <c r="H994" s="2" t="s">
        <v>369</v>
      </c>
      <c r="I994" s="2" t="s">
        <v>858</v>
      </c>
      <c r="J994" s="2" t="s">
        <v>763</v>
      </c>
      <c r="K994" s="2" t="s">
        <v>859</v>
      </c>
      <c r="L994" s="2" t="s">
        <v>2978</v>
      </c>
      <c r="M994" s="2" t="s">
        <v>2979</v>
      </c>
      <c r="N994" s="25" t="s">
        <v>2980</v>
      </c>
      <c r="O994" s="2" t="s">
        <v>767</v>
      </c>
      <c r="P994" s="2" t="s">
        <v>854</v>
      </c>
      <c r="Q994" s="2" t="s">
        <v>41</v>
      </c>
      <c r="R994" s="2" t="s">
        <v>32</v>
      </c>
      <c r="S994" s="2" t="s">
        <v>33</v>
      </c>
      <c r="T994" s="2" t="s">
        <v>850</v>
      </c>
      <c r="U994" s="2" t="s">
        <v>4824</v>
      </c>
      <c r="V994" s="2" t="s">
        <v>4825</v>
      </c>
      <c r="W994" s="2" t="s">
        <v>4826</v>
      </c>
      <c r="X994" s="2" t="s">
        <v>4827</v>
      </c>
      <c r="Y994" s="2" t="s">
        <v>4828</v>
      </c>
    </row>
    <row r="995" spans="1:112" ht="102" x14ac:dyDescent="0.2">
      <c r="A995" s="25" t="s">
        <v>2981</v>
      </c>
      <c r="B995" s="2" t="s">
        <v>2982</v>
      </c>
      <c r="C995" s="2" t="s">
        <v>2982</v>
      </c>
      <c r="D995" s="1">
        <v>2</v>
      </c>
      <c r="E995" s="2" t="s">
        <v>23</v>
      </c>
      <c r="G995" s="2" t="s">
        <v>2735</v>
      </c>
      <c r="H995" s="2" t="s">
        <v>369</v>
      </c>
      <c r="I995" s="2" t="s">
        <v>858</v>
      </c>
      <c r="J995" s="2" t="s">
        <v>763</v>
      </c>
      <c r="K995" s="2" t="s">
        <v>859</v>
      </c>
      <c r="L995" s="2" t="s">
        <v>2978</v>
      </c>
      <c r="M995" s="2" t="s">
        <v>2979</v>
      </c>
      <c r="N995" s="25" t="s">
        <v>2980</v>
      </c>
      <c r="O995" s="2" t="s">
        <v>767</v>
      </c>
      <c r="P995" s="2" t="s">
        <v>854</v>
      </c>
      <c r="Q995" s="2" t="s">
        <v>199</v>
      </c>
      <c r="R995" s="2" t="s">
        <v>32</v>
      </c>
      <c r="S995" s="2" t="s">
        <v>33</v>
      </c>
      <c r="T995" s="2" t="s">
        <v>850</v>
      </c>
      <c r="U995" s="2" t="s">
        <v>4824</v>
      </c>
      <c r="V995" s="2" t="s">
        <v>4825</v>
      </c>
      <c r="W995" s="2" t="s">
        <v>4826</v>
      </c>
      <c r="X995" s="2" t="s">
        <v>4827</v>
      </c>
      <c r="Y995" s="2" t="s">
        <v>4828</v>
      </c>
    </row>
    <row r="996" spans="1:112" ht="102" x14ac:dyDescent="0.2">
      <c r="A996" s="26" t="s">
        <v>5701</v>
      </c>
      <c r="B996" s="7" t="s">
        <v>5702</v>
      </c>
      <c r="C996" s="2" t="s">
        <v>5702</v>
      </c>
      <c r="D996" s="5">
        <v>2</v>
      </c>
      <c r="E996" s="6" t="s">
        <v>23</v>
      </c>
      <c r="F996" s="6"/>
      <c r="G996" s="6" t="s">
        <v>2520</v>
      </c>
      <c r="H996" s="6" t="s">
        <v>1169</v>
      </c>
      <c r="I996" s="6" t="s">
        <v>6059</v>
      </c>
      <c r="J996" s="12" t="s">
        <v>469</v>
      </c>
      <c r="K996" s="12" t="s">
        <v>470</v>
      </c>
      <c r="L996" s="12" t="s">
        <v>1262</v>
      </c>
      <c r="M996" s="12" t="s">
        <v>1094</v>
      </c>
      <c r="N996" s="34" t="s">
        <v>5703</v>
      </c>
      <c r="O996" s="12" t="s">
        <v>5704</v>
      </c>
      <c r="P996" s="12" t="s">
        <v>183</v>
      </c>
      <c r="Q996" s="12" t="s">
        <v>41</v>
      </c>
      <c r="R996" s="12" t="s">
        <v>32</v>
      </c>
      <c r="S996" s="12" t="s">
        <v>33</v>
      </c>
      <c r="T996" s="12" t="s">
        <v>5705</v>
      </c>
      <c r="U996" s="12" t="s">
        <v>5706</v>
      </c>
      <c r="V996" s="12" t="s">
        <v>5706</v>
      </c>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c r="CA996" s="12"/>
      <c r="CB996" s="12"/>
      <c r="CC996" s="12"/>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c r="DD996" s="12"/>
      <c r="DE996" s="12"/>
      <c r="DF996" s="12"/>
      <c r="DG996" s="12"/>
      <c r="DH996" s="12"/>
    </row>
    <row r="997" spans="1:112" ht="119" x14ac:dyDescent="0.2">
      <c r="A997" s="25" t="s">
        <v>2983</v>
      </c>
      <c r="B997" s="2" t="s">
        <v>2984</v>
      </c>
      <c r="C997" s="2" t="s">
        <v>2984</v>
      </c>
      <c r="D997" s="1">
        <v>2</v>
      </c>
      <c r="E997" s="2" t="s">
        <v>61</v>
      </c>
      <c r="F997" s="2" t="s">
        <v>2985</v>
      </c>
      <c r="G997" s="2" t="s">
        <v>2735</v>
      </c>
      <c r="H997" s="2" t="s">
        <v>2986</v>
      </c>
      <c r="I997" s="2" t="s">
        <v>2987</v>
      </c>
      <c r="J997" s="2" t="s">
        <v>469</v>
      </c>
      <c r="K997" s="2" t="s">
        <v>470</v>
      </c>
      <c r="L997" s="2" t="s">
        <v>1262</v>
      </c>
      <c r="M997" s="2">
        <v>99</v>
      </c>
      <c r="N997" s="25" t="s">
        <v>2988</v>
      </c>
      <c r="O997" s="2">
        <v>91</v>
      </c>
      <c r="P997" s="2">
        <v>14</v>
      </c>
      <c r="Q997" s="2">
        <v>0</v>
      </c>
      <c r="R997" s="2" t="s">
        <v>32</v>
      </c>
      <c r="S997" s="2" t="s">
        <v>33</v>
      </c>
      <c r="T997" s="2" t="s">
        <v>2989</v>
      </c>
      <c r="U997" s="2" t="s">
        <v>2990</v>
      </c>
    </row>
    <row r="998" spans="1:112" ht="85" x14ac:dyDescent="0.2">
      <c r="A998" s="26" t="s">
        <v>5718</v>
      </c>
      <c r="B998" s="7" t="s">
        <v>5719</v>
      </c>
      <c r="C998" s="2" t="s">
        <v>5719</v>
      </c>
      <c r="D998" s="1">
        <v>2</v>
      </c>
      <c r="E998" s="2" t="s">
        <v>23</v>
      </c>
      <c r="G998" s="2" t="s">
        <v>2735</v>
      </c>
      <c r="H998" s="2" t="s">
        <v>2453</v>
      </c>
      <c r="I998" s="2" t="s">
        <v>3034</v>
      </c>
      <c r="J998" s="12" t="s">
        <v>469</v>
      </c>
      <c r="K998" s="12" t="s">
        <v>470</v>
      </c>
      <c r="L998" s="12" t="s">
        <v>1262</v>
      </c>
      <c r="M998" s="12" t="s">
        <v>1094</v>
      </c>
      <c r="N998" s="34" t="s">
        <v>5720</v>
      </c>
      <c r="O998" s="12" t="s">
        <v>1371</v>
      </c>
      <c r="P998" s="12" t="s">
        <v>30</v>
      </c>
      <c r="Q998" s="12" t="s">
        <v>41</v>
      </c>
      <c r="R998" s="12"/>
      <c r="S998" s="12" t="s">
        <v>33</v>
      </c>
      <c r="T998" s="12" t="s">
        <v>5721</v>
      </c>
      <c r="U998" s="12" t="s">
        <v>5722</v>
      </c>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c r="CA998" s="12"/>
      <c r="CB998" s="12"/>
      <c r="CC998" s="12"/>
      <c r="CD998" s="12"/>
      <c r="CE998" s="12"/>
      <c r="CF998" s="12"/>
      <c r="CG998" s="12"/>
      <c r="CH998" s="12"/>
      <c r="CI998" s="12"/>
      <c r="CJ998" s="12"/>
      <c r="CK998" s="12"/>
      <c r="CL998" s="12"/>
      <c r="CM998" s="12"/>
      <c r="CN998" s="12"/>
      <c r="CO998" s="12"/>
      <c r="CP998" s="12"/>
      <c r="CQ998" s="12"/>
      <c r="CR998" s="12"/>
      <c r="CS998" s="12"/>
      <c r="CT998" s="12"/>
      <c r="CU998" s="12"/>
      <c r="CV998" s="12"/>
      <c r="CW998" s="12"/>
      <c r="CX998" s="12"/>
      <c r="CY998" s="12"/>
      <c r="CZ998" s="12"/>
      <c r="DA998" s="12"/>
      <c r="DB998" s="12"/>
      <c r="DC998" s="12"/>
      <c r="DD998" s="12"/>
      <c r="DE998" s="12"/>
      <c r="DF998" s="12"/>
      <c r="DG998" s="12"/>
      <c r="DH998" s="12"/>
    </row>
    <row r="999" spans="1:112" ht="102" x14ac:dyDescent="0.2">
      <c r="A999" s="25" t="s">
        <v>2991</v>
      </c>
      <c r="B999" s="2" t="s">
        <v>2992</v>
      </c>
      <c r="C999" s="2" t="s">
        <v>2992</v>
      </c>
      <c r="D999" s="1">
        <v>2</v>
      </c>
      <c r="E999" s="2" t="s">
        <v>61</v>
      </c>
      <c r="F999" s="2" t="s">
        <v>2779</v>
      </c>
      <c r="G999" s="2" t="s">
        <v>2735</v>
      </c>
      <c r="H999" s="2" t="s">
        <v>2993</v>
      </c>
      <c r="I999" s="2" t="s">
        <v>2994</v>
      </c>
      <c r="J999" s="2" t="s">
        <v>469</v>
      </c>
      <c r="K999" s="2" t="s">
        <v>470</v>
      </c>
      <c r="L999" s="2" t="s">
        <v>1262</v>
      </c>
      <c r="M999" s="2">
        <v>99</v>
      </c>
      <c r="N999" s="25" t="s">
        <v>2995</v>
      </c>
      <c r="O999" s="2">
        <v>99</v>
      </c>
      <c r="P999" s="2">
        <v>56</v>
      </c>
      <c r="Q999" s="2">
        <v>0</v>
      </c>
      <c r="R999" s="2" t="s">
        <v>32</v>
      </c>
      <c r="S999" s="2" t="s">
        <v>33</v>
      </c>
      <c r="T999" s="2" t="s">
        <v>2996</v>
      </c>
      <c r="U999" s="2" t="s">
        <v>4829</v>
      </c>
      <c r="V999" s="2" t="s">
        <v>4830</v>
      </c>
    </row>
    <row r="1000" spans="1:112" ht="68" x14ac:dyDescent="0.2">
      <c r="A1000" s="25" t="s">
        <v>2997</v>
      </c>
      <c r="B1000" s="2" t="s">
        <v>2998</v>
      </c>
      <c r="C1000" s="2" t="s">
        <v>2998</v>
      </c>
      <c r="D1000" s="1">
        <v>2</v>
      </c>
      <c r="E1000" s="2" t="s">
        <v>61</v>
      </c>
      <c r="F1000" s="2" t="s">
        <v>2779</v>
      </c>
      <c r="G1000" s="2" t="s">
        <v>2735</v>
      </c>
      <c r="H1000" s="2" t="s">
        <v>2999</v>
      </c>
      <c r="I1000" s="2" t="s">
        <v>3000</v>
      </c>
      <c r="J1000" s="2" t="s">
        <v>469</v>
      </c>
      <c r="K1000" s="2" t="s">
        <v>470</v>
      </c>
      <c r="L1000" s="2" t="s">
        <v>1262</v>
      </c>
      <c r="M1000" s="2">
        <v>99</v>
      </c>
      <c r="N1000" s="25" t="s">
        <v>3001</v>
      </c>
      <c r="O1000" s="2">
        <v>99</v>
      </c>
      <c r="P1000" s="2">
        <v>90</v>
      </c>
      <c r="Q1000" s="2">
        <v>0</v>
      </c>
      <c r="R1000" s="2" t="s">
        <v>32</v>
      </c>
      <c r="S1000" s="2" t="s">
        <v>33</v>
      </c>
      <c r="T1000" s="2" t="s">
        <v>3002</v>
      </c>
      <c r="U1000" s="2" t="s">
        <v>3003</v>
      </c>
    </row>
    <row r="1001" spans="1:112" ht="68" x14ac:dyDescent="0.2">
      <c r="A1001" s="25" t="s">
        <v>3004</v>
      </c>
      <c r="B1001" s="2" t="s">
        <v>3005</v>
      </c>
      <c r="C1001" s="2" t="s">
        <v>3005</v>
      </c>
      <c r="D1001" s="1">
        <v>2</v>
      </c>
      <c r="E1001" s="2" t="s">
        <v>61</v>
      </c>
      <c r="F1001" s="2" t="s">
        <v>3006</v>
      </c>
      <c r="G1001" s="2" t="s">
        <v>2735</v>
      </c>
      <c r="H1001" s="2" t="s">
        <v>3007</v>
      </c>
      <c r="I1001" s="2" t="s">
        <v>3008</v>
      </c>
      <c r="J1001" s="2" t="s">
        <v>469</v>
      </c>
      <c r="K1001" s="2" t="s">
        <v>470</v>
      </c>
      <c r="L1001" s="2" t="s">
        <v>1262</v>
      </c>
      <c r="M1001" s="2">
        <v>99</v>
      </c>
      <c r="N1001" s="25" t="s">
        <v>3009</v>
      </c>
      <c r="O1001" s="2">
        <v>99</v>
      </c>
      <c r="P1001" s="2">
        <v>91</v>
      </c>
      <c r="Q1001" s="2">
        <v>0</v>
      </c>
      <c r="R1001" s="2" t="s">
        <v>32</v>
      </c>
      <c r="S1001" s="2" t="s">
        <v>33</v>
      </c>
      <c r="T1001" s="2" t="s">
        <v>3010</v>
      </c>
      <c r="U1001" s="2" t="s">
        <v>4831</v>
      </c>
      <c r="V1001" s="2" t="s">
        <v>4832</v>
      </c>
      <c r="W1001" s="2" t="s">
        <v>4833</v>
      </c>
    </row>
    <row r="1002" spans="1:112" ht="68" x14ac:dyDescent="0.2">
      <c r="A1002" s="25" t="s">
        <v>3011</v>
      </c>
      <c r="B1002" s="2" t="s">
        <v>3012</v>
      </c>
      <c r="C1002" s="2" t="s">
        <v>3012</v>
      </c>
      <c r="D1002" s="1">
        <v>2</v>
      </c>
      <c r="E1002" s="2" t="s">
        <v>23</v>
      </c>
      <c r="G1002" s="2" t="s">
        <v>2735</v>
      </c>
      <c r="H1002" s="2" t="s">
        <v>664</v>
      </c>
      <c r="I1002" s="2" t="s">
        <v>1780</v>
      </c>
      <c r="J1002" s="2" t="s">
        <v>469</v>
      </c>
      <c r="K1002" s="2" t="s">
        <v>470</v>
      </c>
      <c r="L1002" s="2" t="s">
        <v>1262</v>
      </c>
      <c r="M1002" s="2">
        <v>99</v>
      </c>
      <c r="N1002" s="25" t="s">
        <v>1093</v>
      </c>
      <c r="O1002" s="2">
        <v>99</v>
      </c>
      <c r="P1002" s="2">
        <v>99</v>
      </c>
      <c r="Q1002" s="2">
        <v>71</v>
      </c>
      <c r="R1002" s="2" t="s">
        <v>32</v>
      </c>
      <c r="S1002" s="2" t="s">
        <v>33</v>
      </c>
      <c r="T1002" s="2" t="s">
        <v>3013</v>
      </c>
      <c r="U1002" s="2" t="s">
        <v>292</v>
      </c>
    </row>
    <row r="1003" spans="1:112" ht="68" x14ac:dyDescent="0.2">
      <c r="A1003" s="25" t="s">
        <v>3014</v>
      </c>
      <c r="B1003" s="2" t="s">
        <v>3015</v>
      </c>
      <c r="C1003" s="2" t="s">
        <v>3015</v>
      </c>
      <c r="D1003" s="1">
        <v>2</v>
      </c>
      <c r="E1003" s="28" t="s">
        <v>23</v>
      </c>
      <c r="F1003" s="28"/>
      <c r="G1003" s="28" t="s">
        <v>2735</v>
      </c>
      <c r="H1003" s="28" t="s">
        <v>664</v>
      </c>
      <c r="I1003" s="28" t="s">
        <v>1780</v>
      </c>
      <c r="J1003" s="2" t="s">
        <v>469</v>
      </c>
      <c r="K1003" s="2" t="s">
        <v>470</v>
      </c>
      <c r="L1003" s="2" t="s">
        <v>1262</v>
      </c>
      <c r="M1003" s="2">
        <v>99</v>
      </c>
      <c r="N1003" s="25" t="s">
        <v>1093</v>
      </c>
      <c r="O1003" s="2">
        <v>99</v>
      </c>
      <c r="P1003" s="2">
        <v>99</v>
      </c>
      <c r="Q1003" s="2" t="s">
        <v>3016</v>
      </c>
      <c r="R1003" s="2" t="s">
        <v>32</v>
      </c>
      <c r="S1003" s="2" t="s">
        <v>33</v>
      </c>
      <c r="T1003" s="2" t="s">
        <v>3013</v>
      </c>
      <c r="U1003" s="2" t="s">
        <v>292</v>
      </c>
    </row>
    <row r="1004" spans="1:112" ht="119" x14ac:dyDescent="0.2">
      <c r="A1004" s="25" t="s">
        <v>3017</v>
      </c>
      <c r="B1004" s="2" t="s">
        <v>3018</v>
      </c>
      <c r="C1004" s="2" t="s">
        <v>3018</v>
      </c>
      <c r="D1004" s="1">
        <v>2</v>
      </c>
      <c r="E1004" s="2" t="s">
        <v>23</v>
      </c>
      <c r="G1004" s="2" t="s">
        <v>2735</v>
      </c>
      <c r="H1004" s="2" t="s">
        <v>3019</v>
      </c>
      <c r="I1004" s="2" t="s">
        <v>3020</v>
      </c>
      <c r="J1004" s="2" t="s">
        <v>645</v>
      </c>
      <c r="K1004" s="2" t="s">
        <v>2089</v>
      </c>
      <c r="L1004" s="2" t="s">
        <v>2089</v>
      </c>
      <c r="M1004" s="2" t="s">
        <v>2090</v>
      </c>
      <c r="N1004" s="25" t="s">
        <v>3021</v>
      </c>
      <c r="O1004" s="2">
        <v>125</v>
      </c>
      <c r="P1004" s="2">
        <v>82</v>
      </c>
      <c r="Q1004" s="2">
        <v>0</v>
      </c>
      <c r="R1004" s="2" t="s">
        <v>32</v>
      </c>
      <c r="S1004" s="2" t="s">
        <v>33</v>
      </c>
      <c r="T1004" s="2" t="s">
        <v>3022</v>
      </c>
      <c r="U1004" s="2" t="s">
        <v>3023</v>
      </c>
    </row>
    <row r="1005" spans="1:112" ht="119" x14ac:dyDescent="0.2">
      <c r="A1005" s="25" t="s">
        <v>3024</v>
      </c>
      <c r="B1005" s="2" t="s">
        <v>3025</v>
      </c>
      <c r="C1005" s="2" t="s">
        <v>3025</v>
      </c>
      <c r="D1005" s="1">
        <v>2</v>
      </c>
      <c r="E1005" s="28" t="s">
        <v>23</v>
      </c>
      <c r="F1005" s="28"/>
      <c r="G1005" s="28" t="s">
        <v>2735</v>
      </c>
      <c r="H1005" s="28" t="s">
        <v>3019</v>
      </c>
      <c r="I1005" s="28" t="s">
        <v>3020</v>
      </c>
      <c r="J1005" s="2" t="s">
        <v>645</v>
      </c>
      <c r="K1005" s="2" t="s">
        <v>2089</v>
      </c>
      <c r="L1005" s="2" t="s">
        <v>2089</v>
      </c>
      <c r="M1005" s="2" t="s">
        <v>2090</v>
      </c>
      <c r="N1005" s="25" t="s">
        <v>3021</v>
      </c>
      <c r="O1005" s="2">
        <v>125</v>
      </c>
      <c r="P1005" s="2">
        <v>82</v>
      </c>
      <c r="Q1005" s="2" t="s">
        <v>199</v>
      </c>
      <c r="R1005" s="2" t="s">
        <v>32</v>
      </c>
      <c r="S1005" s="2" t="s">
        <v>33</v>
      </c>
      <c r="T1005" s="2" t="s">
        <v>3022</v>
      </c>
      <c r="U1005" s="2" t="s">
        <v>3023</v>
      </c>
    </row>
    <row r="1006" spans="1:112" ht="119" x14ac:dyDescent="0.2">
      <c r="A1006" s="25" t="s">
        <v>3026</v>
      </c>
      <c r="B1006" s="2" t="s">
        <v>3027</v>
      </c>
      <c r="C1006" s="2" t="s">
        <v>3028</v>
      </c>
      <c r="D1006" s="1">
        <v>2</v>
      </c>
      <c r="E1006" s="2" t="s">
        <v>23</v>
      </c>
      <c r="G1006" s="2" t="s">
        <v>2735</v>
      </c>
      <c r="H1006" s="2" t="s">
        <v>664</v>
      </c>
      <c r="I1006" s="2" t="s">
        <v>2126</v>
      </c>
      <c r="J1006" s="2" t="s">
        <v>1081</v>
      </c>
      <c r="K1006" s="2" t="s">
        <v>1082</v>
      </c>
      <c r="L1006" s="2" t="s">
        <v>1082</v>
      </c>
      <c r="M1006" s="2" t="s">
        <v>1082</v>
      </c>
      <c r="N1006" s="25" t="s">
        <v>3029</v>
      </c>
      <c r="O1006" s="2">
        <v>53</v>
      </c>
      <c r="P1006" s="2">
        <v>40</v>
      </c>
      <c r="Q1006" s="2">
        <v>0</v>
      </c>
      <c r="R1006" s="2" t="s">
        <v>32</v>
      </c>
      <c r="S1006" s="2" t="s">
        <v>33</v>
      </c>
      <c r="T1006" s="2" t="s">
        <v>3030</v>
      </c>
      <c r="U1006" s="2" t="s">
        <v>4834</v>
      </c>
      <c r="V1006" s="2" t="s">
        <v>4835</v>
      </c>
      <c r="W1006" s="2" t="s">
        <v>4836</v>
      </c>
      <c r="X1006" s="2" t="s">
        <v>4837</v>
      </c>
    </row>
    <row r="1007" spans="1:112" ht="85" x14ac:dyDescent="0.2">
      <c r="A1007" s="25" t="s">
        <v>3031</v>
      </c>
      <c r="B1007" s="2" t="s">
        <v>3032</v>
      </c>
      <c r="C1007" s="2" t="s">
        <v>3032</v>
      </c>
      <c r="D1007" s="1">
        <v>2</v>
      </c>
      <c r="E1007" s="2" t="s">
        <v>61</v>
      </c>
      <c r="F1007" s="2" t="s">
        <v>3033</v>
      </c>
      <c r="G1007" s="2" t="s">
        <v>2735</v>
      </c>
      <c r="H1007" s="2" t="s">
        <v>2453</v>
      </c>
      <c r="I1007" s="2" t="s">
        <v>3034</v>
      </c>
      <c r="J1007" s="2" t="s">
        <v>1284</v>
      </c>
      <c r="K1007" s="2" t="s">
        <v>1284</v>
      </c>
      <c r="L1007" s="2" t="s">
        <v>1284</v>
      </c>
      <c r="M1007" s="2" t="s">
        <v>1285</v>
      </c>
      <c r="N1007" s="25" t="s">
        <v>3035</v>
      </c>
      <c r="O1007" s="2">
        <v>108</v>
      </c>
      <c r="P1007" s="2">
        <v>12</v>
      </c>
      <c r="Q1007" s="2">
        <v>0</v>
      </c>
      <c r="R1007" s="2" t="s">
        <v>1287</v>
      </c>
      <c r="S1007" s="2" t="s">
        <v>33</v>
      </c>
      <c r="T1007" s="2" t="s">
        <v>3036</v>
      </c>
      <c r="U1007" s="2" t="s">
        <v>4838</v>
      </c>
      <c r="V1007" s="2" t="s">
        <v>4839</v>
      </c>
      <c r="W1007" s="2" t="s">
        <v>4840</v>
      </c>
      <c r="X1007" s="2" t="s">
        <v>4841</v>
      </c>
      <c r="Y1007" s="2" t="s">
        <v>4842</v>
      </c>
      <c r="Z1007" s="2" t="s">
        <v>4843</v>
      </c>
      <c r="AA1007" s="2" t="s">
        <v>4844</v>
      </c>
      <c r="AB1007" s="2" t="s">
        <v>4845</v>
      </c>
      <c r="AC1007" s="2" t="s">
        <v>4846</v>
      </c>
      <c r="AD1007" s="2" t="s">
        <v>4847</v>
      </c>
    </row>
    <row r="1008" spans="1:112" ht="68" x14ac:dyDescent="0.2">
      <c r="A1008" s="26" t="s">
        <v>5778</v>
      </c>
      <c r="B1008" s="7" t="s">
        <v>5779</v>
      </c>
      <c r="C1008" s="2" t="s">
        <v>5779</v>
      </c>
      <c r="D1008" s="5">
        <v>2</v>
      </c>
      <c r="E1008" s="6" t="s">
        <v>61</v>
      </c>
      <c r="F1008" s="6" t="s">
        <v>6075</v>
      </c>
      <c r="G1008" s="6"/>
      <c r="H1008" s="6"/>
      <c r="I1008" s="6" t="s">
        <v>6074</v>
      </c>
      <c r="J1008" s="12" t="s">
        <v>1284</v>
      </c>
      <c r="K1008" s="12" t="s">
        <v>1284</v>
      </c>
      <c r="L1008" s="12" t="s">
        <v>1284</v>
      </c>
      <c r="M1008" s="12" t="s">
        <v>1285</v>
      </c>
      <c r="N1008" s="34" t="s">
        <v>5780</v>
      </c>
      <c r="O1008" s="12" t="s">
        <v>5781</v>
      </c>
      <c r="P1008" s="12" t="s">
        <v>123</v>
      </c>
      <c r="Q1008" s="12" t="s">
        <v>41</v>
      </c>
      <c r="R1008" s="12" t="s">
        <v>1287</v>
      </c>
      <c r="S1008" s="12" t="s">
        <v>33</v>
      </c>
      <c r="T1008" s="12" t="s">
        <v>5782</v>
      </c>
      <c r="U1008" s="12" t="s">
        <v>5783</v>
      </c>
      <c r="V1008" s="12" t="s">
        <v>5783</v>
      </c>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c r="CA1008" s="12"/>
      <c r="CB1008" s="12"/>
      <c r="CC1008" s="12"/>
      <c r="CD1008" s="12"/>
      <c r="CE1008" s="12"/>
      <c r="CF1008" s="12"/>
      <c r="CG1008" s="12"/>
      <c r="CH1008" s="12"/>
      <c r="CI1008" s="12"/>
      <c r="CJ1008" s="12"/>
      <c r="CK1008" s="12"/>
      <c r="CL1008" s="12"/>
      <c r="CM1008" s="12"/>
      <c r="CN1008" s="12"/>
      <c r="CO1008" s="12"/>
      <c r="CP1008" s="12"/>
      <c r="CQ1008" s="12"/>
      <c r="CR1008" s="12"/>
      <c r="CS1008" s="12"/>
      <c r="CT1008" s="12"/>
      <c r="CU1008" s="12"/>
      <c r="CV1008" s="12"/>
      <c r="CW1008" s="12"/>
      <c r="CX1008" s="12"/>
      <c r="CY1008" s="12"/>
      <c r="CZ1008" s="12"/>
      <c r="DA1008" s="12"/>
      <c r="DB1008" s="12"/>
      <c r="DC1008" s="12"/>
      <c r="DD1008" s="12"/>
      <c r="DE1008" s="12"/>
      <c r="DF1008" s="12"/>
      <c r="DG1008" s="12"/>
      <c r="DH1008" s="12"/>
    </row>
    <row r="1009" spans="1:112" ht="85" x14ac:dyDescent="0.2">
      <c r="A1009" s="25" t="s">
        <v>3037</v>
      </c>
      <c r="B1009" s="2" t="s">
        <v>3038</v>
      </c>
      <c r="C1009" s="2" t="s">
        <v>3038</v>
      </c>
      <c r="D1009" s="1">
        <v>2</v>
      </c>
      <c r="E1009" s="2" t="s">
        <v>23</v>
      </c>
      <c r="G1009" s="2" t="s">
        <v>2735</v>
      </c>
      <c r="H1009" s="2" t="s">
        <v>2453</v>
      </c>
      <c r="I1009" s="2" t="s">
        <v>3034</v>
      </c>
      <c r="J1009" s="2" t="s">
        <v>1284</v>
      </c>
      <c r="K1009" s="2" t="s">
        <v>1284</v>
      </c>
      <c r="L1009" s="2" t="s">
        <v>1284</v>
      </c>
      <c r="M1009" s="2" t="s">
        <v>1285</v>
      </c>
      <c r="N1009" s="25" t="s">
        <v>3039</v>
      </c>
      <c r="O1009" s="2">
        <v>108</v>
      </c>
      <c r="P1009" s="2">
        <v>2</v>
      </c>
      <c r="Q1009" s="2">
        <v>0</v>
      </c>
      <c r="R1009" s="2" t="s">
        <v>1287</v>
      </c>
      <c r="S1009" s="2" t="s">
        <v>33</v>
      </c>
      <c r="T1009" s="2" t="s">
        <v>3040</v>
      </c>
      <c r="U1009" s="2" t="s">
        <v>292</v>
      </c>
    </row>
    <row r="1010" spans="1:112" ht="51" x14ac:dyDescent="0.2">
      <c r="A1010" s="26" t="s">
        <v>5784</v>
      </c>
      <c r="B1010" s="7" t="s">
        <v>5785</v>
      </c>
      <c r="C1010" s="2" t="s">
        <v>5785</v>
      </c>
      <c r="D1010" s="5">
        <v>2</v>
      </c>
      <c r="E1010" s="6" t="s">
        <v>61</v>
      </c>
      <c r="F1010" s="6"/>
      <c r="G1010" s="6"/>
      <c r="H1010" s="6" t="s">
        <v>6079</v>
      </c>
      <c r="I1010" s="6" t="s">
        <v>6080</v>
      </c>
      <c r="J1010" s="12" t="s">
        <v>1284</v>
      </c>
      <c r="K1010" s="12" t="s">
        <v>1284</v>
      </c>
      <c r="L1010" s="12" t="s">
        <v>1284</v>
      </c>
      <c r="M1010" s="12" t="s">
        <v>1285</v>
      </c>
      <c r="N1010" s="34" t="s">
        <v>5786</v>
      </c>
      <c r="O1010" s="12" t="s">
        <v>5781</v>
      </c>
      <c r="P1010" s="12" t="s">
        <v>564</v>
      </c>
      <c r="Q1010" s="12" t="s">
        <v>41</v>
      </c>
      <c r="R1010" s="12" t="s">
        <v>1287</v>
      </c>
      <c r="S1010" s="12" t="s">
        <v>33</v>
      </c>
      <c r="T1010" s="12" t="s">
        <v>5787</v>
      </c>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c r="CA1010" s="12"/>
      <c r="CB1010" s="12"/>
      <c r="CC1010" s="12"/>
      <c r="CD1010" s="12"/>
      <c r="CE1010" s="12"/>
      <c r="CF1010" s="12"/>
      <c r="CG1010" s="12"/>
      <c r="CH1010" s="12"/>
      <c r="CI1010" s="12"/>
      <c r="CJ1010" s="12"/>
      <c r="CK1010" s="12"/>
      <c r="CL1010" s="12"/>
      <c r="CM1010" s="12"/>
      <c r="CN1010" s="12"/>
      <c r="CO1010" s="12"/>
      <c r="CP1010" s="12"/>
      <c r="CQ1010" s="12"/>
      <c r="CR1010" s="12"/>
      <c r="CS1010" s="12"/>
      <c r="CT1010" s="12"/>
      <c r="CU1010" s="12"/>
      <c r="CV1010" s="12"/>
      <c r="CW1010" s="12"/>
      <c r="CX1010" s="12"/>
      <c r="CY1010" s="12"/>
      <c r="CZ1010" s="12"/>
      <c r="DA1010" s="12"/>
      <c r="DB1010" s="12"/>
      <c r="DC1010" s="12"/>
      <c r="DD1010" s="12"/>
      <c r="DE1010" s="12"/>
      <c r="DF1010" s="12"/>
      <c r="DG1010" s="12"/>
      <c r="DH1010" s="12"/>
    </row>
    <row r="1011" spans="1:112" ht="85" x14ac:dyDescent="0.2">
      <c r="A1011" s="25" t="s">
        <v>3041</v>
      </c>
      <c r="B1011" s="2" t="s">
        <v>3042</v>
      </c>
      <c r="C1011" s="2" t="s">
        <v>3042</v>
      </c>
      <c r="D1011" s="1">
        <v>2</v>
      </c>
      <c r="E1011" s="2" t="s">
        <v>61</v>
      </c>
      <c r="F1011" s="2" t="s">
        <v>3033</v>
      </c>
      <c r="G1011" s="2" t="s">
        <v>2735</v>
      </c>
      <c r="H1011" s="2" t="s">
        <v>2453</v>
      </c>
      <c r="I1011" s="2" t="s">
        <v>3034</v>
      </c>
      <c r="J1011" s="2" t="s">
        <v>1284</v>
      </c>
      <c r="K1011" s="2" t="s">
        <v>1284</v>
      </c>
      <c r="L1011" s="2" t="s">
        <v>1284</v>
      </c>
      <c r="M1011" s="2" t="s">
        <v>1285</v>
      </c>
      <c r="N1011" s="25" t="s">
        <v>3043</v>
      </c>
      <c r="O1011" s="2">
        <v>108</v>
      </c>
      <c r="P1011" s="2">
        <v>23</v>
      </c>
      <c r="Q1011" s="2">
        <v>0</v>
      </c>
      <c r="R1011" s="2" t="s">
        <v>1287</v>
      </c>
      <c r="S1011" s="2" t="s">
        <v>33</v>
      </c>
      <c r="T1011" s="2" t="s">
        <v>1580</v>
      </c>
      <c r="U1011" s="2" t="s">
        <v>4848</v>
      </c>
      <c r="V1011" s="2" t="s">
        <v>4849</v>
      </c>
      <c r="W1011" s="2" t="s">
        <v>4850</v>
      </c>
      <c r="X1011" s="2" t="s">
        <v>4851</v>
      </c>
      <c r="Y1011" s="2" t="s">
        <v>4852</v>
      </c>
      <c r="Z1011" s="2" t="s">
        <v>4853</v>
      </c>
      <c r="AA1011" s="2" t="s">
        <v>4854</v>
      </c>
      <c r="AB1011" s="2" t="s">
        <v>4855</v>
      </c>
      <c r="AC1011" s="2" t="s">
        <v>4856</v>
      </c>
      <c r="AD1011" s="2" t="s">
        <v>4857</v>
      </c>
      <c r="AE1011" s="2" t="s">
        <v>4858</v>
      </c>
      <c r="AF1011" s="2" t="s">
        <v>4859</v>
      </c>
      <c r="AG1011" s="2" t="s">
        <v>4860</v>
      </c>
      <c r="AH1011" s="2" t="s">
        <v>4861</v>
      </c>
      <c r="AI1011" s="2" t="s">
        <v>4862</v>
      </c>
    </row>
    <row r="1012" spans="1:112" ht="85" x14ac:dyDescent="0.2">
      <c r="A1012" s="25" t="s">
        <v>3044</v>
      </c>
      <c r="B1012" s="2" t="s">
        <v>3045</v>
      </c>
      <c r="C1012" s="2" t="s">
        <v>3045</v>
      </c>
      <c r="D1012" s="1">
        <v>2</v>
      </c>
      <c r="E1012" s="2" t="s">
        <v>61</v>
      </c>
      <c r="F1012" s="2" t="s">
        <v>3033</v>
      </c>
      <c r="G1012" s="2" t="s">
        <v>2735</v>
      </c>
      <c r="H1012" s="2" t="s">
        <v>2453</v>
      </c>
      <c r="I1012" s="2" t="s">
        <v>3034</v>
      </c>
      <c r="J1012" s="2" t="s">
        <v>1284</v>
      </c>
      <c r="K1012" s="2" t="s">
        <v>1284</v>
      </c>
      <c r="L1012" s="2" t="s">
        <v>1284</v>
      </c>
      <c r="M1012" s="2" t="s">
        <v>1285</v>
      </c>
      <c r="N1012" s="25" t="s">
        <v>3046</v>
      </c>
      <c r="O1012" s="2">
        <v>108</v>
      </c>
      <c r="P1012" s="2">
        <v>25</v>
      </c>
      <c r="Q1012" s="2">
        <v>0</v>
      </c>
      <c r="R1012" s="2" t="s">
        <v>1287</v>
      </c>
      <c r="S1012" s="2" t="s">
        <v>33</v>
      </c>
      <c r="T1012" s="2" t="s">
        <v>3047</v>
      </c>
      <c r="U1012" s="2" t="s">
        <v>3048</v>
      </c>
    </row>
    <row r="1013" spans="1:112" ht="85" x14ac:dyDescent="0.2">
      <c r="A1013" s="25" t="s">
        <v>3049</v>
      </c>
      <c r="B1013" s="2" t="s">
        <v>3050</v>
      </c>
      <c r="C1013" s="2" t="s">
        <v>3050</v>
      </c>
      <c r="D1013" s="1">
        <v>2</v>
      </c>
      <c r="E1013" s="2" t="s">
        <v>23</v>
      </c>
      <c r="G1013" s="2" t="s">
        <v>2735</v>
      </c>
      <c r="H1013" s="2" t="s">
        <v>2453</v>
      </c>
      <c r="I1013" s="2" t="s">
        <v>3034</v>
      </c>
      <c r="J1013" s="2" t="s">
        <v>1284</v>
      </c>
      <c r="K1013" s="2" t="s">
        <v>1284</v>
      </c>
      <c r="L1013" s="2" t="s">
        <v>1284</v>
      </c>
      <c r="M1013" s="2" t="s">
        <v>1285</v>
      </c>
      <c r="N1013" s="25" t="s">
        <v>3051</v>
      </c>
      <c r="O1013" s="2">
        <v>108</v>
      </c>
      <c r="P1013" s="2">
        <v>29</v>
      </c>
      <c r="Q1013" s="2">
        <v>0</v>
      </c>
      <c r="R1013" s="2" t="s">
        <v>1287</v>
      </c>
      <c r="S1013" s="2" t="s">
        <v>33</v>
      </c>
      <c r="T1013" s="2" t="s">
        <v>3052</v>
      </c>
      <c r="U1013" s="2" t="s">
        <v>4863</v>
      </c>
      <c r="V1013" s="2" t="s">
        <v>4864</v>
      </c>
    </row>
    <row r="1014" spans="1:112" ht="85" x14ac:dyDescent="0.2">
      <c r="A1014" s="26" t="s">
        <v>5788</v>
      </c>
      <c r="B1014" s="7" t="s">
        <v>5789</v>
      </c>
      <c r="C1014" s="2" t="s">
        <v>5789</v>
      </c>
      <c r="D1014" s="1">
        <v>2</v>
      </c>
      <c r="E1014" s="2" t="s">
        <v>23</v>
      </c>
      <c r="G1014" s="2" t="s">
        <v>2735</v>
      </c>
      <c r="H1014" s="2" t="s">
        <v>2453</v>
      </c>
      <c r="I1014" s="2" t="s">
        <v>3034</v>
      </c>
      <c r="J1014" s="12" t="s">
        <v>1284</v>
      </c>
      <c r="K1014" s="12" t="s">
        <v>1284</v>
      </c>
      <c r="L1014" s="12" t="s">
        <v>1284</v>
      </c>
      <c r="M1014" s="12" t="s">
        <v>1285</v>
      </c>
      <c r="N1014" s="34" t="s">
        <v>5790</v>
      </c>
      <c r="O1014" s="12" t="s">
        <v>5781</v>
      </c>
      <c r="P1014" s="12" t="s">
        <v>806</v>
      </c>
      <c r="Q1014" s="12" t="s">
        <v>41</v>
      </c>
      <c r="R1014" s="12" t="s">
        <v>1287</v>
      </c>
      <c r="S1014" s="12" t="s">
        <v>33</v>
      </c>
      <c r="T1014" s="12" t="s">
        <v>5791</v>
      </c>
      <c r="U1014" s="12" t="s">
        <v>5792</v>
      </c>
      <c r="V1014" s="12" t="s">
        <v>5792</v>
      </c>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c r="CA1014" s="12"/>
      <c r="CB1014" s="12"/>
      <c r="CC1014" s="12"/>
      <c r="CD1014" s="12"/>
      <c r="CE1014" s="12"/>
      <c r="CF1014" s="12"/>
      <c r="CG1014" s="12"/>
      <c r="CH1014" s="12"/>
      <c r="CI1014" s="12"/>
      <c r="CJ1014" s="12"/>
      <c r="CK1014" s="12"/>
      <c r="CL1014" s="12"/>
      <c r="CM1014" s="12"/>
      <c r="CN1014" s="12"/>
      <c r="CO1014" s="12"/>
      <c r="CP1014" s="12"/>
      <c r="CQ1014" s="12"/>
      <c r="CR1014" s="12"/>
      <c r="CS1014" s="12"/>
      <c r="CT1014" s="12"/>
      <c r="CU1014" s="12"/>
      <c r="CV1014" s="12"/>
      <c r="CW1014" s="12"/>
      <c r="CX1014" s="12"/>
      <c r="CY1014" s="12"/>
      <c r="CZ1014" s="12"/>
      <c r="DA1014" s="12"/>
      <c r="DB1014" s="12"/>
      <c r="DC1014" s="12"/>
      <c r="DD1014" s="12"/>
      <c r="DE1014" s="12"/>
      <c r="DF1014" s="12"/>
      <c r="DG1014" s="12"/>
      <c r="DH1014" s="12"/>
    </row>
    <row r="1015" spans="1:112" ht="68" x14ac:dyDescent="0.2">
      <c r="A1015" s="25" t="s">
        <v>3053</v>
      </c>
      <c r="B1015" s="2" t="s">
        <v>3054</v>
      </c>
      <c r="C1015" s="2" t="s">
        <v>3055</v>
      </c>
      <c r="D1015" s="1">
        <v>2</v>
      </c>
      <c r="E1015" s="2" t="s">
        <v>23</v>
      </c>
      <c r="F1015" s="2" t="s">
        <v>3056</v>
      </c>
      <c r="G1015" s="2" t="s">
        <v>2946</v>
      </c>
      <c r="H1015" s="2" t="s">
        <v>680</v>
      </c>
      <c r="J1015" s="2" t="s">
        <v>1284</v>
      </c>
      <c r="K1015" s="2" t="s">
        <v>1284</v>
      </c>
      <c r="L1015" s="2" t="s">
        <v>1284</v>
      </c>
      <c r="M1015" s="2" t="s">
        <v>1285</v>
      </c>
      <c r="N1015" s="25" t="s">
        <v>3057</v>
      </c>
      <c r="O1015" s="2">
        <v>125</v>
      </c>
      <c r="P1015" s="2">
        <v>12</v>
      </c>
      <c r="Q1015" s="2">
        <v>0</v>
      </c>
      <c r="R1015" s="2" t="s">
        <v>1287</v>
      </c>
      <c r="S1015" s="2" t="s">
        <v>33</v>
      </c>
      <c r="T1015" s="2" t="s">
        <v>3058</v>
      </c>
      <c r="U1015" s="2" t="s">
        <v>4865</v>
      </c>
      <c r="V1015" s="2" t="s">
        <v>4866</v>
      </c>
      <c r="W1015" s="2" t="s">
        <v>4867</v>
      </c>
    </row>
    <row r="1016" spans="1:112" ht="34" x14ac:dyDescent="0.2">
      <c r="A1016" s="26" t="s">
        <v>5822</v>
      </c>
      <c r="B1016" s="7" t="s">
        <v>5823</v>
      </c>
      <c r="C1016" s="2" t="s">
        <v>5823</v>
      </c>
      <c r="D1016" s="5">
        <v>2</v>
      </c>
      <c r="E1016" s="6" t="s">
        <v>61</v>
      </c>
      <c r="F1016" s="6" t="s">
        <v>6077</v>
      </c>
      <c r="G1016" s="6"/>
      <c r="H1016" s="6"/>
      <c r="I1016" s="6"/>
      <c r="J1016" s="12" t="s">
        <v>1284</v>
      </c>
      <c r="K1016" s="12" t="s">
        <v>1284</v>
      </c>
      <c r="L1016" s="12" t="s">
        <v>1284</v>
      </c>
      <c r="M1016" s="12" t="s">
        <v>1285</v>
      </c>
      <c r="N1016" s="34" t="s">
        <v>5824</v>
      </c>
      <c r="O1016" s="12" t="s">
        <v>2145</v>
      </c>
      <c r="P1016" s="12" t="s">
        <v>194</v>
      </c>
      <c r="Q1016" s="12" t="s">
        <v>41</v>
      </c>
      <c r="R1016" s="12" t="s">
        <v>1287</v>
      </c>
      <c r="S1016" s="12" t="s">
        <v>33</v>
      </c>
      <c r="T1016" s="12" t="s">
        <v>5825</v>
      </c>
      <c r="U1016" s="12" t="s">
        <v>5826</v>
      </c>
      <c r="V1016" s="12" t="s">
        <v>5826</v>
      </c>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c r="CA1016" s="12"/>
      <c r="CB1016" s="12"/>
      <c r="CC1016" s="12"/>
      <c r="CD1016" s="12"/>
      <c r="CE1016" s="12"/>
      <c r="CF1016" s="12"/>
      <c r="CG1016" s="12"/>
      <c r="CH1016" s="12"/>
      <c r="CI1016" s="12"/>
      <c r="CJ1016" s="12"/>
      <c r="CK1016" s="12"/>
      <c r="CL1016" s="12"/>
      <c r="CM1016" s="12"/>
      <c r="CN1016" s="12"/>
      <c r="CO1016" s="12"/>
      <c r="CP1016" s="12"/>
      <c r="CQ1016" s="12"/>
      <c r="CR1016" s="12"/>
      <c r="CS1016" s="12"/>
      <c r="CT1016" s="12"/>
      <c r="CU1016" s="12"/>
      <c r="CV1016" s="12"/>
      <c r="CW1016" s="12"/>
      <c r="CX1016" s="12"/>
      <c r="CY1016" s="12"/>
      <c r="CZ1016" s="12"/>
      <c r="DA1016" s="12"/>
      <c r="DB1016" s="12"/>
      <c r="DC1016" s="12"/>
      <c r="DD1016" s="12"/>
      <c r="DE1016" s="12"/>
      <c r="DF1016" s="12"/>
      <c r="DG1016" s="12"/>
      <c r="DH1016" s="12"/>
    </row>
    <row r="1017" spans="1:112" ht="85" x14ac:dyDescent="0.2">
      <c r="A1017" s="26" t="s">
        <v>5827</v>
      </c>
      <c r="B1017" s="7" t="s">
        <v>5828</v>
      </c>
      <c r="C1017" s="2" t="s">
        <v>5828</v>
      </c>
      <c r="D1017" s="5">
        <v>2</v>
      </c>
      <c r="E1017" s="6" t="s">
        <v>61</v>
      </c>
      <c r="F1017" s="6" t="s">
        <v>6083</v>
      </c>
      <c r="G1017" s="6" t="s">
        <v>2735</v>
      </c>
      <c r="H1017" s="6" t="s">
        <v>6082</v>
      </c>
      <c r="I1017" s="6" t="s">
        <v>6081</v>
      </c>
      <c r="J1017" s="12" t="s">
        <v>1284</v>
      </c>
      <c r="K1017" s="12" t="s">
        <v>1284</v>
      </c>
      <c r="L1017" s="12" t="s">
        <v>1284</v>
      </c>
      <c r="M1017" s="12" t="s">
        <v>1285</v>
      </c>
      <c r="N1017" s="34" t="s">
        <v>5829</v>
      </c>
      <c r="O1017" s="12" t="s">
        <v>2145</v>
      </c>
      <c r="P1017" s="12" t="s">
        <v>109</v>
      </c>
      <c r="Q1017" s="12" t="s">
        <v>41</v>
      </c>
      <c r="R1017" s="12" t="s">
        <v>1287</v>
      </c>
      <c r="S1017" s="12" t="s">
        <v>33</v>
      </c>
      <c r="T1017" s="12" t="s">
        <v>5830</v>
      </c>
      <c r="U1017" s="12" t="s">
        <v>5831</v>
      </c>
      <c r="V1017" s="12" t="s">
        <v>5831</v>
      </c>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c r="CA1017" s="12"/>
      <c r="CB1017" s="12"/>
      <c r="CC1017" s="12"/>
      <c r="CD1017" s="12"/>
      <c r="CE1017" s="12"/>
      <c r="CF1017" s="12"/>
      <c r="CG1017" s="12"/>
      <c r="CH1017" s="12"/>
      <c r="CI1017" s="12"/>
      <c r="CJ1017" s="12"/>
      <c r="CK1017" s="12"/>
      <c r="CL1017" s="12"/>
      <c r="CM1017" s="12"/>
      <c r="CN1017" s="12"/>
      <c r="CO1017" s="12"/>
      <c r="CP1017" s="12"/>
      <c r="CQ1017" s="12"/>
      <c r="CR1017" s="12"/>
      <c r="CS1017" s="12"/>
      <c r="CT1017" s="12"/>
      <c r="CU1017" s="12"/>
      <c r="CV1017" s="12"/>
      <c r="CW1017" s="12"/>
      <c r="CX1017" s="12"/>
      <c r="CY1017" s="12"/>
      <c r="CZ1017" s="12"/>
      <c r="DA1017" s="12"/>
      <c r="DB1017" s="12"/>
      <c r="DC1017" s="12"/>
      <c r="DD1017" s="12"/>
      <c r="DE1017" s="12"/>
      <c r="DF1017" s="12"/>
      <c r="DG1017" s="12"/>
      <c r="DH1017" s="12"/>
    </row>
    <row r="1018" spans="1:112" ht="102" x14ac:dyDescent="0.2">
      <c r="A1018" s="25" t="s">
        <v>3059</v>
      </c>
      <c r="B1018" s="2" t="s">
        <v>3060</v>
      </c>
      <c r="C1018" s="2" t="s">
        <v>3060</v>
      </c>
      <c r="D1018" s="1">
        <v>2</v>
      </c>
      <c r="E1018" s="2" t="s">
        <v>23</v>
      </c>
      <c r="G1018" s="2" t="s">
        <v>2735</v>
      </c>
      <c r="H1018" s="2" t="s">
        <v>3061</v>
      </c>
      <c r="I1018" s="2" t="s">
        <v>3062</v>
      </c>
      <c r="J1018" s="2" t="s">
        <v>1284</v>
      </c>
      <c r="K1018" s="2" t="s">
        <v>1284</v>
      </c>
      <c r="L1018" s="2" t="s">
        <v>1284</v>
      </c>
      <c r="M1018" s="2" t="s">
        <v>1285</v>
      </c>
      <c r="N1018" s="25" t="s">
        <v>3063</v>
      </c>
      <c r="O1018" s="2" t="s">
        <v>2145</v>
      </c>
      <c r="P1018" s="2" t="s">
        <v>948</v>
      </c>
      <c r="Q1018" s="2" t="s">
        <v>41</v>
      </c>
      <c r="R1018" s="2" t="s">
        <v>1287</v>
      </c>
      <c r="S1018" s="2" t="s">
        <v>33</v>
      </c>
      <c r="T1018" s="2" t="s">
        <v>3064</v>
      </c>
      <c r="U1018" s="2" t="s">
        <v>3065</v>
      </c>
    </row>
    <row r="1019" spans="1:112" ht="68" x14ac:dyDescent="0.2">
      <c r="A1019" s="25" t="s">
        <v>3066</v>
      </c>
      <c r="B1019" s="2" t="s">
        <v>3067</v>
      </c>
      <c r="C1019" s="2" t="s">
        <v>3067</v>
      </c>
      <c r="D1019" s="1">
        <v>2</v>
      </c>
      <c r="E1019" s="2" t="s">
        <v>61</v>
      </c>
      <c r="F1019" s="2" t="s">
        <v>2779</v>
      </c>
      <c r="G1019" s="2" t="s">
        <v>2735</v>
      </c>
      <c r="J1019" s="2" t="s">
        <v>1284</v>
      </c>
      <c r="K1019" s="2" t="s">
        <v>1284</v>
      </c>
      <c r="L1019" s="2" t="s">
        <v>1284</v>
      </c>
      <c r="M1019" s="2" t="s">
        <v>1285</v>
      </c>
      <c r="N1019" s="25" t="s">
        <v>3068</v>
      </c>
      <c r="O1019" s="2" t="s">
        <v>2218</v>
      </c>
      <c r="P1019" s="2" t="s">
        <v>52</v>
      </c>
      <c r="Q1019" s="2" t="s">
        <v>41</v>
      </c>
      <c r="R1019" s="2" t="s">
        <v>1287</v>
      </c>
      <c r="S1019" s="2" t="s">
        <v>33</v>
      </c>
      <c r="T1019" s="2" t="s">
        <v>3069</v>
      </c>
      <c r="U1019" s="2" t="s">
        <v>3070</v>
      </c>
    </row>
    <row r="1020" spans="1:112" ht="51" x14ac:dyDescent="0.2">
      <c r="A1020" s="25" t="s">
        <v>3071</v>
      </c>
      <c r="B1020" s="2" t="s">
        <v>3072</v>
      </c>
      <c r="C1020" s="2" t="s">
        <v>3072</v>
      </c>
      <c r="D1020" s="1">
        <v>2</v>
      </c>
      <c r="E1020" s="2" t="s">
        <v>61</v>
      </c>
      <c r="F1020" s="2" t="s">
        <v>3073</v>
      </c>
      <c r="G1020" s="2" t="s">
        <v>2735</v>
      </c>
      <c r="H1020" s="2" t="s">
        <v>3074</v>
      </c>
      <c r="J1020" s="2" t="s">
        <v>1284</v>
      </c>
      <c r="K1020" s="2" t="s">
        <v>1284</v>
      </c>
      <c r="L1020" s="2" t="s">
        <v>1284</v>
      </c>
      <c r="M1020" s="2" t="s">
        <v>1285</v>
      </c>
      <c r="N1020" s="25" t="s">
        <v>3075</v>
      </c>
      <c r="O1020" s="2" t="s">
        <v>2783</v>
      </c>
      <c r="P1020" s="2" t="s">
        <v>159</v>
      </c>
      <c r="Q1020" s="2" t="s">
        <v>41</v>
      </c>
      <c r="R1020" s="2" t="s">
        <v>1287</v>
      </c>
      <c r="S1020" s="2" t="s">
        <v>33</v>
      </c>
      <c r="T1020" s="2" t="s">
        <v>2495</v>
      </c>
      <c r="U1020" s="2" t="s">
        <v>3076</v>
      </c>
    </row>
    <row r="1021" spans="1:112" ht="119" x14ac:dyDescent="0.2">
      <c r="A1021" s="26" t="s">
        <v>5859</v>
      </c>
      <c r="B1021" s="7" t="s">
        <v>5860</v>
      </c>
      <c r="C1021" s="2" t="s">
        <v>5860</v>
      </c>
      <c r="D1021" s="5">
        <v>2</v>
      </c>
      <c r="E1021" s="6" t="s">
        <v>153</v>
      </c>
      <c r="F1021" s="6"/>
      <c r="G1021" s="6" t="s">
        <v>6087</v>
      </c>
      <c r="H1021" s="6"/>
      <c r="I1021" s="6" t="s">
        <v>6086</v>
      </c>
      <c r="J1021" s="12" t="s">
        <v>1284</v>
      </c>
      <c r="K1021" s="12" t="s">
        <v>1284</v>
      </c>
      <c r="L1021" s="12" t="s">
        <v>1284</v>
      </c>
      <c r="M1021" s="12" t="s">
        <v>1285</v>
      </c>
      <c r="N1021" s="34" t="s">
        <v>5861</v>
      </c>
      <c r="O1021" s="12" t="s">
        <v>5862</v>
      </c>
      <c r="P1021" s="12" t="s">
        <v>159</v>
      </c>
      <c r="Q1021" s="12" t="s">
        <v>30</v>
      </c>
      <c r="R1021" s="12" t="s">
        <v>1287</v>
      </c>
      <c r="S1021" s="12" t="s">
        <v>33</v>
      </c>
      <c r="T1021" s="12" t="s">
        <v>5858</v>
      </c>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c r="CA1021" s="12"/>
      <c r="CB1021" s="12"/>
      <c r="CC1021" s="12"/>
      <c r="CD1021" s="12"/>
      <c r="CE1021" s="12"/>
      <c r="CF1021" s="12"/>
      <c r="CG1021" s="12"/>
      <c r="CH1021" s="12"/>
      <c r="CI1021" s="12"/>
      <c r="CJ1021" s="12"/>
      <c r="CK1021" s="12"/>
      <c r="CL1021" s="12"/>
      <c r="CM1021" s="12"/>
      <c r="CN1021" s="12"/>
      <c r="CO1021" s="12"/>
      <c r="CP1021" s="12"/>
      <c r="CQ1021" s="12"/>
      <c r="CR1021" s="12"/>
      <c r="CS1021" s="12"/>
      <c r="CT1021" s="12"/>
      <c r="CU1021" s="12"/>
      <c r="CV1021" s="12"/>
      <c r="CW1021" s="12"/>
      <c r="CX1021" s="12"/>
      <c r="CY1021" s="12"/>
      <c r="CZ1021" s="12"/>
      <c r="DA1021" s="12"/>
      <c r="DB1021" s="12"/>
      <c r="DC1021" s="12"/>
      <c r="DD1021" s="12"/>
      <c r="DE1021" s="12"/>
      <c r="DF1021" s="12"/>
      <c r="DG1021" s="12"/>
      <c r="DH1021" s="12"/>
    </row>
    <row r="1022" spans="1:112" ht="85" x14ac:dyDescent="0.2">
      <c r="A1022" s="26" t="s">
        <v>5890</v>
      </c>
      <c r="B1022" s="7" t="s">
        <v>5891</v>
      </c>
      <c r="C1022" s="2" t="s">
        <v>5891</v>
      </c>
      <c r="D1022" s="1">
        <v>2</v>
      </c>
      <c r="E1022" s="2" t="s">
        <v>61</v>
      </c>
      <c r="G1022" s="2" t="s">
        <v>2742</v>
      </c>
      <c r="H1022" s="2" t="s">
        <v>2743</v>
      </c>
      <c r="I1022" s="2" t="s">
        <v>2744</v>
      </c>
      <c r="J1022" s="12" t="s">
        <v>1284</v>
      </c>
      <c r="K1022" s="12" t="s">
        <v>1284</v>
      </c>
      <c r="L1022" s="12" t="s">
        <v>1284</v>
      </c>
      <c r="M1022" s="12" t="s">
        <v>1285</v>
      </c>
      <c r="N1022" s="34" t="s">
        <v>5892</v>
      </c>
      <c r="O1022" s="12" t="s">
        <v>5893</v>
      </c>
      <c r="P1022" s="12" t="s">
        <v>68</v>
      </c>
      <c r="Q1022" s="12" t="s">
        <v>41</v>
      </c>
      <c r="R1022" s="12" t="s">
        <v>1287</v>
      </c>
      <c r="S1022" s="12" t="s">
        <v>33</v>
      </c>
      <c r="T1022" s="12" t="s">
        <v>3069</v>
      </c>
      <c r="U1022" s="12" t="s">
        <v>5894</v>
      </c>
      <c r="V1022" s="12" t="s">
        <v>5894</v>
      </c>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c r="CA1022" s="12"/>
      <c r="CB1022" s="12"/>
      <c r="CC1022" s="12"/>
      <c r="CD1022" s="12"/>
      <c r="CE1022" s="12"/>
      <c r="CF1022" s="12"/>
      <c r="CG1022" s="12"/>
      <c r="CH1022" s="12"/>
      <c r="CI1022" s="12"/>
      <c r="CJ1022" s="12"/>
      <c r="CK1022" s="12"/>
      <c r="CL1022" s="12"/>
      <c r="CM1022" s="12"/>
      <c r="CN1022" s="12"/>
      <c r="CO1022" s="12"/>
      <c r="CP1022" s="12"/>
      <c r="CQ1022" s="12"/>
      <c r="CR1022" s="12"/>
      <c r="CS1022" s="12"/>
      <c r="CT1022" s="12"/>
      <c r="CU1022" s="12"/>
      <c r="CV1022" s="12"/>
      <c r="CW1022" s="12"/>
      <c r="CX1022" s="12"/>
      <c r="CY1022" s="12"/>
      <c r="CZ1022" s="12"/>
      <c r="DA1022" s="12"/>
      <c r="DB1022" s="12"/>
      <c r="DC1022" s="12"/>
      <c r="DD1022" s="12"/>
      <c r="DE1022" s="12"/>
      <c r="DF1022" s="12"/>
      <c r="DG1022" s="12"/>
      <c r="DH1022" s="12"/>
    </row>
    <row r="1023" spans="1:112" ht="102" x14ac:dyDescent="0.2">
      <c r="A1023" s="25" t="s">
        <v>3077</v>
      </c>
      <c r="B1023" s="2" t="s">
        <v>3078</v>
      </c>
      <c r="C1023" s="2" t="s">
        <v>3078</v>
      </c>
      <c r="D1023" s="1">
        <v>2</v>
      </c>
      <c r="E1023" s="2" t="s">
        <v>23</v>
      </c>
      <c r="G1023" s="2" t="s">
        <v>2735</v>
      </c>
      <c r="H1023" s="2" t="s">
        <v>2491</v>
      </c>
      <c r="I1023" s="2" t="s">
        <v>3079</v>
      </c>
      <c r="J1023" s="2" t="s">
        <v>1284</v>
      </c>
      <c r="K1023" s="2" t="s">
        <v>1284</v>
      </c>
      <c r="L1023" s="2" t="s">
        <v>1284</v>
      </c>
      <c r="M1023" s="2" t="s">
        <v>1285</v>
      </c>
      <c r="N1023" s="25" t="s">
        <v>3080</v>
      </c>
      <c r="O1023" s="2" t="s">
        <v>3081</v>
      </c>
      <c r="P1023" s="2" t="s">
        <v>68</v>
      </c>
      <c r="Q1023" s="2" t="s">
        <v>41</v>
      </c>
      <c r="R1023" s="2" t="s">
        <v>1287</v>
      </c>
      <c r="S1023" s="2" t="s">
        <v>33</v>
      </c>
      <c r="T1023" s="2" t="s">
        <v>3082</v>
      </c>
      <c r="U1023" s="2" t="s">
        <v>3083</v>
      </c>
    </row>
    <row r="1024" spans="1:112" ht="34" x14ac:dyDescent="0.2">
      <c r="A1024" s="25" t="s">
        <v>3084</v>
      </c>
      <c r="B1024" s="2" t="s">
        <v>3085</v>
      </c>
      <c r="C1024" s="2" t="s">
        <v>3085</v>
      </c>
      <c r="D1024" s="1">
        <v>2</v>
      </c>
      <c r="E1024" s="2" t="s">
        <v>61</v>
      </c>
      <c r="F1024" s="2" t="s">
        <v>2639</v>
      </c>
      <c r="G1024" s="2" t="s">
        <v>2735</v>
      </c>
      <c r="J1024" s="2" t="s">
        <v>1284</v>
      </c>
      <c r="K1024" s="2" t="s">
        <v>1284</v>
      </c>
      <c r="L1024" s="2" t="s">
        <v>1284</v>
      </c>
      <c r="M1024" s="2" t="s">
        <v>1285</v>
      </c>
      <c r="N1024" s="25" t="s">
        <v>3086</v>
      </c>
      <c r="O1024" s="2" t="s">
        <v>3087</v>
      </c>
      <c r="P1024" s="2" t="s">
        <v>93</v>
      </c>
      <c r="Q1024" s="2" t="s">
        <v>41</v>
      </c>
      <c r="R1024" s="2" t="s">
        <v>1287</v>
      </c>
      <c r="S1024" s="2" t="s">
        <v>33</v>
      </c>
      <c r="T1024" s="2" t="s">
        <v>3088</v>
      </c>
      <c r="U1024" s="2" t="s">
        <v>3089</v>
      </c>
    </row>
    <row r="1025" spans="1:112" ht="34" x14ac:dyDescent="0.2">
      <c r="A1025" s="25" t="s">
        <v>3090</v>
      </c>
      <c r="B1025" s="2" t="s">
        <v>3091</v>
      </c>
      <c r="C1025" s="2" t="s">
        <v>3091</v>
      </c>
      <c r="D1025" s="1">
        <v>2</v>
      </c>
      <c r="E1025" s="2" t="s">
        <v>61</v>
      </c>
      <c r="F1025" s="2" t="s">
        <v>3092</v>
      </c>
      <c r="G1025" s="2" t="s">
        <v>2735</v>
      </c>
      <c r="J1025" s="2" t="s">
        <v>1284</v>
      </c>
      <c r="K1025" s="2" t="s">
        <v>1284</v>
      </c>
      <c r="L1025" s="2" t="s">
        <v>1284</v>
      </c>
      <c r="M1025" s="2" t="s">
        <v>1285</v>
      </c>
      <c r="N1025" s="25" t="s">
        <v>3093</v>
      </c>
      <c r="O1025" s="2" t="s">
        <v>1579</v>
      </c>
      <c r="P1025" s="2" t="s">
        <v>30</v>
      </c>
      <c r="Q1025" s="2" t="s">
        <v>41</v>
      </c>
      <c r="R1025" s="2" t="s">
        <v>1287</v>
      </c>
      <c r="S1025" s="2" t="s">
        <v>33</v>
      </c>
      <c r="T1025" s="2" t="s">
        <v>1580</v>
      </c>
      <c r="U1025" s="2" t="s">
        <v>4868</v>
      </c>
      <c r="V1025" s="2" t="s">
        <v>4869</v>
      </c>
      <c r="W1025" s="2" t="s">
        <v>4870</v>
      </c>
      <c r="X1025" s="2" t="s">
        <v>4871</v>
      </c>
      <c r="Y1025" s="2" t="s">
        <v>4872</v>
      </c>
      <c r="Z1025" s="2" t="s">
        <v>4873</v>
      </c>
      <c r="AA1025" s="2" t="s">
        <v>4874</v>
      </c>
      <c r="AB1025" s="2" t="s">
        <v>4875</v>
      </c>
      <c r="AC1025" s="2" t="s">
        <v>4876</v>
      </c>
    </row>
    <row r="1026" spans="1:112" ht="34" x14ac:dyDescent="0.2">
      <c r="A1026" s="25" t="s">
        <v>3094</v>
      </c>
      <c r="B1026" s="2" t="s">
        <v>3095</v>
      </c>
      <c r="C1026" s="2" t="s">
        <v>3095</v>
      </c>
      <c r="D1026" s="1">
        <v>2</v>
      </c>
      <c r="E1026" s="2" t="s">
        <v>61</v>
      </c>
      <c r="F1026" s="2" t="s">
        <v>3092</v>
      </c>
      <c r="G1026" s="2" t="s">
        <v>2735</v>
      </c>
      <c r="J1026" s="2" t="s">
        <v>1284</v>
      </c>
      <c r="K1026" s="2" t="s">
        <v>1284</v>
      </c>
      <c r="L1026" s="2" t="s">
        <v>1284</v>
      </c>
      <c r="M1026" s="2" t="s">
        <v>1285</v>
      </c>
      <c r="N1026" s="25" t="s">
        <v>3096</v>
      </c>
      <c r="O1026" s="2" t="s">
        <v>1579</v>
      </c>
      <c r="P1026" s="2" t="s">
        <v>40</v>
      </c>
      <c r="Q1026" s="2" t="s">
        <v>41</v>
      </c>
      <c r="R1026" s="2" t="s">
        <v>1287</v>
      </c>
      <c r="S1026" s="2" t="s">
        <v>33</v>
      </c>
      <c r="T1026" s="2" t="s">
        <v>1580</v>
      </c>
      <c r="U1026" s="2" t="s">
        <v>4877</v>
      </c>
      <c r="V1026" s="2" t="s">
        <v>4878</v>
      </c>
      <c r="W1026" s="2" t="s">
        <v>4879</v>
      </c>
      <c r="X1026" s="2" t="s">
        <v>4880</v>
      </c>
      <c r="Y1026" s="2" t="s">
        <v>4881</v>
      </c>
      <c r="Z1026" s="2" t="s">
        <v>4882</v>
      </c>
      <c r="AA1026" s="2" t="s">
        <v>4883</v>
      </c>
      <c r="AB1026" s="2" t="s">
        <v>4884</v>
      </c>
      <c r="AC1026" s="2" t="s">
        <v>4885</v>
      </c>
      <c r="AD1026" s="2" t="s">
        <v>4886</v>
      </c>
      <c r="AE1026" s="2" t="s">
        <v>4887</v>
      </c>
    </row>
    <row r="1027" spans="1:112" ht="119" x14ac:dyDescent="0.2">
      <c r="A1027" s="26" t="s">
        <v>5909</v>
      </c>
      <c r="B1027" s="7" t="s">
        <v>5910</v>
      </c>
      <c r="C1027" s="2" t="s">
        <v>5910</v>
      </c>
      <c r="D1027" s="5">
        <v>2</v>
      </c>
      <c r="E1027" s="6" t="s">
        <v>23</v>
      </c>
      <c r="F1027" s="6"/>
      <c r="G1027" s="6" t="s">
        <v>2735</v>
      </c>
      <c r="H1027" s="6" t="s">
        <v>1418</v>
      </c>
      <c r="I1027" s="6" t="s">
        <v>6097</v>
      </c>
      <c r="J1027" s="12" t="s">
        <v>1284</v>
      </c>
      <c r="K1027" s="12" t="s">
        <v>1284</v>
      </c>
      <c r="L1027" s="12" t="s">
        <v>1284</v>
      </c>
      <c r="M1027" s="12" t="s">
        <v>1285</v>
      </c>
      <c r="N1027" s="34" t="s">
        <v>5911</v>
      </c>
      <c r="O1027" s="12" t="s">
        <v>5619</v>
      </c>
      <c r="P1027" s="12" t="s">
        <v>650</v>
      </c>
      <c r="Q1027" s="12" t="s">
        <v>41</v>
      </c>
      <c r="R1027" s="12" t="s">
        <v>1287</v>
      </c>
      <c r="S1027" s="12" t="s">
        <v>33</v>
      </c>
      <c r="T1027" s="12" t="s">
        <v>5912</v>
      </c>
      <c r="U1027" s="12" t="s">
        <v>5913</v>
      </c>
      <c r="V1027" s="12" t="s">
        <v>5913</v>
      </c>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c r="CA1027" s="12"/>
      <c r="CB1027" s="12"/>
      <c r="CC1027" s="12"/>
      <c r="CD1027" s="12"/>
      <c r="CE1027" s="12"/>
      <c r="CF1027" s="12"/>
      <c r="CG1027" s="12"/>
      <c r="CH1027" s="12"/>
      <c r="CI1027" s="12"/>
      <c r="CJ1027" s="12"/>
      <c r="CK1027" s="12"/>
      <c r="CL1027" s="12"/>
      <c r="CM1027" s="12"/>
      <c r="CN1027" s="12"/>
      <c r="CO1027" s="12"/>
      <c r="CP1027" s="12"/>
      <c r="CQ1027" s="12"/>
      <c r="CR1027" s="12"/>
      <c r="CS1027" s="12"/>
      <c r="CT1027" s="12"/>
      <c r="CU1027" s="12"/>
      <c r="CV1027" s="12"/>
      <c r="CW1027" s="12"/>
      <c r="CX1027" s="12"/>
      <c r="CY1027" s="12"/>
      <c r="CZ1027" s="12"/>
      <c r="DA1027" s="12"/>
      <c r="DB1027" s="12"/>
      <c r="DC1027" s="12"/>
      <c r="DD1027" s="12"/>
      <c r="DE1027" s="12"/>
      <c r="DF1027" s="12"/>
      <c r="DG1027" s="12"/>
      <c r="DH1027" s="12"/>
    </row>
    <row r="1028" spans="1:112" ht="85" x14ac:dyDescent="0.2">
      <c r="A1028" s="25" t="s">
        <v>3097</v>
      </c>
      <c r="B1028" s="2" t="s">
        <v>3098</v>
      </c>
      <c r="C1028" s="2" t="s">
        <v>3098</v>
      </c>
      <c r="D1028" s="1">
        <v>2</v>
      </c>
      <c r="E1028" s="2" t="s">
        <v>61</v>
      </c>
      <c r="F1028" s="2" t="s">
        <v>3099</v>
      </c>
      <c r="G1028" s="2" t="s">
        <v>2766</v>
      </c>
      <c r="H1028" s="2" t="s">
        <v>538</v>
      </c>
      <c r="I1028" s="2" t="s">
        <v>1476</v>
      </c>
      <c r="J1028" s="2" t="s">
        <v>1284</v>
      </c>
      <c r="K1028" s="2" t="s">
        <v>1284</v>
      </c>
      <c r="L1028" s="2" t="s">
        <v>1284</v>
      </c>
      <c r="M1028" s="2" t="s">
        <v>1285</v>
      </c>
      <c r="N1028" s="25" t="s">
        <v>3100</v>
      </c>
      <c r="O1028" s="2" t="s">
        <v>1999</v>
      </c>
      <c r="P1028" s="2" t="s">
        <v>257</v>
      </c>
      <c r="Q1028" s="2" t="s">
        <v>41</v>
      </c>
      <c r="R1028" s="2" t="s">
        <v>1287</v>
      </c>
      <c r="S1028" s="2" t="s">
        <v>33</v>
      </c>
      <c r="T1028" s="2" t="s">
        <v>3101</v>
      </c>
      <c r="U1028" s="2" t="s">
        <v>4888</v>
      </c>
      <c r="V1028" s="2" t="s">
        <v>4889</v>
      </c>
    </row>
    <row r="1029" spans="1:112" ht="34" x14ac:dyDescent="0.2">
      <c r="A1029" s="25" t="s">
        <v>3102</v>
      </c>
      <c r="B1029" s="2" t="s">
        <v>3103</v>
      </c>
      <c r="C1029" s="2" t="s">
        <v>3103</v>
      </c>
      <c r="D1029" s="1">
        <v>2</v>
      </c>
      <c r="E1029" s="2" t="s">
        <v>61</v>
      </c>
      <c r="F1029" s="2" t="s">
        <v>3056</v>
      </c>
      <c r="G1029" s="2" t="s">
        <v>2946</v>
      </c>
      <c r="H1029" s="2" t="s">
        <v>2634</v>
      </c>
      <c r="J1029" s="2" t="s">
        <v>1284</v>
      </c>
      <c r="K1029" s="2" t="s">
        <v>1284</v>
      </c>
      <c r="L1029" s="2" t="s">
        <v>1284</v>
      </c>
      <c r="M1029" s="2" t="s">
        <v>1285</v>
      </c>
      <c r="N1029" s="25" t="s">
        <v>3104</v>
      </c>
      <c r="O1029" s="2" t="s">
        <v>1999</v>
      </c>
      <c r="P1029" s="2" t="s">
        <v>2326</v>
      </c>
      <c r="Q1029" s="2" t="s">
        <v>30</v>
      </c>
      <c r="R1029" s="2" t="s">
        <v>1287</v>
      </c>
      <c r="S1029" s="2" t="s">
        <v>33</v>
      </c>
      <c r="T1029" s="2" t="s">
        <v>3105</v>
      </c>
      <c r="U1029" s="2" t="s">
        <v>292</v>
      </c>
    </row>
    <row r="1030" spans="1:112" ht="51" x14ac:dyDescent="0.2">
      <c r="A1030" s="26" t="s">
        <v>5923</v>
      </c>
      <c r="B1030" s="7" t="s">
        <v>5924</v>
      </c>
      <c r="C1030" s="2" t="s">
        <v>5925</v>
      </c>
      <c r="D1030" s="1">
        <v>2</v>
      </c>
      <c r="E1030" s="2" t="s">
        <v>61</v>
      </c>
      <c r="F1030" s="2" t="s">
        <v>2912</v>
      </c>
      <c r="G1030" s="2" t="s">
        <v>2946</v>
      </c>
      <c r="H1030" s="2" t="s">
        <v>680</v>
      </c>
      <c r="I1030" s="2" t="s">
        <v>2947</v>
      </c>
      <c r="J1030" s="12" t="s">
        <v>1284</v>
      </c>
      <c r="K1030" s="12" t="s">
        <v>1284</v>
      </c>
      <c r="L1030" s="12" t="s">
        <v>1284</v>
      </c>
      <c r="M1030" s="12" t="s">
        <v>1285</v>
      </c>
      <c r="N1030" s="34" t="s">
        <v>5926</v>
      </c>
      <c r="O1030" s="12" t="s">
        <v>1999</v>
      </c>
      <c r="P1030" s="12" t="s">
        <v>1478</v>
      </c>
      <c r="Q1030" s="12" t="s">
        <v>41</v>
      </c>
      <c r="R1030" s="12" t="s">
        <v>1287</v>
      </c>
      <c r="S1030" s="12" t="s">
        <v>33</v>
      </c>
      <c r="T1030" s="12" t="s">
        <v>5927</v>
      </c>
      <c r="U1030" s="12" t="s">
        <v>5928</v>
      </c>
      <c r="V1030" s="12" t="s">
        <v>5929</v>
      </c>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c r="CA1030" s="12"/>
      <c r="CB1030" s="12"/>
      <c r="CC1030" s="12"/>
      <c r="CD1030" s="12"/>
      <c r="CE1030" s="12"/>
      <c r="CF1030" s="12"/>
      <c r="CG1030" s="12"/>
      <c r="CH1030" s="12"/>
      <c r="CI1030" s="12"/>
      <c r="CJ1030" s="12"/>
      <c r="CK1030" s="12"/>
      <c r="CL1030" s="12"/>
      <c r="CM1030" s="12"/>
      <c r="CN1030" s="12"/>
      <c r="CO1030" s="12"/>
      <c r="CP1030" s="12"/>
      <c r="CQ1030" s="12"/>
      <c r="CR1030" s="12"/>
      <c r="CS1030" s="12"/>
      <c r="CT1030" s="12"/>
      <c r="CU1030" s="12"/>
      <c r="CV1030" s="12"/>
      <c r="CW1030" s="12"/>
      <c r="CX1030" s="12"/>
      <c r="CY1030" s="12"/>
      <c r="CZ1030" s="12"/>
      <c r="DA1030" s="12"/>
      <c r="DB1030" s="12"/>
      <c r="DC1030" s="12"/>
      <c r="DD1030" s="12"/>
      <c r="DE1030" s="12"/>
      <c r="DF1030" s="12"/>
      <c r="DG1030" s="12"/>
      <c r="DH1030" s="12"/>
    </row>
    <row r="1031" spans="1:112" ht="68" x14ac:dyDescent="0.2">
      <c r="A1031" s="25" t="s">
        <v>3106</v>
      </c>
      <c r="B1031" s="2" t="s">
        <v>3107</v>
      </c>
      <c r="C1031" s="2" t="s">
        <v>3107</v>
      </c>
      <c r="D1031" s="1">
        <v>2</v>
      </c>
      <c r="E1031" s="2" t="s">
        <v>61</v>
      </c>
      <c r="F1031" s="2" t="s">
        <v>3056</v>
      </c>
      <c r="G1031" s="2" t="s">
        <v>2946</v>
      </c>
      <c r="H1031" s="2" t="s">
        <v>2634</v>
      </c>
      <c r="J1031" s="2" t="s">
        <v>1284</v>
      </c>
      <c r="K1031" s="2" t="s">
        <v>1284</v>
      </c>
      <c r="L1031" s="2" t="s">
        <v>1284</v>
      </c>
      <c r="M1031" s="2" t="s">
        <v>1285</v>
      </c>
      <c r="N1031" s="25" t="s">
        <v>3108</v>
      </c>
      <c r="O1031" s="2" t="s">
        <v>1999</v>
      </c>
      <c r="P1031" s="2" t="s">
        <v>2570</v>
      </c>
      <c r="Q1031" s="2" t="s">
        <v>41</v>
      </c>
      <c r="R1031" s="2" t="s">
        <v>1287</v>
      </c>
      <c r="S1031" s="2" t="s">
        <v>33</v>
      </c>
      <c r="T1031" s="2" t="s">
        <v>3109</v>
      </c>
      <c r="U1031" s="2" t="s">
        <v>292</v>
      </c>
    </row>
    <row r="1032" spans="1:112" ht="34" x14ac:dyDescent="0.2">
      <c r="A1032" s="26" t="s">
        <v>5930</v>
      </c>
      <c r="B1032" s="7" t="s">
        <v>5931</v>
      </c>
      <c r="C1032" s="2" t="s">
        <v>5931</v>
      </c>
      <c r="D1032" s="5">
        <v>2</v>
      </c>
      <c r="E1032" s="6" t="s">
        <v>61</v>
      </c>
      <c r="F1032" s="6" t="s">
        <v>6101</v>
      </c>
      <c r="G1032" s="6"/>
      <c r="H1032" s="6"/>
      <c r="I1032" s="6"/>
      <c r="J1032" s="12" t="s">
        <v>1284</v>
      </c>
      <c r="K1032" s="12" t="s">
        <v>1284</v>
      </c>
      <c r="L1032" s="12" t="s">
        <v>1284</v>
      </c>
      <c r="M1032" s="12" t="s">
        <v>1285</v>
      </c>
      <c r="N1032" s="34" t="s">
        <v>5932</v>
      </c>
      <c r="O1032" s="12" t="s">
        <v>1999</v>
      </c>
      <c r="P1032" s="12" t="s">
        <v>2237</v>
      </c>
      <c r="Q1032" s="12" t="s">
        <v>41</v>
      </c>
      <c r="R1032" s="12" t="s">
        <v>1287</v>
      </c>
      <c r="S1032" s="12" t="s">
        <v>33</v>
      </c>
      <c r="T1032" s="12" t="s">
        <v>5933</v>
      </c>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c r="CA1032" s="12"/>
      <c r="CB1032" s="12"/>
      <c r="CC1032" s="12"/>
      <c r="CD1032" s="12"/>
      <c r="CE1032" s="12"/>
      <c r="CF1032" s="12"/>
      <c r="CG1032" s="12"/>
      <c r="CH1032" s="12"/>
      <c r="CI1032" s="12"/>
      <c r="CJ1032" s="12"/>
      <c r="CK1032" s="12"/>
      <c r="CL1032" s="12"/>
      <c r="CM1032" s="12"/>
      <c r="CN1032" s="12"/>
      <c r="CO1032" s="12"/>
      <c r="CP1032" s="12"/>
      <c r="CQ1032" s="12"/>
      <c r="CR1032" s="12"/>
      <c r="CS1032" s="12"/>
      <c r="CT1032" s="12"/>
      <c r="CU1032" s="12"/>
      <c r="CV1032" s="12"/>
      <c r="CW1032" s="12"/>
      <c r="CX1032" s="12"/>
      <c r="CY1032" s="12"/>
      <c r="CZ1032" s="12"/>
      <c r="DA1032" s="12"/>
      <c r="DB1032" s="12"/>
      <c r="DC1032" s="12"/>
      <c r="DD1032" s="12"/>
      <c r="DE1032" s="12"/>
      <c r="DF1032" s="12"/>
      <c r="DG1032" s="12"/>
      <c r="DH1032" s="12"/>
    </row>
    <row r="1033" spans="1:112" ht="204" x14ac:dyDescent="0.2">
      <c r="A1033" s="25" t="s">
        <v>3110</v>
      </c>
      <c r="B1033" s="2" t="s">
        <v>3111</v>
      </c>
      <c r="C1033" s="2" t="s">
        <v>3111</v>
      </c>
      <c r="D1033" s="1">
        <v>2</v>
      </c>
      <c r="E1033" s="2" t="s">
        <v>23</v>
      </c>
      <c r="G1033" s="2" t="s">
        <v>2735</v>
      </c>
      <c r="H1033" s="2" t="s">
        <v>3112</v>
      </c>
      <c r="I1033" s="2" t="s">
        <v>3113</v>
      </c>
      <c r="J1033" s="2" t="s">
        <v>1284</v>
      </c>
      <c r="K1033" s="2" t="s">
        <v>1284</v>
      </c>
      <c r="L1033" s="2" t="s">
        <v>1284</v>
      </c>
      <c r="M1033" s="2" t="s">
        <v>1285</v>
      </c>
      <c r="N1033" s="25" t="s">
        <v>3114</v>
      </c>
      <c r="O1033" s="2" t="s">
        <v>1999</v>
      </c>
      <c r="P1033" s="2" t="s">
        <v>183</v>
      </c>
      <c r="Q1033" s="2" t="s">
        <v>41</v>
      </c>
      <c r="R1033" s="2" t="s">
        <v>1287</v>
      </c>
      <c r="S1033" s="2" t="s">
        <v>33</v>
      </c>
      <c r="T1033" s="2" t="s">
        <v>3115</v>
      </c>
      <c r="U1033" s="2" t="s">
        <v>4890</v>
      </c>
      <c r="V1033" s="2" t="s">
        <v>4891</v>
      </c>
    </row>
    <row r="1034" spans="1:112" ht="51" x14ac:dyDescent="0.2">
      <c r="A1034" s="25" t="s">
        <v>3116</v>
      </c>
      <c r="B1034" s="2" t="s">
        <v>3117</v>
      </c>
      <c r="C1034" s="2" t="s">
        <v>3117</v>
      </c>
      <c r="D1034" s="1">
        <v>2</v>
      </c>
      <c r="E1034" s="2" t="s">
        <v>61</v>
      </c>
      <c r="F1034" s="2" t="s">
        <v>3118</v>
      </c>
      <c r="G1034" s="2" t="s">
        <v>2735</v>
      </c>
      <c r="H1034" s="2" t="s">
        <v>2142</v>
      </c>
      <c r="J1034" s="2" t="s">
        <v>1284</v>
      </c>
      <c r="K1034" s="2" t="s">
        <v>1284</v>
      </c>
      <c r="L1034" s="2" t="s">
        <v>1284</v>
      </c>
      <c r="M1034" s="2" t="s">
        <v>1285</v>
      </c>
      <c r="N1034" s="25" t="s">
        <v>3119</v>
      </c>
      <c r="O1034" s="2" t="s">
        <v>1999</v>
      </c>
      <c r="P1034" s="2" t="s">
        <v>2389</v>
      </c>
      <c r="Q1034" s="2" t="s">
        <v>41</v>
      </c>
      <c r="R1034" s="2" t="s">
        <v>1287</v>
      </c>
      <c r="S1034" s="2" t="s">
        <v>33</v>
      </c>
      <c r="T1034" s="2" t="s">
        <v>3120</v>
      </c>
      <c r="U1034" s="2" t="s">
        <v>4892</v>
      </c>
      <c r="V1034" s="2" t="s">
        <v>4893</v>
      </c>
      <c r="W1034" s="2" t="s">
        <v>4894</v>
      </c>
    </row>
    <row r="1035" spans="1:112" ht="34" x14ac:dyDescent="0.2">
      <c r="A1035" s="25" t="s">
        <v>3121</v>
      </c>
      <c r="B1035" s="2" t="s">
        <v>3122</v>
      </c>
      <c r="C1035" s="2" t="s">
        <v>3122</v>
      </c>
      <c r="D1035" s="1">
        <v>2</v>
      </c>
      <c r="E1035" s="2" t="s">
        <v>61</v>
      </c>
      <c r="G1035" s="2" t="s">
        <v>2735</v>
      </c>
      <c r="H1035" s="2" t="s">
        <v>2142</v>
      </c>
      <c r="J1035" s="2" t="s">
        <v>1284</v>
      </c>
      <c r="K1035" s="2" t="s">
        <v>1284</v>
      </c>
      <c r="L1035" s="2" t="s">
        <v>1284</v>
      </c>
      <c r="M1035" s="2" t="s">
        <v>1285</v>
      </c>
      <c r="N1035" s="25" t="s">
        <v>3123</v>
      </c>
      <c r="O1035" s="2" t="s">
        <v>1394</v>
      </c>
      <c r="P1035" s="2" t="s">
        <v>629</v>
      </c>
      <c r="Q1035" s="2" t="s">
        <v>41</v>
      </c>
      <c r="R1035" s="2" t="s">
        <v>1287</v>
      </c>
      <c r="S1035" s="2" t="s">
        <v>33</v>
      </c>
      <c r="T1035" s="2" t="s">
        <v>3124</v>
      </c>
      <c r="U1035" s="2" t="s">
        <v>292</v>
      </c>
    </row>
    <row r="1036" spans="1:112" ht="68" x14ac:dyDescent="0.2">
      <c r="A1036" s="25" t="s">
        <v>3125</v>
      </c>
      <c r="B1036" s="2" t="s">
        <v>3126</v>
      </c>
      <c r="C1036" s="2" t="s">
        <v>3126</v>
      </c>
      <c r="D1036" s="1">
        <v>2</v>
      </c>
      <c r="E1036" s="2" t="s">
        <v>61</v>
      </c>
      <c r="F1036" s="2" t="s">
        <v>3056</v>
      </c>
      <c r="G1036" s="2" t="s">
        <v>2735</v>
      </c>
      <c r="H1036" s="2" t="s">
        <v>3127</v>
      </c>
      <c r="I1036" s="2" t="s">
        <v>3128</v>
      </c>
      <c r="J1036" s="2" t="s">
        <v>1284</v>
      </c>
      <c r="K1036" s="2" t="s">
        <v>1284</v>
      </c>
      <c r="L1036" s="2" t="s">
        <v>1284</v>
      </c>
      <c r="M1036" s="2" t="s">
        <v>1285</v>
      </c>
      <c r="N1036" s="25" t="s">
        <v>3129</v>
      </c>
      <c r="O1036" s="2" t="s">
        <v>1394</v>
      </c>
      <c r="P1036" s="2" t="s">
        <v>165</v>
      </c>
      <c r="Q1036" s="2" t="s">
        <v>41</v>
      </c>
      <c r="R1036" s="2" t="s">
        <v>1287</v>
      </c>
      <c r="S1036" s="2" t="s">
        <v>33</v>
      </c>
      <c r="T1036" s="2" t="s">
        <v>3130</v>
      </c>
      <c r="U1036" s="2" t="s">
        <v>292</v>
      </c>
    </row>
    <row r="1037" spans="1:112" ht="102" x14ac:dyDescent="0.2">
      <c r="A1037" s="25" t="s">
        <v>3131</v>
      </c>
      <c r="B1037" s="2" t="s">
        <v>3132</v>
      </c>
      <c r="C1037" s="2" t="s">
        <v>3132</v>
      </c>
      <c r="D1037" s="1">
        <v>2</v>
      </c>
      <c r="E1037" s="2" t="s">
        <v>23</v>
      </c>
      <c r="G1037" s="2" t="s">
        <v>3133</v>
      </c>
      <c r="I1037" s="2" t="s">
        <v>3134</v>
      </c>
      <c r="J1037" s="2" t="s">
        <v>1284</v>
      </c>
      <c r="K1037" s="2" t="s">
        <v>1284</v>
      </c>
      <c r="L1037" s="2" t="s">
        <v>1284</v>
      </c>
      <c r="M1037" s="2" t="s">
        <v>1285</v>
      </c>
      <c r="N1037" s="25" t="s">
        <v>3135</v>
      </c>
      <c r="O1037" s="2" t="s">
        <v>2649</v>
      </c>
      <c r="P1037" s="2" t="s">
        <v>159</v>
      </c>
      <c r="Q1037" s="2" t="s">
        <v>41</v>
      </c>
      <c r="R1037" s="2" t="s">
        <v>1287</v>
      </c>
      <c r="S1037" s="2" t="s">
        <v>33</v>
      </c>
      <c r="T1037" s="2" t="s">
        <v>2495</v>
      </c>
      <c r="U1037" s="2" t="s">
        <v>3136</v>
      </c>
    </row>
    <row r="1038" spans="1:112" ht="102" x14ac:dyDescent="0.2">
      <c r="A1038" s="25" t="s">
        <v>3137</v>
      </c>
      <c r="B1038" s="2" t="s">
        <v>3138</v>
      </c>
      <c r="C1038" s="2" t="s">
        <v>3138</v>
      </c>
      <c r="D1038" s="1">
        <v>2</v>
      </c>
      <c r="E1038" s="2" t="s">
        <v>23</v>
      </c>
      <c r="G1038" s="2" t="s">
        <v>3133</v>
      </c>
      <c r="I1038" s="2" t="s">
        <v>3134</v>
      </c>
      <c r="J1038" s="2" t="s">
        <v>1284</v>
      </c>
      <c r="K1038" s="2" t="s">
        <v>1284</v>
      </c>
      <c r="L1038" s="2" t="s">
        <v>1284</v>
      </c>
      <c r="M1038" s="2" t="s">
        <v>1285</v>
      </c>
      <c r="N1038" s="25" t="s">
        <v>3139</v>
      </c>
      <c r="O1038" s="2" t="s">
        <v>2649</v>
      </c>
      <c r="P1038" s="2" t="s">
        <v>353</v>
      </c>
      <c r="Q1038" s="2" t="s">
        <v>41</v>
      </c>
      <c r="R1038" s="2" t="s">
        <v>1287</v>
      </c>
      <c r="S1038" s="2" t="s">
        <v>33</v>
      </c>
      <c r="T1038" s="2" t="s">
        <v>2495</v>
      </c>
      <c r="U1038" s="2" t="s">
        <v>3140</v>
      </c>
    </row>
    <row r="1039" spans="1:112" ht="102" x14ac:dyDescent="0.2">
      <c r="A1039" s="25" t="s">
        <v>3141</v>
      </c>
      <c r="B1039" s="2" t="s">
        <v>3142</v>
      </c>
      <c r="C1039" s="2" t="s">
        <v>3142</v>
      </c>
      <c r="D1039" s="1">
        <v>2</v>
      </c>
      <c r="E1039" s="2" t="s">
        <v>23</v>
      </c>
      <c r="G1039" s="2" t="s">
        <v>3133</v>
      </c>
      <c r="I1039" s="2" t="s">
        <v>3134</v>
      </c>
      <c r="J1039" s="2" t="s">
        <v>1284</v>
      </c>
      <c r="K1039" s="2" t="s">
        <v>1284</v>
      </c>
      <c r="L1039" s="2" t="s">
        <v>1284</v>
      </c>
      <c r="M1039" s="2" t="s">
        <v>1285</v>
      </c>
      <c r="N1039" s="25" t="s">
        <v>3143</v>
      </c>
      <c r="O1039" s="2" t="s">
        <v>2649</v>
      </c>
      <c r="P1039" s="2" t="s">
        <v>68</v>
      </c>
      <c r="Q1039" s="2" t="s">
        <v>41</v>
      </c>
      <c r="R1039" s="2" t="s">
        <v>1287</v>
      </c>
      <c r="S1039" s="2" t="s">
        <v>33</v>
      </c>
      <c r="T1039" s="2" t="s">
        <v>2495</v>
      </c>
      <c r="U1039" s="2" t="s">
        <v>292</v>
      </c>
    </row>
    <row r="1040" spans="1:112" ht="102" x14ac:dyDescent="0.2">
      <c r="A1040" s="25" t="s">
        <v>3144</v>
      </c>
      <c r="B1040" s="2" t="s">
        <v>3145</v>
      </c>
      <c r="C1040" s="2" t="s">
        <v>3145</v>
      </c>
      <c r="D1040" s="1">
        <v>2</v>
      </c>
      <c r="E1040" s="2" t="s">
        <v>23</v>
      </c>
      <c r="G1040" s="2" t="s">
        <v>3133</v>
      </c>
      <c r="I1040" s="2" t="s">
        <v>3134</v>
      </c>
      <c r="J1040" s="2" t="s">
        <v>1284</v>
      </c>
      <c r="K1040" s="2" t="s">
        <v>1284</v>
      </c>
      <c r="L1040" s="2" t="s">
        <v>1284</v>
      </c>
      <c r="M1040" s="2" t="s">
        <v>1285</v>
      </c>
      <c r="N1040" s="25" t="s">
        <v>3146</v>
      </c>
      <c r="O1040" s="2" t="s">
        <v>2649</v>
      </c>
      <c r="P1040" s="2" t="s">
        <v>93</v>
      </c>
      <c r="Q1040" s="2" t="s">
        <v>41</v>
      </c>
      <c r="R1040" s="2" t="s">
        <v>1287</v>
      </c>
      <c r="S1040" s="2" t="s">
        <v>33</v>
      </c>
      <c r="T1040" s="2" t="s">
        <v>2495</v>
      </c>
      <c r="U1040" s="2" t="s">
        <v>3147</v>
      </c>
    </row>
    <row r="1041" spans="1:112" ht="119" x14ac:dyDescent="0.2">
      <c r="A1041" s="25" t="s">
        <v>3148</v>
      </c>
      <c r="B1041" s="2" t="s">
        <v>3149</v>
      </c>
      <c r="C1041" s="2" t="s">
        <v>3149</v>
      </c>
      <c r="D1041" s="1">
        <v>2</v>
      </c>
      <c r="E1041" s="2" t="s">
        <v>23</v>
      </c>
      <c r="G1041" s="2" t="s">
        <v>3133</v>
      </c>
      <c r="I1041" s="2" t="s">
        <v>3150</v>
      </c>
      <c r="J1041" s="2" t="s">
        <v>1284</v>
      </c>
      <c r="K1041" s="2" t="s">
        <v>1284</v>
      </c>
      <c r="L1041" s="2" t="s">
        <v>1284</v>
      </c>
      <c r="M1041" s="2" t="s">
        <v>1285</v>
      </c>
      <c r="N1041" s="25" t="s">
        <v>3151</v>
      </c>
      <c r="O1041" s="2" t="s">
        <v>2649</v>
      </c>
      <c r="P1041" s="2" t="s">
        <v>913</v>
      </c>
      <c r="Q1041" s="2" t="s">
        <v>41</v>
      </c>
      <c r="R1041" s="2" t="s">
        <v>1287</v>
      </c>
      <c r="S1041" s="2" t="s">
        <v>33</v>
      </c>
      <c r="T1041" s="2" t="s">
        <v>2495</v>
      </c>
      <c r="U1041" s="2" t="s">
        <v>3152</v>
      </c>
    </row>
    <row r="1042" spans="1:112" ht="170" x14ac:dyDescent="0.2">
      <c r="A1042" s="25" t="s">
        <v>3153</v>
      </c>
      <c r="B1042" s="2" t="s">
        <v>3154</v>
      </c>
      <c r="C1042" s="2" t="s">
        <v>3154</v>
      </c>
      <c r="D1042" s="1">
        <v>2</v>
      </c>
      <c r="E1042" s="2" t="s">
        <v>23</v>
      </c>
      <c r="G1042" s="2" t="s">
        <v>3155</v>
      </c>
      <c r="I1042" s="2" t="s">
        <v>3156</v>
      </c>
      <c r="J1042" s="2" t="s">
        <v>1284</v>
      </c>
      <c r="K1042" s="2" t="s">
        <v>1284</v>
      </c>
      <c r="L1042" s="2" t="s">
        <v>1284</v>
      </c>
      <c r="M1042" s="2" t="s">
        <v>1285</v>
      </c>
      <c r="N1042" s="25" t="s">
        <v>3157</v>
      </c>
      <c r="O1042" s="2" t="s">
        <v>2649</v>
      </c>
      <c r="P1042" s="2" t="s">
        <v>165</v>
      </c>
      <c r="Q1042" s="2" t="s">
        <v>41</v>
      </c>
      <c r="R1042" s="2" t="s">
        <v>1287</v>
      </c>
      <c r="S1042" s="2" t="s">
        <v>33</v>
      </c>
      <c r="T1042" s="2" t="s">
        <v>2495</v>
      </c>
      <c r="U1042" s="2" t="s">
        <v>3158</v>
      </c>
    </row>
    <row r="1043" spans="1:112" ht="102" x14ac:dyDescent="0.2">
      <c r="A1043" s="25" t="s">
        <v>3159</v>
      </c>
      <c r="B1043" s="2" t="s">
        <v>3160</v>
      </c>
      <c r="C1043" s="2" t="s">
        <v>3160</v>
      </c>
      <c r="D1043" s="1">
        <v>2</v>
      </c>
      <c r="E1043" s="2" t="s">
        <v>23</v>
      </c>
      <c r="G1043" s="2" t="s">
        <v>3133</v>
      </c>
      <c r="I1043" s="2" t="s">
        <v>3134</v>
      </c>
      <c r="J1043" s="2" t="s">
        <v>1284</v>
      </c>
      <c r="K1043" s="2" t="s">
        <v>1284</v>
      </c>
      <c r="L1043" s="2" t="s">
        <v>1284</v>
      </c>
      <c r="M1043" s="2" t="s">
        <v>1285</v>
      </c>
      <c r="N1043" s="25" t="s">
        <v>3161</v>
      </c>
      <c r="O1043" s="2" t="s">
        <v>2649</v>
      </c>
      <c r="P1043" s="2" t="s">
        <v>177</v>
      </c>
      <c r="Q1043" s="2" t="s">
        <v>41</v>
      </c>
      <c r="R1043" s="2" t="s">
        <v>1287</v>
      </c>
      <c r="S1043" s="2" t="s">
        <v>33</v>
      </c>
      <c r="T1043" s="2" t="s">
        <v>2495</v>
      </c>
      <c r="U1043" s="2" t="s">
        <v>4895</v>
      </c>
      <c r="V1043" s="2" t="s">
        <v>4896</v>
      </c>
    </row>
    <row r="1044" spans="1:112" ht="204" x14ac:dyDescent="0.2">
      <c r="A1044" s="25" t="s">
        <v>3162</v>
      </c>
      <c r="B1044" s="2" t="s">
        <v>3163</v>
      </c>
      <c r="C1044" s="2" t="s">
        <v>3163</v>
      </c>
      <c r="D1044" s="1">
        <v>2</v>
      </c>
      <c r="E1044" s="2" t="s">
        <v>23</v>
      </c>
      <c r="G1044" s="2" t="s">
        <v>2735</v>
      </c>
      <c r="I1044" s="2" t="s">
        <v>3113</v>
      </c>
      <c r="J1044" s="2" t="s">
        <v>1284</v>
      </c>
      <c r="K1044" s="2" t="s">
        <v>1284</v>
      </c>
      <c r="L1044" s="2" t="s">
        <v>1284</v>
      </c>
      <c r="M1044" s="2" t="s">
        <v>1285</v>
      </c>
      <c r="N1044" s="25" t="s">
        <v>3164</v>
      </c>
      <c r="O1044" s="2" t="s">
        <v>3165</v>
      </c>
      <c r="P1044" s="2" t="s">
        <v>40</v>
      </c>
      <c r="Q1044" s="2" t="s">
        <v>41</v>
      </c>
      <c r="R1044" s="2" t="s">
        <v>1287</v>
      </c>
      <c r="S1044" s="2" t="s">
        <v>33</v>
      </c>
      <c r="T1044" s="2" t="s">
        <v>2483</v>
      </c>
      <c r="U1044" s="2" t="s">
        <v>3166</v>
      </c>
    </row>
    <row r="1045" spans="1:112" ht="119" x14ac:dyDescent="0.2">
      <c r="A1045" s="25" t="s">
        <v>3167</v>
      </c>
      <c r="B1045" s="2" t="s">
        <v>3168</v>
      </c>
      <c r="C1045" s="2" t="s">
        <v>3168</v>
      </c>
      <c r="D1045" s="1">
        <v>2</v>
      </c>
      <c r="E1045" s="2" t="s">
        <v>23</v>
      </c>
      <c r="G1045" s="2" t="s">
        <v>3169</v>
      </c>
      <c r="H1045" s="2" t="s">
        <v>1184</v>
      </c>
      <c r="I1045" s="2" t="s">
        <v>3170</v>
      </c>
      <c r="J1045" s="2" t="s">
        <v>1284</v>
      </c>
      <c r="K1045" s="2" t="s">
        <v>1284</v>
      </c>
      <c r="L1045" s="2" t="s">
        <v>1284</v>
      </c>
      <c r="M1045" s="2" t="s">
        <v>1285</v>
      </c>
      <c r="N1045" s="25" t="s">
        <v>3171</v>
      </c>
      <c r="O1045" s="2" t="s">
        <v>3172</v>
      </c>
      <c r="P1045" s="2" t="s">
        <v>30</v>
      </c>
      <c r="Q1045" s="2" t="s">
        <v>41</v>
      </c>
      <c r="R1045" s="2" t="s">
        <v>1287</v>
      </c>
      <c r="S1045" s="2" t="s">
        <v>33</v>
      </c>
      <c r="T1045" s="2" t="s">
        <v>2495</v>
      </c>
      <c r="U1045" s="2" t="s">
        <v>3173</v>
      </c>
    </row>
    <row r="1046" spans="1:112" ht="119" x14ac:dyDescent="0.2">
      <c r="A1046" s="25" t="s">
        <v>3174</v>
      </c>
      <c r="B1046" s="2" t="s">
        <v>3175</v>
      </c>
      <c r="C1046" s="2" t="s">
        <v>3175</v>
      </c>
      <c r="D1046" s="1">
        <v>2</v>
      </c>
      <c r="E1046" s="2" t="s">
        <v>23</v>
      </c>
      <c r="G1046" s="2" t="s">
        <v>3169</v>
      </c>
      <c r="H1046" s="2" t="s">
        <v>1184</v>
      </c>
      <c r="I1046" s="2" t="s">
        <v>3170</v>
      </c>
      <c r="J1046" s="2" t="s">
        <v>1284</v>
      </c>
      <c r="K1046" s="2" t="s">
        <v>1284</v>
      </c>
      <c r="L1046" s="2" t="s">
        <v>1284</v>
      </c>
      <c r="M1046" s="2" t="s">
        <v>1285</v>
      </c>
      <c r="N1046" s="25" t="s">
        <v>3176</v>
      </c>
      <c r="O1046" s="2" t="s">
        <v>3172</v>
      </c>
      <c r="P1046" s="2" t="s">
        <v>40</v>
      </c>
      <c r="Q1046" s="2" t="s">
        <v>41</v>
      </c>
      <c r="R1046" s="2" t="s">
        <v>1287</v>
      </c>
      <c r="S1046" s="2" t="s">
        <v>33</v>
      </c>
      <c r="T1046" s="2" t="s">
        <v>2495</v>
      </c>
      <c r="U1046" s="2" t="s">
        <v>292</v>
      </c>
    </row>
    <row r="1047" spans="1:112" ht="119" x14ac:dyDescent="0.2">
      <c r="A1047" s="25" t="s">
        <v>3177</v>
      </c>
      <c r="B1047" s="2" t="s">
        <v>3178</v>
      </c>
      <c r="C1047" s="2" t="s">
        <v>3178</v>
      </c>
      <c r="D1047" s="1">
        <v>2</v>
      </c>
      <c r="E1047" s="2" t="s">
        <v>23</v>
      </c>
      <c r="G1047" s="2" t="s">
        <v>3169</v>
      </c>
      <c r="H1047" s="2" t="s">
        <v>1184</v>
      </c>
      <c r="I1047" s="2" t="s">
        <v>3170</v>
      </c>
      <c r="J1047" s="2" t="s">
        <v>1284</v>
      </c>
      <c r="K1047" s="2" t="s">
        <v>1284</v>
      </c>
      <c r="L1047" s="2" t="s">
        <v>1284</v>
      </c>
      <c r="M1047" s="2" t="s">
        <v>1285</v>
      </c>
      <c r="N1047" s="25" t="s">
        <v>3179</v>
      </c>
      <c r="O1047" s="2" t="s">
        <v>3172</v>
      </c>
      <c r="P1047" s="2" t="s">
        <v>52</v>
      </c>
      <c r="Q1047" s="2" t="s">
        <v>41</v>
      </c>
      <c r="R1047" s="2" t="s">
        <v>1287</v>
      </c>
      <c r="S1047" s="2" t="s">
        <v>33</v>
      </c>
      <c r="T1047" s="2" t="s">
        <v>2495</v>
      </c>
      <c r="U1047" s="2" t="s">
        <v>3180</v>
      </c>
    </row>
    <row r="1048" spans="1:112" ht="170" x14ac:dyDescent="0.2">
      <c r="A1048" s="25" t="s">
        <v>3181</v>
      </c>
      <c r="B1048" s="2" t="s">
        <v>3182</v>
      </c>
      <c r="C1048" s="2" t="s">
        <v>3182</v>
      </c>
      <c r="D1048" s="1">
        <v>2</v>
      </c>
      <c r="E1048" s="2" t="s">
        <v>23</v>
      </c>
      <c r="G1048" s="2" t="s">
        <v>3183</v>
      </c>
      <c r="I1048" s="2" t="s">
        <v>3184</v>
      </c>
      <c r="J1048" s="2" t="s">
        <v>1284</v>
      </c>
      <c r="K1048" s="2" t="s">
        <v>1284</v>
      </c>
      <c r="L1048" s="2" t="s">
        <v>1284</v>
      </c>
      <c r="M1048" s="2" t="s">
        <v>1285</v>
      </c>
      <c r="N1048" s="25" t="s">
        <v>3185</v>
      </c>
      <c r="O1048" s="2" t="s">
        <v>3186</v>
      </c>
      <c r="P1048" s="2" t="s">
        <v>843</v>
      </c>
      <c r="Q1048" s="2" t="s">
        <v>41</v>
      </c>
      <c r="R1048" s="2" t="s">
        <v>1287</v>
      </c>
      <c r="S1048" s="2" t="s">
        <v>33</v>
      </c>
      <c r="T1048" s="2" t="s">
        <v>3187</v>
      </c>
      <c r="U1048" s="2" t="s">
        <v>292</v>
      </c>
    </row>
    <row r="1049" spans="1:112" ht="102" x14ac:dyDescent="0.2">
      <c r="A1049" s="26" t="s">
        <v>6005</v>
      </c>
      <c r="B1049" s="7" t="s">
        <v>6006</v>
      </c>
      <c r="C1049" s="2" t="s">
        <v>6006</v>
      </c>
      <c r="D1049" s="1">
        <v>2</v>
      </c>
      <c r="E1049" s="2" t="s">
        <v>23</v>
      </c>
      <c r="G1049" s="2" t="s">
        <v>2735</v>
      </c>
      <c r="H1049" s="2" t="s">
        <v>680</v>
      </c>
      <c r="I1049" s="2" t="s">
        <v>2897</v>
      </c>
      <c r="J1049" s="12" t="s">
        <v>1284</v>
      </c>
      <c r="K1049" s="12" t="s">
        <v>1284</v>
      </c>
      <c r="L1049" s="12" t="s">
        <v>1284</v>
      </c>
      <c r="M1049" s="12" t="s">
        <v>1285</v>
      </c>
      <c r="N1049" s="34" t="s">
        <v>3185</v>
      </c>
      <c r="O1049" s="12" t="s">
        <v>3186</v>
      </c>
      <c r="P1049" s="12" t="s">
        <v>843</v>
      </c>
      <c r="Q1049" s="12" t="s">
        <v>30</v>
      </c>
      <c r="R1049" s="12" t="s">
        <v>1287</v>
      </c>
      <c r="S1049" s="12" t="s">
        <v>33</v>
      </c>
      <c r="T1049" s="12" t="s">
        <v>3187</v>
      </c>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c r="CA1049" s="12"/>
      <c r="CB1049" s="12"/>
      <c r="CC1049" s="12"/>
      <c r="CD1049" s="12"/>
      <c r="CE1049" s="12"/>
      <c r="CF1049" s="12"/>
      <c r="CG1049" s="12"/>
      <c r="CH1049" s="12"/>
      <c r="CI1049" s="12"/>
      <c r="CJ1049" s="12"/>
      <c r="CK1049" s="12"/>
      <c r="CL1049" s="12"/>
      <c r="CM1049" s="12"/>
      <c r="CN1049" s="12"/>
      <c r="CO1049" s="12"/>
      <c r="CP1049" s="12"/>
      <c r="CQ1049" s="12"/>
      <c r="CR1049" s="12"/>
      <c r="CS1049" s="12"/>
      <c r="CT1049" s="12"/>
      <c r="CU1049" s="12"/>
      <c r="CV1049" s="12"/>
      <c r="CW1049" s="12"/>
      <c r="CX1049" s="12"/>
      <c r="CY1049" s="12"/>
      <c r="CZ1049" s="12"/>
      <c r="DA1049" s="12"/>
      <c r="DB1049" s="12"/>
      <c r="DC1049" s="12"/>
      <c r="DD1049" s="12"/>
      <c r="DE1049" s="12"/>
      <c r="DF1049" s="12"/>
      <c r="DG1049" s="12"/>
      <c r="DH1049" s="12"/>
    </row>
    <row r="1050" spans="1:112" ht="153" x14ac:dyDescent="0.2">
      <c r="A1050" s="26" t="s">
        <v>6007</v>
      </c>
      <c r="B1050" s="7" t="s">
        <v>6008</v>
      </c>
      <c r="C1050" s="2" t="s">
        <v>6008</v>
      </c>
      <c r="D1050" s="5">
        <v>2</v>
      </c>
      <c r="E1050" s="6" t="s">
        <v>23</v>
      </c>
      <c r="F1050" s="6"/>
      <c r="G1050" s="6" t="s">
        <v>2735</v>
      </c>
      <c r="H1050" s="6"/>
      <c r="I1050" s="6" t="s">
        <v>3630</v>
      </c>
      <c r="J1050" s="12" t="s">
        <v>1284</v>
      </c>
      <c r="K1050" s="12" t="s">
        <v>1284</v>
      </c>
      <c r="L1050" s="12" t="s">
        <v>1284</v>
      </c>
      <c r="M1050" s="12" t="s">
        <v>1285</v>
      </c>
      <c r="N1050" s="34" t="s">
        <v>6009</v>
      </c>
      <c r="O1050" s="12" t="s">
        <v>3193</v>
      </c>
      <c r="P1050" s="12" t="s">
        <v>30</v>
      </c>
      <c r="Q1050" s="12" t="s">
        <v>41</v>
      </c>
      <c r="R1050" s="12" t="s">
        <v>1287</v>
      </c>
      <c r="S1050" s="12" t="s">
        <v>33</v>
      </c>
      <c r="T1050" s="12" t="s">
        <v>6010</v>
      </c>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c r="CA1050" s="12"/>
      <c r="CB1050" s="12"/>
      <c r="CC1050" s="12"/>
      <c r="CD1050" s="12"/>
      <c r="CE1050" s="12"/>
      <c r="CF1050" s="12"/>
      <c r="CG1050" s="12"/>
      <c r="CH1050" s="12"/>
      <c r="CI1050" s="12"/>
      <c r="CJ1050" s="12"/>
      <c r="CK1050" s="12"/>
      <c r="CL1050" s="12"/>
      <c r="CM1050" s="12"/>
      <c r="CN1050" s="12"/>
      <c r="CO1050" s="12"/>
      <c r="CP1050" s="12"/>
      <c r="CQ1050" s="12"/>
      <c r="CR1050" s="12"/>
      <c r="CS1050" s="12"/>
      <c r="CT1050" s="12"/>
      <c r="CU1050" s="12"/>
      <c r="CV1050" s="12"/>
      <c r="CW1050" s="12"/>
      <c r="CX1050" s="12"/>
      <c r="CY1050" s="12"/>
      <c r="CZ1050" s="12"/>
      <c r="DA1050" s="12"/>
      <c r="DB1050" s="12"/>
      <c r="DC1050" s="12"/>
      <c r="DD1050" s="12"/>
      <c r="DE1050" s="12"/>
      <c r="DF1050" s="12"/>
      <c r="DG1050" s="12"/>
      <c r="DH1050" s="12"/>
    </row>
    <row r="1051" spans="1:112" ht="187" x14ac:dyDescent="0.2">
      <c r="A1051" s="25" t="s">
        <v>3188</v>
      </c>
      <c r="B1051" s="2" t="s">
        <v>3189</v>
      </c>
      <c r="C1051" s="2" t="s">
        <v>3189</v>
      </c>
      <c r="D1051" s="1">
        <v>2</v>
      </c>
      <c r="E1051" s="2" t="s">
        <v>23</v>
      </c>
      <c r="F1051" s="2" t="s">
        <v>3190</v>
      </c>
      <c r="G1051" s="2" t="s">
        <v>3183</v>
      </c>
      <c r="I1051" s="2" t="s">
        <v>3191</v>
      </c>
      <c r="J1051" s="2" t="s">
        <v>1284</v>
      </c>
      <c r="K1051" s="2" t="s">
        <v>1284</v>
      </c>
      <c r="L1051" s="2" t="s">
        <v>1284</v>
      </c>
      <c r="M1051" s="2" t="s">
        <v>1285</v>
      </c>
      <c r="N1051" s="25" t="s">
        <v>3192</v>
      </c>
      <c r="O1051" s="2" t="s">
        <v>3193</v>
      </c>
      <c r="P1051" s="2" t="s">
        <v>68</v>
      </c>
      <c r="Q1051" s="2" t="s">
        <v>41</v>
      </c>
      <c r="R1051" s="2" t="s">
        <v>1287</v>
      </c>
      <c r="S1051" s="2" t="s">
        <v>33</v>
      </c>
      <c r="T1051" s="2" t="s">
        <v>3194</v>
      </c>
      <c r="U1051" s="2" t="s">
        <v>4897</v>
      </c>
      <c r="V1051" s="2" t="s">
        <v>4898</v>
      </c>
      <c r="W1051" s="2" t="s">
        <v>4899</v>
      </c>
      <c r="X1051" s="2" t="s">
        <v>4900</v>
      </c>
      <c r="Y1051" s="2" t="s">
        <v>4901</v>
      </c>
      <c r="Z1051" s="2" t="s">
        <v>4902</v>
      </c>
      <c r="AA1051" s="2" t="s">
        <v>4903</v>
      </c>
      <c r="AB1051" s="2" t="s">
        <v>4904</v>
      </c>
      <c r="AC1051" s="2" t="s">
        <v>4905</v>
      </c>
      <c r="AD1051" s="2" t="s">
        <v>4906</v>
      </c>
      <c r="AE1051" s="2" t="s">
        <v>4907</v>
      </c>
      <c r="AF1051" s="2" t="s">
        <v>4908</v>
      </c>
      <c r="AG1051" s="2" t="s">
        <v>4909</v>
      </c>
      <c r="AH1051" s="2" t="s">
        <v>4910</v>
      </c>
      <c r="AI1051" s="2" t="s">
        <v>4911</v>
      </c>
      <c r="AJ1051" s="2" t="s">
        <v>4912</v>
      </c>
    </row>
    <row r="1052" spans="1:112" ht="153" x14ac:dyDescent="0.2">
      <c r="A1052" s="26" t="s">
        <v>6011</v>
      </c>
      <c r="B1052" s="7" t="s">
        <v>6012</v>
      </c>
      <c r="C1052" s="2" t="s">
        <v>6013</v>
      </c>
      <c r="D1052" s="5">
        <v>2</v>
      </c>
      <c r="E1052" s="6" t="s">
        <v>23</v>
      </c>
      <c r="F1052" s="6"/>
      <c r="G1052" s="6" t="s">
        <v>2735</v>
      </c>
      <c r="H1052" s="6"/>
      <c r="I1052" s="6" t="s">
        <v>3630</v>
      </c>
      <c r="J1052" s="12" t="s">
        <v>1284</v>
      </c>
      <c r="K1052" s="12" t="s">
        <v>1284</v>
      </c>
      <c r="L1052" s="12" t="s">
        <v>1284</v>
      </c>
      <c r="M1052" s="12" t="s">
        <v>1285</v>
      </c>
      <c r="N1052" s="34" t="s">
        <v>6014</v>
      </c>
      <c r="O1052" s="12" t="s">
        <v>3193</v>
      </c>
      <c r="P1052" s="12" t="s">
        <v>843</v>
      </c>
      <c r="Q1052" s="12" t="s">
        <v>30</v>
      </c>
      <c r="R1052" s="12" t="s">
        <v>1287</v>
      </c>
      <c r="S1052" s="12" t="s">
        <v>33</v>
      </c>
      <c r="T1052" s="12" t="s">
        <v>3604</v>
      </c>
      <c r="U1052" s="12" t="s">
        <v>6015</v>
      </c>
      <c r="V1052" s="12" t="s">
        <v>6015</v>
      </c>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c r="CA1052" s="12"/>
      <c r="CB1052" s="12"/>
      <c r="CC1052" s="12"/>
      <c r="CD1052" s="12"/>
      <c r="CE1052" s="12"/>
      <c r="CF1052" s="12"/>
      <c r="CG1052" s="12"/>
      <c r="CH1052" s="12"/>
      <c r="CI1052" s="12"/>
      <c r="CJ1052" s="12"/>
      <c r="CK1052" s="12"/>
      <c r="CL1052" s="12"/>
      <c r="CM1052" s="12"/>
      <c r="CN1052" s="12"/>
      <c r="CO1052" s="12"/>
      <c r="CP1052" s="12"/>
      <c r="CQ1052" s="12"/>
      <c r="CR1052" s="12"/>
      <c r="CS1052" s="12"/>
      <c r="CT1052" s="12"/>
      <c r="CU1052" s="12"/>
      <c r="CV1052" s="12"/>
      <c r="CW1052" s="12"/>
      <c r="CX1052" s="12"/>
      <c r="CY1052" s="12"/>
      <c r="CZ1052" s="12"/>
      <c r="DA1052" s="12"/>
      <c r="DB1052" s="12"/>
      <c r="DC1052" s="12"/>
      <c r="DD1052" s="12"/>
      <c r="DE1052" s="12"/>
      <c r="DF1052" s="12"/>
      <c r="DG1052" s="12"/>
      <c r="DH1052" s="12"/>
    </row>
    <row r="1053" spans="1:112" ht="119" x14ac:dyDescent="0.2">
      <c r="A1053" s="26" t="s">
        <v>6016</v>
      </c>
      <c r="B1053" s="7" t="s">
        <v>6017</v>
      </c>
      <c r="C1053" s="2" t="s">
        <v>6017</v>
      </c>
      <c r="D1053" s="5">
        <v>2</v>
      </c>
      <c r="E1053" s="6" t="s">
        <v>23</v>
      </c>
      <c r="F1053" s="36"/>
      <c r="G1053" s="6" t="s">
        <v>2735</v>
      </c>
      <c r="H1053" s="6"/>
      <c r="I1053" s="6" t="s">
        <v>3170</v>
      </c>
      <c r="J1053" s="12" t="s">
        <v>1284</v>
      </c>
      <c r="K1053" s="12" t="s">
        <v>1284</v>
      </c>
      <c r="L1053" s="12" t="s">
        <v>1284</v>
      </c>
      <c r="M1053" s="12" t="s">
        <v>1285</v>
      </c>
      <c r="N1053" s="34" t="s">
        <v>3197</v>
      </c>
      <c r="O1053" s="12" t="s">
        <v>3198</v>
      </c>
      <c r="P1053" s="12" t="s">
        <v>843</v>
      </c>
      <c r="Q1053" s="12" t="s">
        <v>41</v>
      </c>
      <c r="R1053" s="12" t="s">
        <v>1287</v>
      </c>
      <c r="S1053" s="12" t="s">
        <v>33</v>
      </c>
      <c r="T1053" s="12" t="s">
        <v>2483</v>
      </c>
      <c r="U1053" s="12" t="s">
        <v>6018</v>
      </c>
      <c r="V1053" s="12" t="s">
        <v>6018</v>
      </c>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c r="CA1053" s="12"/>
      <c r="CB1053" s="12"/>
      <c r="CC1053" s="12"/>
      <c r="CD1053" s="12"/>
      <c r="CE1053" s="12"/>
      <c r="CF1053" s="12"/>
      <c r="CG1053" s="12"/>
      <c r="CH1053" s="12"/>
      <c r="CI1053" s="12"/>
      <c r="CJ1053" s="12"/>
      <c r="CK1053" s="12"/>
      <c r="CL1053" s="12"/>
      <c r="CM1053" s="12"/>
      <c r="CN1053" s="12"/>
      <c r="CO1053" s="12"/>
      <c r="CP1053" s="12"/>
      <c r="CQ1053" s="12"/>
      <c r="CR1053" s="12"/>
      <c r="CS1053" s="12"/>
      <c r="CT1053" s="12"/>
      <c r="CU1053" s="12"/>
      <c r="CV1053" s="12"/>
      <c r="CW1053" s="12"/>
      <c r="CX1053" s="12"/>
      <c r="CY1053" s="12"/>
      <c r="CZ1053" s="12"/>
      <c r="DA1053" s="12"/>
      <c r="DB1053" s="12"/>
      <c r="DC1053" s="12"/>
      <c r="DD1053" s="12"/>
      <c r="DE1053" s="12"/>
      <c r="DF1053" s="12"/>
      <c r="DG1053" s="12"/>
      <c r="DH1053" s="12"/>
    </row>
    <row r="1054" spans="1:112" ht="119" x14ac:dyDescent="0.2">
      <c r="A1054" s="26" t="s">
        <v>6019</v>
      </c>
      <c r="B1054" s="7" t="s">
        <v>6020</v>
      </c>
      <c r="C1054" s="2" t="s">
        <v>6020</v>
      </c>
      <c r="D1054" s="5">
        <v>2</v>
      </c>
      <c r="E1054" s="6" t="s">
        <v>23</v>
      </c>
      <c r="F1054" s="36"/>
      <c r="G1054" s="6" t="s">
        <v>2735</v>
      </c>
      <c r="H1054" s="6"/>
      <c r="I1054" s="6" t="s">
        <v>3170</v>
      </c>
      <c r="J1054" s="12" t="s">
        <v>1284</v>
      </c>
      <c r="K1054" s="12" t="s">
        <v>1284</v>
      </c>
      <c r="L1054" s="12" t="s">
        <v>1284</v>
      </c>
      <c r="M1054" s="12" t="s">
        <v>1285</v>
      </c>
      <c r="N1054" s="34" t="s">
        <v>3197</v>
      </c>
      <c r="O1054" s="12" t="s">
        <v>3198</v>
      </c>
      <c r="P1054" s="12" t="s">
        <v>843</v>
      </c>
      <c r="Q1054" s="12" t="s">
        <v>30</v>
      </c>
      <c r="R1054" s="12" t="s">
        <v>1287</v>
      </c>
      <c r="S1054" s="12" t="s">
        <v>33</v>
      </c>
      <c r="T1054" s="12" t="s">
        <v>2483</v>
      </c>
      <c r="U1054" s="12" t="s">
        <v>6021</v>
      </c>
      <c r="V1054" s="12" t="s">
        <v>6021</v>
      </c>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c r="CA1054" s="12"/>
      <c r="CB1054" s="12"/>
      <c r="CC1054" s="12"/>
      <c r="CD1054" s="12"/>
      <c r="CE1054" s="12"/>
      <c r="CF1054" s="12"/>
      <c r="CG1054" s="12"/>
      <c r="CH1054" s="12"/>
      <c r="CI1054" s="12"/>
      <c r="CJ1054" s="12"/>
      <c r="CK1054" s="12"/>
      <c r="CL1054" s="12"/>
      <c r="CM1054" s="12"/>
      <c r="CN1054" s="12"/>
      <c r="CO1054" s="12"/>
      <c r="CP1054" s="12"/>
      <c r="CQ1054" s="12"/>
      <c r="CR1054" s="12"/>
      <c r="CS1054" s="12"/>
      <c r="CT1054" s="12"/>
      <c r="CU1054" s="12"/>
      <c r="CV1054" s="12"/>
      <c r="CW1054" s="12"/>
      <c r="CX1054" s="12"/>
      <c r="CY1054" s="12"/>
      <c r="CZ1054" s="12"/>
      <c r="DA1054" s="12"/>
      <c r="DB1054" s="12"/>
      <c r="DC1054" s="12"/>
      <c r="DD1054" s="12"/>
      <c r="DE1054" s="12"/>
      <c r="DF1054" s="12"/>
      <c r="DG1054" s="12"/>
      <c r="DH1054" s="12"/>
    </row>
    <row r="1055" spans="1:112" ht="204" x14ac:dyDescent="0.2">
      <c r="A1055" s="25" t="s">
        <v>3195</v>
      </c>
      <c r="B1055" s="2" t="s">
        <v>3196</v>
      </c>
      <c r="C1055" s="2" t="s">
        <v>3196</v>
      </c>
      <c r="D1055" s="1">
        <v>2</v>
      </c>
      <c r="E1055" s="2" t="s">
        <v>23</v>
      </c>
      <c r="G1055" s="2" t="s">
        <v>2735</v>
      </c>
      <c r="I1055" s="2" t="s">
        <v>3113</v>
      </c>
      <c r="J1055" s="2" t="s">
        <v>1284</v>
      </c>
      <c r="K1055" s="2" t="s">
        <v>1284</v>
      </c>
      <c r="L1055" s="2" t="s">
        <v>1284</v>
      </c>
      <c r="M1055" s="2" t="s">
        <v>1285</v>
      </c>
      <c r="N1055" s="25" t="s">
        <v>3197</v>
      </c>
      <c r="O1055" s="2" t="s">
        <v>3198</v>
      </c>
      <c r="P1055" s="2" t="s">
        <v>843</v>
      </c>
      <c r="Q1055" s="2" t="s">
        <v>40</v>
      </c>
      <c r="R1055" s="2" t="s">
        <v>1287</v>
      </c>
      <c r="S1055" s="2" t="s">
        <v>33</v>
      </c>
      <c r="T1055" s="2" t="s">
        <v>2495</v>
      </c>
      <c r="U1055" s="2" t="s">
        <v>4913</v>
      </c>
      <c r="V1055" s="2" t="s">
        <v>4914</v>
      </c>
    </row>
    <row r="1056" spans="1:112" ht="204" x14ac:dyDescent="0.2">
      <c r="A1056" s="25" t="s">
        <v>3199</v>
      </c>
      <c r="B1056" s="2" t="s">
        <v>3200</v>
      </c>
      <c r="C1056" s="2" t="s">
        <v>3200</v>
      </c>
      <c r="D1056" s="1">
        <v>2</v>
      </c>
      <c r="E1056" s="2" t="s">
        <v>23</v>
      </c>
      <c r="G1056" s="2" t="s">
        <v>2735</v>
      </c>
      <c r="I1056" s="2" t="s">
        <v>3113</v>
      </c>
      <c r="J1056" s="2" t="s">
        <v>1284</v>
      </c>
      <c r="K1056" s="2" t="s">
        <v>1284</v>
      </c>
      <c r="L1056" s="2" t="s">
        <v>1284</v>
      </c>
      <c r="M1056" s="2" t="s">
        <v>1285</v>
      </c>
      <c r="N1056" s="25" t="s">
        <v>3197</v>
      </c>
      <c r="O1056" s="2" t="s">
        <v>3198</v>
      </c>
      <c r="P1056" s="2" t="s">
        <v>843</v>
      </c>
      <c r="Q1056" s="2" t="s">
        <v>93</v>
      </c>
      <c r="R1056" s="2" t="s">
        <v>1287</v>
      </c>
      <c r="S1056" s="2" t="s">
        <v>33</v>
      </c>
      <c r="T1056" s="2" t="s">
        <v>2495</v>
      </c>
      <c r="U1056" s="2" t="s">
        <v>292</v>
      </c>
    </row>
    <row r="1057" spans="1:26" ht="119" x14ac:dyDescent="0.2">
      <c r="A1057" s="25" t="s">
        <v>3201</v>
      </c>
      <c r="B1057" s="2" t="s">
        <v>3202</v>
      </c>
      <c r="C1057" s="2" t="s">
        <v>3202</v>
      </c>
      <c r="D1057" s="1">
        <v>2</v>
      </c>
      <c r="E1057" s="2" t="s">
        <v>23</v>
      </c>
      <c r="G1057" s="2" t="s">
        <v>3169</v>
      </c>
      <c r="H1057" s="2" t="s">
        <v>1184</v>
      </c>
      <c r="I1057" s="2" t="s">
        <v>3170</v>
      </c>
      <c r="J1057" s="2" t="s">
        <v>1284</v>
      </c>
      <c r="K1057" s="2" t="s">
        <v>1284</v>
      </c>
      <c r="L1057" s="2" t="s">
        <v>1284</v>
      </c>
      <c r="M1057" s="2" t="s">
        <v>1285</v>
      </c>
      <c r="N1057" s="25" t="s">
        <v>3203</v>
      </c>
      <c r="O1057" s="2" t="s">
        <v>2531</v>
      </c>
      <c r="P1057" s="2" t="s">
        <v>183</v>
      </c>
      <c r="Q1057" s="2" t="s">
        <v>41</v>
      </c>
      <c r="R1057" s="2" t="s">
        <v>1287</v>
      </c>
      <c r="S1057" s="2" t="s">
        <v>33</v>
      </c>
      <c r="T1057" s="2" t="s">
        <v>2495</v>
      </c>
      <c r="U1057" s="2" t="s">
        <v>292</v>
      </c>
    </row>
    <row r="1058" spans="1:26" ht="85" x14ac:dyDescent="0.2">
      <c r="A1058" s="25" t="s">
        <v>3204</v>
      </c>
      <c r="B1058" s="2" t="s">
        <v>3205</v>
      </c>
      <c r="C1058" s="2" t="s">
        <v>3205</v>
      </c>
      <c r="D1058" s="1">
        <v>2</v>
      </c>
      <c r="E1058" s="2" t="s">
        <v>61</v>
      </c>
      <c r="F1058" s="2" t="s">
        <v>3206</v>
      </c>
      <c r="G1058" s="2" t="s">
        <v>2735</v>
      </c>
      <c r="H1058" s="2" t="s">
        <v>2142</v>
      </c>
      <c r="J1058" s="2" t="s">
        <v>1284</v>
      </c>
      <c r="K1058" s="2" t="s">
        <v>1284</v>
      </c>
      <c r="L1058" s="2" t="s">
        <v>1284</v>
      </c>
      <c r="M1058" s="2" t="s">
        <v>1285</v>
      </c>
      <c r="N1058" s="25" t="s">
        <v>3207</v>
      </c>
      <c r="O1058" s="2" t="s">
        <v>2531</v>
      </c>
      <c r="P1058" s="2" t="s">
        <v>843</v>
      </c>
      <c r="Q1058" s="2" t="s">
        <v>229</v>
      </c>
      <c r="R1058" s="2" t="s">
        <v>1287</v>
      </c>
      <c r="S1058" s="2" t="s">
        <v>33</v>
      </c>
      <c r="T1058" s="2" t="s">
        <v>3208</v>
      </c>
      <c r="U1058" s="2" t="s">
        <v>3209</v>
      </c>
    </row>
    <row r="1059" spans="1:26" ht="102" x14ac:dyDescent="0.2">
      <c r="A1059" s="25" t="s">
        <v>3210</v>
      </c>
      <c r="B1059" s="2" t="s">
        <v>3211</v>
      </c>
      <c r="C1059" s="2" t="s">
        <v>3211</v>
      </c>
      <c r="D1059" s="1">
        <v>2</v>
      </c>
      <c r="E1059" s="2" t="s">
        <v>61</v>
      </c>
      <c r="F1059" s="2" t="s">
        <v>2779</v>
      </c>
      <c r="G1059" s="2" t="s">
        <v>2735</v>
      </c>
      <c r="H1059" s="2" t="s">
        <v>2993</v>
      </c>
      <c r="I1059" s="2" t="s">
        <v>2994</v>
      </c>
      <c r="J1059" s="2" t="s">
        <v>1284</v>
      </c>
      <c r="K1059" s="2" t="s">
        <v>1284</v>
      </c>
      <c r="L1059" s="2" t="s">
        <v>1284</v>
      </c>
      <c r="M1059" s="2" t="s">
        <v>1285</v>
      </c>
      <c r="N1059" s="25" t="s">
        <v>3212</v>
      </c>
      <c r="O1059" s="2" t="s">
        <v>1094</v>
      </c>
      <c r="P1059" s="2" t="s">
        <v>819</v>
      </c>
      <c r="Q1059" s="2" t="s">
        <v>41</v>
      </c>
      <c r="R1059" s="2" t="s">
        <v>1287</v>
      </c>
      <c r="S1059" s="2" t="s">
        <v>33</v>
      </c>
      <c r="T1059" s="2" t="s">
        <v>3105</v>
      </c>
      <c r="U1059" s="2" t="s">
        <v>292</v>
      </c>
    </row>
    <row r="1060" spans="1:26" ht="85" x14ac:dyDescent="0.2">
      <c r="A1060" s="25" t="s">
        <v>1733</v>
      </c>
      <c r="B1060" s="2" t="s">
        <v>1734</v>
      </c>
      <c r="C1060" s="2" t="s">
        <v>1734</v>
      </c>
      <c r="D1060" s="1">
        <v>2</v>
      </c>
      <c r="E1060" s="2" t="s">
        <v>23</v>
      </c>
      <c r="G1060" s="2" t="s">
        <v>1194</v>
      </c>
      <c r="H1060" s="2" t="s">
        <v>664</v>
      </c>
      <c r="I1060" s="2" t="s">
        <v>6129</v>
      </c>
      <c r="J1060" s="2" t="s">
        <v>612</v>
      </c>
      <c r="K1060" s="2" t="s">
        <v>613</v>
      </c>
      <c r="L1060" s="2" t="s">
        <v>613</v>
      </c>
      <c r="M1060" s="2" t="s">
        <v>1467</v>
      </c>
      <c r="N1060" s="25" t="s">
        <v>963</v>
      </c>
      <c r="O1060" s="2" t="s">
        <v>948</v>
      </c>
      <c r="P1060" s="2" t="s">
        <v>52</v>
      </c>
      <c r="Q1060" s="2" t="s">
        <v>40</v>
      </c>
      <c r="R1060" s="2" t="s">
        <v>32</v>
      </c>
      <c r="S1060" s="2" t="s">
        <v>392</v>
      </c>
      <c r="T1060" s="2" t="s">
        <v>618</v>
      </c>
      <c r="U1060" s="2" t="s">
        <v>4065</v>
      </c>
      <c r="V1060" s="2" t="s">
        <v>4066</v>
      </c>
      <c r="W1060" s="2" t="s">
        <v>4067</v>
      </c>
      <c r="X1060" s="2" t="s">
        <v>4068</v>
      </c>
      <c r="Y1060" s="2" t="s">
        <v>4190</v>
      </c>
      <c r="Z1060" s="2" t="s">
        <v>4191</v>
      </c>
    </row>
    <row r="1061" spans="1:26" ht="85" x14ac:dyDescent="0.2">
      <c r="A1061" s="25" t="s">
        <v>1735</v>
      </c>
      <c r="B1061" s="2" t="s">
        <v>1736</v>
      </c>
      <c r="C1061" s="2" t="s">
        <v>1736</v>
      </c>
      <c r="D1061" s="1">
        <v>2</v>
      </c>
      <c r="E1061" s="2" t="s">
        <v>23</v>
      </c>
      <c r="G1061" s="2" t="s">
        <v>1194</v>
      </c>
      <c r="H1061" s="2" t="s">
        <v>664</v>
      </c>
      <c r="I1061" s="2" t="s">
        <v>6129</v>
      </c>
      <c r="J1061" s="2" t="s">
        <v>612</v>
      </c>
      <c r="K1061" s="2" t="s">
        <v>613</v>
      </c>
      <c r="L1061" s="2" t="s">
        <v>1470</v>
      </c>
      <c r="M1061" s="2" t="s">
        <v>1471</v>
      </c>
      <c r="N1061" s="25" t="s">
        <v>963</v>
      </c>
      <c r="O1061" s="2" t="s">
        <v>948</v>
      </c>
      <c r="P1061" s="2" t="s">
        <v>52</v>
      </c>
      <c r="Q1061" s="2" t="s">
        <v>30</v>
      </c>
      <c r="R1061" s="2" t="s">
        <v>32</v>
      </c>
      <c r="S1061" s="2" t="s">
        <v>392</v>
      </c>
      <c r="T1061" s="2" t="s">
        <v>618</v>
      </c>
      <c r="U1061" s="2" t="s">
        <v>4065</v>
      </c>
      <c r="V1061" s="2" t="s">
        <v>4066</v>
      </c>
      <c r="W1061" s="2" t="s">
        <v>4067</v>
      </c>
      <c r="X1061" s="2" t="s">
        <v>4068</v>
      </c>
    </row>
    <row r="1062" spans="1:26" ht="85" x14ac:dyDescent="0.2">
      <c r="A1062" s="25" t="s">
        <v>1737</v>
      </c>
      <c r="B1062" s="2" t="s">
        <v>1738</v>
      </c>
      <c r="C1062" s="2" t="s">
        <v>1738</v>
      </c>
      <c r="D1062" s="1">
        <v>2</v>
      </c>
      <c r="E1062" s="2" t="s">
        <v>23</v>
      </c>
      <c r="G1062" s="2" t="s">
        <v>1194</v>
      </c>
      <c r="H1062" s="2" t="s">
        <v>664</v>
      </c>
      <c r="I1062" s="2" t="s">
        <v>6129</v>
      </c>
      <c r="J1062" s="2" t="s">
        <v>612</v>
      </c>
      <c r="K1062" s="2" t="s">
        <v>625</v>
      </c>
      <c r="L1062" s="2" t="s">
        <v>625</v>
      </c>
      <c r="M1062" s="2" t="s">
        <v>1739</v>
      </c>
      <c r="N1062" s="25" t="s">
        <v>1740</v>
      </c>
      <c r="O1062" s="2" t="s">
        <v>792</v>
      </c>
      <c r="P1062" s="2" t="s">
        <v>40</v>
      </c>
      <c r="Q1062" s="2" t="s">
        <v>30</v>
      </c>
      <c r="R1062" s="2" t="s">
        <v>32</v>
      </c>
      <c r="S1062" s="2" t="s">
        <v>392</v>
      </c>
      <c r="T1062" s="2" t="s">
        <v>618</v>
      </c>
      <c r="U1062" s="2" t="s">
        <v>4065</v>
      </c>
      <c r="V1062" s="2" t="s">
        <v>4066</v>
      </c>
      <c r="W1062" s="2" t="s">
        <v>4067</v>
      </c>
      <c r="X1062" s="2" t="s">
        <v>4068</v>
      </c>
    </row>
    <row r="1063" spans="1:26" ht="85" x14ac:dyDescent="0.2">
      <c r="A1063" s="25" t="s">
        <v>1741</v>
      </c>
      <c r="B1063" s="2" t="s">
        <v>1742</v>
      </c>
      <c r="C1063" s="2" t="s">
        <v>1742</v>
      </c>
      <c r="D1063" s="1">
        <v>2</v>
      </c>
      <c r="E1063" s="2" t="s">
        <v>23</v>
      </c>
      <c r="G1063" s="2" t="s">
        <v>1194</v>
      </c>
      <c r="H1063" s="2" t="s">
        <v>664</v>
      </c>
      <c r="I1063" s="2" t="s">
        <v>6129</v>
      </c>
      <c r="J1063" s="2" t="s">
        <v>612</v>
      </c>
      <c r="K1063" s="2" t="s">
        <v>625</v>
      </c>
      <c r="L1063" s="2" t="s">
        <v>1743</v>
      </c>
      <c r="M1063" s="2" t="s">
        <v>1744</v>
      </c>
      <c r="N1063" s="25" t="s">
        <v>1740</v>
      </c>
      <c r="O1063" s="2" t="s">
        <v>792</v>
      </c>
      <c r="P1063" s="2" t="s">
        <v>40</v>
      </c>
      <c r="Q1063" s="2" t="s">
        <v>30</v>
      </c>
      <c r="R1063" s="2" t="s">
        <v>32</v>
      </c>
      <c r="S1063" s="2" t="s">
        <v>392</v>
      </c>
      <c r="T1063" s="2" t="s">
        <v>618</v>
      </c>
      <c r="U1063" s="2" t="s">
        <v>4065</v>
      </c>
      <c r="V1063" s="2" t="s">
        <v>4066</v>
      </c>
      <c r="W1063" s="2" t="s">
        <v>4067</v>
      </c>
      <c r="X1063" s="2" t="s">
        <v>4068</v>
      </c>
    </row>
    <row r="1064" spans="1:26" ht="17" x14ac:dyDescent="0.2">
      <c r="A1064" s="26" t="s">
        <v>6172</v>
      </c>
      <c r="B1064" s="2" t="s">
        <v>6377</v>
      </c>
      <c r="C1064" s="2" t="s">
        <v>6377</v>
      </c>
      <c r="D1064" s="1">
        <v>2</v>
      </c>
      <c r="N1064" s="34" t="s">
        <v>963</v>
      </c>
    </row>
    <row r="1065" spans="1:26" ht="17" x14ac:dyDescent="0.2">
      <c r="A1065" s="26" t="s">
        <v>6173</v>
      </c>
      <c r="B1065" s="2" t="s">
        <v>6378</v>
      </c>
      <c r="C1065" s="2" t="s">
        <v>6378</v>
      </c>
      <c r="D1065" s="1">
        <v>2</v>
      </c>
      <c r="N1065" s="34" t="s">
        <v>963</v>
      </c>
    </row>
    <row r="1066" spans="1:26" ht="17" x14ac:dyDescent="0.2">
      <c r="A1066" s="26" t="s">
        <v>6191</v>
      </c>
      <c r="B1066" s="2" t="s">
        <v>6396</v>
      </c>
      <c r="C1066" s="2" t="s">
        <v>6396</v>
      </c>
      <c r="D1066" s="1">
        <v>2</v>
      </c>
      <c r="N1066" s="34" t="s">
        <v>2863</v>
      </c>
    </row>
    <row r="1067" spans="1:26" ht="204" x14ac:dyDescent="0.2">
      <c r="A1067" s="26" t="s">
        <v>6207</v>
      </c>
      <c r="B1067" s="2" t="s">
        <v>6412</v>
      </c>
      <c r="C1067" s="2" t="s">
        <v>6412</v>
      </c>
      <c r="D1067" s="1">
        <v>2</v>
      </c>
      <c r="E1067" s="2" t="s">
        <v>153</v>
      </c>
      <c r="F1067" s="2" t="s">
        <v>2888</v>
      </c>
      <c r="G1067" s="2" t="s">
        <v>2735</v>
      </c>
      <c r="H1067" s="2" t="s">
        <v>2257</v>
      </c>
      <c r="I1067" s="2" t="s">
        <v>2258</v>
      </c>
      <c r="N1067" s="34" t="s">
        <v>6580</v>
      </c>
    </row>
    <row r="1068" spans="1:26" ht="17" x14ac:dyDescent="0.2">
      <c r="A1068" s="26" t="s">
        <v>6229</v>
      </c>
      <c r="B1068" s="2" t="s">
        <v>6434</v>
      </c>
      <c r="C1068" s="2" t="s">
        <v>6434</v>
      </c>
      <c r="D1068" s="1">
        <v>2</v>
      </c>
      <c r="E1068" s="2" t="s">
        <v>61</v>
      </c>
      <c r="N1068" s="34" t="s">
        <v>6595</v>
      </c>
    </row>
    <row r="1069" spans="1:26" ht="34" x14ac:dyDescent="0.2">
      <c r="A1069" s="26" t="s">
        <v>6283</v>
      </c>
      <c r="B1069" s="2" t="s">
        <v>6489</v>
      </c>
      <c r="C1069" s="2" t="s">
        <v>6489</v>
      </c>
      <c r="D1069" s="1">
        <v>2</v>
      </c>
      <c r="E1069" s="2" t="s">
        <v>61</v>
      </c>
      <c r="H1069" s="2" t="s">
        <v>6781</v>
      </c>
      <c r="N1069" s="34" t="s">
        <v>6623</v>
      </c>
    </row>
    <row r="1070" spans="1:26" ht="34" x14ac:dyDescent="0.2">
      <c r="A1070" s="26" t="s">
        <v>6302</v>
      </c>
      <c r="B1070" s="2" t="s">
        <v>6508</v>
      </c>
      <c r="C1070" s="2" t="s">
        <v>6508</v>
      </c>
      <c r="D1070" s="1">
        <v>2</v>
      </c>
      <c r="E1070" s="2" t="s">
        <v>61</v>
      </c>
      <c r="F1070" s="2" t="s">
        <v>3092</v>
      </c>
      <c r="G1070" s="2" t="s">
        <v>2735</v>
      </c>
      <c r="N1070" s="34" t="s">
        <v>6636</v>
      </c>
    </row>
    <row r="1071" spans="1:26" ht="102" x14ac:dyDescent="0.2">
      <c r="A1071" s="26" t="s">
        <v>6319</v>
      </c>
      <c r="B1071" s="2" t="s">
        <v>6525</v>
      </c>
      <c r="C1071" s="2" t="s">
        <v>6525</v>
      </c>
      <c r="D1071" s="1">
        <v>2</v>
      </c>
      <c r="E1071" s="2" t="s">
        <v>23</v>
      </c>
      <c r="G1071" s="2" t="s">
        <v>2735</v>
      </c>
      <c r="I1071" s="2" t="s">
        <v>6793</v>
      </c>
      <c r="N1071" s="34" t="s">
        <v>6652</v>
      </c>
    </row>
    <row r="1072" spans="1:26" ht="102" x14ac:dyDescent="0.2">
      <c r="A1072" s="26" t="s">
        <v>6336</v>
      </c>
      <c r="B1072" s="2" t="s">
        <v>6542</v>
      </c>
      <c r="C1072" s="2" t="s">
        <v>6542</v>
      </c>
      <c r="D1072" s="1">
        <v>2</v>
      </c>
      <c r="E1072" s="2" t="s">
        <v>23</v>
      </c>
      <c r="G1072" s="2" t="s">
        <v>2735</v>
      </c>
      <c r="H1072" s="2" t="s">
        <v>680</v>
      </c>
      <c r="I1072" s="2" t="s">
        <v>2897</v>
      </c>
      <c r="N1072" s="34" t="s">
        <v>3185</v>
      </c>
    </row>
    <row r="1073" spans="1:112" ht="102" x14ac:dyDescent="0.2">
      <c r="A1073" s="26" t="s">
        <v>6337</v>
      </c>
      <c r="B1073" s="2" t="s">
        <v>6543</v>
      </c>
      <c r="C1073" s="2" t="s">
        <v>6543</v>
      </c>
      <c r="D1073" s="1">
        <v>2</v>
      </c>
      <c r="E1073" s="2" t="s">
        <v>23</v>
      </c>
      <c r="F1073" s="25"/>
      <c r="G1073" s="2" t="s">
        <v>2735</v>
      </c>
      <c r="H1073" s="2" t="s">
        <v>680</v>
      </c>
      <c r="I1073" s="2" t="s">
        <v>2897</v>
      </c>
      <c r="N1073" s="34" t="s">
        <v>3185</v>
      </c>
    </row>
    <row r="1074" spans="1:112" ht="68" x14ac:dyDescent="0.2">
      <c r="A1074" t="s">
        <v>6805</v>
      </c>
      <c r="B1074" s="12" t="s">
        <v>6806</v>
      </c>
      <c r="C1074" s="12" t="s">
        <v>6806</v>
      </c>
      <c r="D1074" s="1">
        <v>2</v>
      </c>
      <c r="E1074" s="2" t="s">
        <v>23</v>
      </c>
      <c r="G1074" s="2" t="s">
        <v>2735</v>
      </c>
      <c r="I1074" s="2" t="s">
        <v>6813</v>
      </c>
      <c r="N1074" s="25"/>
    </row>
    <row r="1075" spans="1:112" ht="68" x14ac:dyDescent="0.2">
      <c r="A1075" t="s">
        <v>6807</v>
      </c>
      <c r="B1075" s="12" t="s">
        <v>6808</v>
      </c>
      <c r="C1075" s="12" t="s">
        <v>6808</v>
      </c>
      <c r="D1075" s="1">
        <v>2</v>
      </c>
      <c r="E1075" s="2" t="s">
        <v>23</v>
      </c>
      <c r="G1075" s="2" t="s">
        <v>2735</v>
      </c>
      <c r="I1075" s="2" t="s">
        <v>6813</v>
      </c>
      <c r="N1075" s="25"/>
    </row>
    <row r="1076" spans="1:112" ht="119" x14ac:dyDescent="0.2">
      <c r="A1076" s="25" t="s">
        <v>3213</v>
      </c>
      <c r="B1076" s="2" t="s">
        <v>3214</v>
      </c>
      <c r="C1076" s="2" t="s">
        <v>3214</v>
      </c>
      <c r="D1076" s="1">
        <v>1</v>
      </c>
      <c r="E1076" s="2" t="s">
        <v>23</v>
      </c>
      <c r="G1076" s="2" t="s">
        <v>3215</v>
      </c>
      <c r="H1076" s="2" t="s">
        <v>2675</v>
      </c>
      <c r="I1076" s="2" t="s">
        <v>1600</v>
      </c>
      <c r="J1076" s="2" t="s">
        <v>27</v>
      </c>
      <c r="K1076" s="2" t="s">
        <v>48</v>
      </c>
      <c r="L1076" s="2" t="s">
        <v>1593</v>
      </c>
      <c r="M1076" s="2" t="s">
        <v>1594</v>
      </c>
      <c r="N1076" s="25" t="s">
        <v>3216</v>
      </c>
      <c r="O1076" s="2" t="s">
        <v>2707</v>
      </c>
      <c r="P1076" s="2" t="s">
        <v>30</v>
      </c>
      <c r="Q1076" s="2" t="s">
        <v>41</v>
      </c>
      <c r="R1076" s="2" t="s">
        <v>32</v>
      </c>
      <c r="S1076" s="2" t="s">
        <v>33</v>
      </c>
      <c r="T1076" s="2" t="s">
        <v>3217</v>
      </c>
      <c r="U1076" s="2" t="s">
        <v>4915</v>
      </c>
      <c r="V1076" s="2" t="s">
        <v>4916</v>
      </c>
      <c r="W1076" s="2" t="s">
        <v>4917</v>
      </c>
    </row>
    <row r="1077" spans="1:112" ht="119" x14ac:dyDescent="0.2">
      <c r="A1077" s="25" t="s">
        <v>3218</v>
      </c>
      <c r="B1077" s="2" t="s">
        <v>3219</v>
      </c>
      <c r="C1077" s="2" t="s">
        <v>3219</v>
      </c>
      <c r="D1077" s="1">
        <v>1</v>
      </c>
      <c r="E1077" s="2" t="s">
        <v>23</v>
      </c>
      <c r="G1077" s="2" t="s">
        <v>3215</v>
      </c>
      <c r="H1077" s="2" t="s">
        <v>2675</v>
      </c>
      <c r="I1077" s="2" t="s">
        <v>1600</v>
      </c>
      <c r="J1077" s="2" t="s">
        <v>27</v>
      </c>
      <c r="K1077" s="2" t="s">
        <v>48</v>
      </c>
      <c r="L1077" s="2" t="s">
        <v>1593</v>
      </c>
      <c r="M1077" s="2" t="s">
        <v>1594</v>
      </c>
      <c r="N1077" s="25" t="s">
        <v>3216</v>
      </c>
      <c r="O1077" s="2" t="s">
        <v>2707</v>
      </c>
      <c r="P1077" s="2" t="s">
        <v>30</v>
      </c>
      <c r="Q1077" s="2" t="s">
        <v>199</v>
      </c>
      <c r="R1077" s="2" t="s">
        <v>32</v>
      </c>
      <c r="S1077" s="2" t="s">
        <v>33</v>
      </c>
      <c r="T1077" s="2" t="s">
        <v>3217</v>
      </c>
      <c r="U1077" s="2" t="s">
        <v>3220</v>
      </c>
    </row>
    <row r="1078" spans="1:112" ht="85" x14ac:dyDescent="0.2">
      <c r="A1078" s="25" t="s">
        <v>3221</v>
      </c>
      <c r="B1078" s="2" t="s">
        <v>3222</v>
      </c>
      <c r="C1078" s="2" t="s">
        <v>3222</v>
      </c>
      <c r="D1078" s="1">
        <v>1</v>
      </c>
      <c r="E1078" s="2" t="s">
        <v>971</v>
      </c>
      <c r="F1078" s="2" t="s">
        <v>1617</v>
      </c>
      <c r="G1078" s="2" t="s">
        <v>3223</v>
      </c>
      <c r="H1078" s="2" t="s">
        <v>369</v>
      </c>
      <c r="I1078" s="2" t="s">
        <v>204</v>
      </c>
      <c r="J1078" s="2" t="s">
        <v>144</v>
      </c>
      <c r="K1078" s="2" t="s">
        <v>144</v>
      </c>
      <c r="L1078" s="2" t="s">
        <v>205</v>
      </c>
      <c r="M1078" s="2" t="s">
        <v>206</v>
      </c>
      <c r="N1078" s="25" t="s">
        <v>3224</v>
      </c>
      <c r="O1078" s="2" t="s">
        <v>146</v>
      </c>
      <c r="P1078" s="2" t="s">
        <v>375</v>
      </c>
      <c r="Q1078" s="2" t="s">
        <v>41</v>
      </c>
      <c r="R1078" s="2" t="s">
        <v>32</v>
      </c>
      <c r="S1078" s="2" t="s">
        <v>33</v>
      </c>
      <c r="T1078" s="2" t="s">
        <v>872</v>
      </c>
      <c r="U1078" s="2" t="s">
        <v>4918</v>
      </c>
      <c r="V1078" s="2" t="s">
        <v>4919</v>
      </c>
      <c r="W1078" s="2" t="s">
        <v>4920</v>
      </c>
      <c r="X1078" s="2" t="s">
        <v>4921</v>
      </c>
    </row>
    <row r="1079" spans="1:112" ht="85" x14ac:dyDescent="0.2">
      <c r="A1079" s="25" t="s">
        <v>3225</v>
      </c>
      <c r="B1079" s="2" t="s">
        <v>3226</v>
      </c>
      <c r="C1079" s="2" t="s">
        <v>3226</v>
      </c>
      <c r="D1079" s="1">
        <v>1</v>
      </c>
      <c r="E1079" s="2" t="s">
        <v>23</v>
      </c>
      <c r="G1079" s="2" t="s">
        <v>3223</v>
      </c>
      <c r="H1079" s="2" t="s">
        <v>369</v>
      </c>
      <c r="I1079" s="2" t="s">
        <v>3227</v>
      </c>
      <c r="J1079" s="2" t="s">
        <v>1007</v>
      </c>
      <c r="K1079" s="2" t="s">
        <v>1008</v>
      </c>
      <c r="L1079" s="2" t="s">
        <v>3228</v>
      </c>
      <c r="M1079" s="2" t="s">
        <v>2753</v>
      </c>
      <c r="N1079" s="25" t="s">
        <v>3229</v>
      </c>
      <c r="O1079" s="2" t="s">
        <v>2753</v>
      </c>
      <c r="P1079" s="2" t="s">
        <v>41</v>
      </c>
      <c r="Q1079" s="2" t="s">
        <v>41</v>
      </c>
      <c r="R1079" s="2" t="s">
        <v>32</v>
      </c>
      <c r="S1079" s="2" t="s">
        <v>33</v>
      </c>
      <c r="T1079" s="2" t="s">
        <v>3230</v>
      </c>
      <c r="U1079" s="2" t="s">
        <v>3231</v>
      </c>
    </row>
    <row r="1080" spans="1:112" ht="85" x14ac:dyDescent="0.2">
      <c r="A1080" s="25" t="s">
        <v>3232</v>
      </c>
      <c r="B1080" s="2" t="s">
        <v>3233</v>
      </c>
      <c r="C1080" s="2" t="s">
        <v>3233</v>
      </c>
      <c r="D1080" s="1">
        <v>1</v>
      </c>
      <c r="E1080" s="2" t="s">
        <v>23</v>
      </c>
      <c r="G1080" s="2" t="s">
        <v>3223</v>
      </c>
      <c r="H1080" s="2" t="s">
        <v>538</v>
      </c>
      <c r="I1080" s="2" t="s">
        <v>3234</v>
      </c>
      <c r="J1080" s="2" t="s">
        <v>1007</v>
      </c>
      <c r="K1080" s="2" t="s">
        <v>3235</v>
      </c>
      <c r="L1080" s="2" t="s">
        <v>3235</v>
      </c>
      <c r="M1080" s="2" t="s">
        <v>2286</v>
      </c>
      <c r="N1080" s="25" t="s">
        <v>3236</v>
      </c>
      <c r="O1080" s="2" t="s">
        <v>2286</v>
      </c>
      <c r="P1080" s="2" t="s">
        <v>41</v>
      </c>
      <c r="Q1080" s="2" t="s">
        <v>41</v>
      </c>
      <c r="R1080" s="2" t="s">
        <v>32</v>
      </c>
      <c r="S1080" s="2" t="s">
        <v>33</v>
      </c>
      <c r="T1080" s="2" t="s">
        <v>1480</v>
      </c>
      <c r="U1080" s="2" t="s">
        <v>4922</v>
      </c>
      <c r="V1080" s="2" t="s">
        <v>4923</v>
      </c>
      <c r="W1080" s="2" t="s">
        <v>4924</v>
      </c>
      <c r="X1080" s="2" t="s">
        <v>4925</v>
      </c>
      <c r="Y1080" s="2" t="s">
        <v>4926</v>
      </c>
    </row>
    <row r="1081" spans="1:112" ht="85" x14ac:dyDescent="0.2">
      <c r="A1081" s="25" t="s">
        <v>3237</v>
      </c>
      <c r="B1081" s="2" t="s">
        <v>3238</v>
      </c>
      <c r="C1081" s="2" t="s">
        <v>3238</v>
      </c>
      <c r="D1081" s="1">
        <v>1</v>
      </c>
      <c r="E1081" s="2" t="s">
        <v>23</v>
      </c>
      <c r="G1081" s="2" t="s">
        <v>3223</v>
      </c>
      <c r="H1081" s="2" t="s">
        <v>538</v>
      </c>
      <c r="I1081" s="2" t="s">
        <v>3234</v>
      </c>
      <c r="J1081" s="2" t="s">
        <v>1007</v>
      </c>
      <c r="K1081" s="2" t="s">
        <v>3235</v>
      </c>
      <c r="L1081" s="2" t="s">
        <v>3235</v>
      </c>
      <c r="M1081" s="2" t="s">
        <v>2286</v>
      </c>
      <c r="N1081" s="25" t="s">
        <v>3236</v>
      </c>
      <c r="O1081" s="2" t="s">
        <v>2286</v>
      </c>
      <c r="P1081" s="2" t="s">
        <v>41</v>
      </c>
      <c r="Q1081" s="2" t="s">
        <v>199</v>
      </c>
      <c r="R1081" s="2" t="s">
        <v>32</v>
      </c>
      <c r="S1081" s="2" t="s">
        <v>33</v>
      </c>
      <c r="T1081" s="2" t="s">
        <v>1480</v>
      </c>
      <c r="U1081" s="2" t="s">
        <v>4922</v>
      </c>
      <c r="V1081" s="2" t="s">
        <v>4923</v>
      </c>
      <c r="W1081" s="2" t="s">
        <v>4924</v>
      </c>
      <c r="X1081" s="2" t="s">
        <v>4925</v>
      </c>
      <c r="Y1081" s="2" t="s">
        <v>4926</v>
      </c>
    </row>
    <row r="1082" spans="1:112" ht="102" x14ac:dyDescent="0.2">
      <c r="A1082" s="25" t="s">
        <v>3239</v>
      </c>
      <c r="B1082" s="2" t="s">
        <v>3240</v>
      </c>
      <c r="C1082" s="2" t="s">
        <v>3240</v>
      </c>
      <c r="D1082" s="1">
        <v>1</v>
      </c>
      <c r="E1082" s="2" t="s">
        <v>23</v>
      </c>
      <c r="G1082" s="2" t="s">
        <v>3223</v>
      </c>
      <c r="H1082" s="2" t="s">
        <v>1147</v>
      </c>
      <c r="I1082" s="2" t="s">
        <v>3241</v>
      </c>
      <c r="J1082" s="2" t="s">
        <v>1007</v>
      </c>
      <c r="K1082" s="2" t="s">
        <v>1008</v>
      </c>
      <c r="L1082" s="2" t="s">
        <v>3242</v>
      </c>
      <c r="M1082" s="2" t="s">
        <v>3243</v>
      </c>
      <c r="N1082" s="25" t="s">
        <v>3244</v>
      </c>
      <c r="O1082" s="2" t="s">
        <v>650</v>
      </c>
      <c r="P1082" s="2" t="s">
        <v>339</v>
      </c>
      <c r="Q1082" s="2" t="s">
        <v>41</v>
      </c>
      <c r="R1082" s="2" t="s">
        <v>32</v>
      </c>
      <c r="S1082" s="2" t="s">
        <v>33</v>
      </c>
      <c r="T1082" s="2" t="s">
        <v>3245</v>
      </c>
      <c r="U1082" s="2" t="s">
        <v>4927</v>
      </c>
      <c r="V1082" s="2" t="s">
        <v>4928</v>
      </c>
      <c r="W1082" s="2" t="s">
        <v>4929</v>
      </c>
    </row>
    <row r="1083" spans="1:112" ht="102" x14ac:dyDescent="0.2">
      <c r="A1083" s="25" t="s">
        <v>3246</v>
      </c>
      <c r="B1083" s="2" t="s">
        <v>3247</v>
      </c>
      <c r="C1083" s="2" t="s">
        <v>3247</v>
      </c>
      <c r="D1083" s="1">
        <v>1</v>
      </c>
      <c r="E1083" s="2" t="s">
        <v>23</v>
      </c>
      <c r="G1083" s="2" t="s">
        <v>3223</v>
      </c>
      <c r="H1083" s="2" t="s">
        <v>1147</v>
      </c>
      <c r="I1083" s="2" t="s">
        <v>3241</v>
      </c>
      <c r="J1083" s="2" t="s">
        <v>1007</v>
      </c>
      <c r="K1083" s="2" t="s">
        <v>1008</v>
      </c>
      <c r="L1083" s="2" t="s">
        <v>3242</v>
      </c>
      <c r="M1083" s="2" t="s">
        <v>3243</v>
      </c>
      <c r="N1083" s="25" t="s">
        <v>3244</v>
      </c>
      <c r="O1083" s="2" t="s">
        <v>650</v>
      </c>
      <c r="P1083" s="2" t="s">
        <v>339</v>
      </c>
      <c r="Q1083" s="2" t="s">
        <v>199</v>
      </c>
      <c r="R1083" s="2" t="s">
        <v>32</v>
      </c>
      <c r="S1083" s="2" t="s">
        <v>33</v>
      </c>
      <c r="T1083" s="2" t="s">
        <v>3245</v>
      </c>
      <c r="U1083" s="2" t="s">
        <v>4927</v>
      </c>
      <c r="V1083" s="2" t="s">
        <v>4928</v>
      </c>
      <c r="W1083" s="2" t="s">
        <v>4929</v>
      </c>
    </row>
    <row r="1084" spans="1:112" ht="170" x14ac:dyDescent="0.2">
      <c r="A1084" s="25" t="s">
        <v>3248</v>
      </c>
      <c r="B1084" s="2" t="s">
        <v>3249</v>
      </c>
      <c r="C1084" s="2" t="s">
        <v>3249</v>
      </c>
      <c r="D1084" s="1">
        <v>1</v>
      </c>
      <c r="E1084" s="2" t="s">
        <v>23</v>
      </c>
      <c r="G1084" s="2" t="s">
        <v>3223</v>
      </c>
      <c r="H1084" s="2" t="s">
        <v>2859</v>
      </c>
      <c r="I1084" s="2" t="s">
        <v>3250</v>
      </c>
      <c r="J1084" s="2" t="s">
        <v>1026</v>
      </c>
      <c r="K1084" s="2" t="s">
        <v>1039</v>
      </c>
      <c r="L1084" s="2" t="s">
        <v>1040</v>
      </c>
      <c r="M1084" s="2" t="s">
        <v>1041</v>
      </c>
      <c r="N1084" s="25" t="s">
        <v>3251</v>
      </c>
      <c r="O1084" s="2" t="s">
        <v>3252</v>
      </c>
      <c r="P1084" s="2" t="s">
        <v>41</v>
      </c>
      <c r="Q1084" s="2" t="s">
        <v>41</v>
      </c>
      <c r="R1084" s="2" t="s">
        <v>32</v>
      </c>
      <c r="S1084" s="2" t="s">
        <v>33</v>
      </c>
      <c r="T1084" s="2" t="s">
        <v>2848</v>
      </c>
      <c r="U1084" s="2" t="s">
        <v>4930</v>
      </c>
      <c r="V1084" s="2" t="s">
        <v>4931</v>
      </c>
    </row>
    <row r="1085" spans="1:112" ht="170" x14ac:dyDescent="0.2">
      <c r="A1085" s="25" t="s">
        <v>3253</v>
      </c>
      <c r="B1085" s="2" t="s">
        <v>3254</v>
      </c>
      <c r="C1085" s="2" t="s">
        <v>3254</v>
      </c>
      <c r="D1085" s="1">
        <v>1</v>
      </c>
      <c r="E1085" s="2" t="s">
        <v>23</v>
      </c>
      <c r="G1085" s="2" t="s">
        <v>3223</v>
      </c>
      <c r="H1085" s="2" t="s">
        <v>2859</v>
      </c>
      <c r="I1085" s="2" t="s">
        <v>3250</v>
      </c>
      <c r="J1085" s="2" t="s">
        <v>1026</v>
      </c>
      <c r="K1085" s="2" t="s">
        <v>1039</v>
      </c>
      <c r="L1085" s="2" t="s">
        <v>1040</v>
      </c>
      <c r="M1085" s="2" t="s">
        <v>1041</v>
      </c>
      <c r="N1085" s="25" t="s">
        <v>3251</v>
      </c>
      <c r="O1085" s="2" t="s">
        <v>3252</v>
      </c>
      <c r="P1085" s="2" t="s">
        <v>41</v>
      </c>
      <c r="Q1085" s="2" t="s">
        <v>199</v>
      </c>
      <c r="R1085" s="2" t="s">
        <v>32</v>
      </c>
      <c r="S1085" s="2" t="s">
        <v>33</v>
      </c>
      <c r="T1085" s="2" t="s">
        <v>2848</v>
      </c>
      <c r="U1085" s="2" t="s">
        <v>3255</v>
      </c>
    </row>
    <row r="1086" spans="1:112" ht="170" x14ac:dyDescent="0.2">
      <c r="A1086" s="26" t="s">
        <v>5264</v>
      </c>
      <c r="B1086" s="7" t="s">
        <v>5265</v>
      </c>
      <c r="C1086" s="2" t="s">
        <v>5265</v>
      </c>
      <c r="D1086" s="1">
        <v>1</v>
      </c>
      <c r="E1086" s="2" t="s">
        <v>23</v>
      </c>
      <c r="G1086" s="2" t="s">
        <v>3223</v>
      </c>
      <c r="H1086" s="2" t="s">
        <v>2859</v>
      </c>
      <c r="I1086" s="2" t="s">
        <v>3250</v>
      </c>
      <c r="J1086" s="12" t="s">
        <v>1026</v>
      </c>
      <c r="K1086" s="12" t="s">
        <v>1039</v>
      </c>
      <c r="L1086" s="12" t="s">
        <v>5266</v>
      </c>
      <c r="M1086" s="12" t="s">
        <v>1041</v>
      </c>
      <c r="N1086" s="34" t="s">
        <v>3251</v>
      </c>
      <c r="O1086" s="12" t="s">
        <v>3252</v>
      </c>
      <c r="P1086" s="12" t="s">
        <v>41</v>
      </c>
      <c r="Q1086" s="12" t="s">
        <v>41</v>
      </c>
      <c r="R1086" s="12" t="s">
        <v>32</v>
      </c>
      <c r="S1086" s="12" t="s">
        <v>33</v>
      </c>
      <c r="T1086" s="12" t="s">
        <v>2848</v>
      </c>
      <c r="U1086" s="12" t="s">
        <v>5267</v>
      </c>
      <c r="V1086" s="12" t="s">
        <v>5267</v>
      </c>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c r="CA1086" s="12"/>
      <c r="CB1086" s="12"/>
      <c r="CC1086" s="12"/>
      <c r="CD1086" s="12"/>
      <c r="CE1086" s="12"/>
      <c r="CF1086" s="12"/>
      <c r="CG1086" s="12"/>
      <c r="CH1086" s="12"/>
      <c r="CI1086" s="12"/>
      <c r="CJ1086" s="12"/>
      <c r="CK1086" s="12"/>
      <c r="CL1086" s="12"/>
      <c r="CM1086" s="12"/>
      <c r="CN1086" s="12"/>
      <c r="CO1086" s="12"/>
      <c r="CP1086" s="12"/>
      <c r="CQ1086" s="12"/>
      <c r="CR1086" s="12"/>
      <c r="CS1086" s="12"/>
      <c r="CT1086" s="12"/>
      <c r="CU1086" s="12"/>
      <c r="CV1086" s="12"/>
      <c r="CW1086" s="12"/>
      <c r="CX1086" s="12"/>
      <c r="CY1086" s="12"/>
      <c r="CZ1086" s="12"/>
      <c r="DA1086" s="12"/>
      <c r="DB1086" s="12"/>
      <c r="DC1086" s="12"/>
      <c r="DD1086" s="12"/>
      <c r="DE1086" s="12"/>
      <c r="DF1086" s="12"/>
      <c r="DG1086" s="12"/>
      <c r="DH1086" s="12"/>
    </row>
    <row r="1087" spans="1:112" ht="170" x14ac:dyDescent="0.2">
      <c r="A1087" s="26" t="s">
        <v>5268</v>
      </c>
      <c r="B1087" s="7" t="s">
        <v>5269</v>
      </c>
      <c r="C1087" s="2" t="s">
        <v>5269</v>
      </c>
      <c r="D1087" s="1">
        <v>1</v>
      </c>
      <c r="E1087" s="2" t="s">
        <v>23</v>
      </c>
      <c r="G1087" s="2" t="s">
        <v>3223</v>
      </c>
      <c r="H1087" s="2" t="s">
        <v>2859</v>
      </c>
      <c r="I1087" s="2" t="s">
        <v>3250</v>
      </c>
      <c r="J1087" s="12" t="s">
        <v>1026</v>
      </c>
      <c r="K1087" s="12" t="s">
        <v>1039</v>
      </c>
      <c r="L1087" s="12" t="s">
        <v>5266</v>
      </c>
      <c r="M1087" s="12" t="s">
        <v>1041</v>
      </c>
      <c r="N1087" s="34" t="s">
        <v>3251</v>
      </c>
      <c r="O1087" s="12" t="s">
        <v>3252</v>
      </c>
      <c r="P1087" s="12" t="s">
        <v>41</v>
      </c>
      <c r="Q1087" s="12" t="s">
        <v>41</v>
      </c>
      <c r="R1087" s="12" t="s">
        <v>32</v>
      </c>
      <c r="S1087" s="12" t="s">
        <v>33</v>
      </c>
      <c r="T1087" s="12" t="s">
        <v>2848</v>
      </c>
      <c r="U1087" s="12" t="s">
        <v>3255</v>
      </c>
      <c r="V1087" s="12" t="s">
        <v>3255</v>
      </c>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c r="CA1087" s="12"/>
      <c r="CB1087" s="12"/>
      <c r="CC1087" s="12"/>
      <c r="CD1087" s="12"/>
      <c r="CE1087" s="12"/>
      <c r="CF1087" s="12"/>
      <c r="CG1087" s="12"/>
      <c r="CH1087" s="12"/>
      <c r="CI1087" s="12"/>
      <c r="CJ1087" s="12"/>
      <c r="CK1087" s="12"/>
      <c r="CL1087" s="12"/>
      <c r="CM1087" s="12"/>
      <c r="CN1087" s="12"/>
      <c r="CO1087" s="12"/>
      <c r="CP1087" s="12"/>
      <c r="CQ1087" s="12"/>
      <c r="CR1087" s="12"/>
      <c r="CS1087" s="12"/>
      <c r="CT1087" s="12"/>
      <c r="CU1087" s="12"/>
      <c r="CV1087" s="12"/>
      <c r="CW1087" s="12"/>
      <c r="CX1087" s="12"/>
      <c r="CY1087" s="12"/>
      <c r="CZ1087" s="12"/>
      <c r="DA1087" s="12"/>
      <c r="DB1087" s="12"/>
      <c r="DC1087" s="12"/>
      <c r="DD1087" s="12"/>
      <c r="DE1087" s="12"/>
      <c r="DF1087" s="12"/>
      <c r="DG1087" s="12"/>
      <c r="DH1087" s="12"/>
    </row>
    <row r="1088" spans="1:112" ht="170" x14ac:dyDescent="0.2">
      <c r="A1088" s="25" t="s">
        <v>3256</v>
      </c>
      <c r="B1088" s="2" t="s">
        <v>3257</v>
      </c>
      <c r="C1088" s="2" t="s">
        <v>3257</v>
      </c>
      <c r="D1088" s="1">
        <v>1</v>
      </c>
      <c r="E1088" s="2" t="s">
        <v>23</v>
      </c>
      <c r="G1088" s="2" t="s">
        <v>3223</v>
      </c>
      <c r="H1088" s="2" t="s">
        <v>2859</v>
      </c>
      <c r="I1088" s="2" t="s">
        <v>3250</v>
      </c>
      <c r="J1088" s="2" t="s">
        <v>1026</v>
      </c>
      <c r="K1088" s="2" t="s">
        <v>1039</v>
      </c>
      <c r="L1088" s="2" t="s">
        <v>1048</v>
      </c>
      <c r="M1088" s="2" t="s">
        <v>1049</v>
      </c>
      <c r="N1088" s="25" t="s">
        <v>3251</v>
      </c>
      <c r="O1088" s="2" t="s">
        <v>3252</v>
      </c>
      <c r="P1088" s="2" t="s">
        <v>41</v>
      </c>
      <c r="Q1088" s="2" t="s">
        <v>41</v>
      </c>
      <c r="R1088" s="2" t="s">
        <v>32</v>
      </c>
      <c r="S1088" s="2" t="s">
        <v>33</v>
      </c>
      <c r="T1088" s="2" t="s">
        <v>2848</v>
      </c>
      <c r="U1088" s="2" t="s">
        <v>4930</v>
      </c>
      <c r="V1088" s="2" t="s">
        <v>4931</v>
      </c>
    </row>
    <row r="1089" spans="1:112" ht="51" customHeight="1" x14ac:dyDescent="0.2">
      <c r="A1089" s="25" t="s">
        <v>3258</v>
      </c>
      <c r="B1089" s="2" t="s">
        <v>3259</v>
      </c>
      <c r="C1089" s="2" t="s">
        <v>3259</v>
      </c>
      <c r="D1089" s="1">
        <v>1</v>
      </c>
      <c r="E1089" s="2" t="s">
        <v>23</v>
      </c>
      <c r="G1089" s="2" t="s">
        <v>3223</v>
      </c>
      <c r="H1089" s="2" t="s">
        <v>2859</v>
      </c>
      <c r="I1089" s="2" t="s">
        <v>3250</v>
      </c>
      <c r="J1089" s="2" t="s">
        <v>1026</v>
      </c>
      <c r="K1089" s="2" t="s">
        <v>1039</v>
      </c>
      <c r="L1089" s="2" t="s">
        <v>1048</v>
      </c>
      <c r="M1089" s="2" t="s">
        <v>1049</v>
      </c>
      <c r="N1089" s="25" t="s">
        <v>3251</v>
      </c>
      <c r="O1089" s="2" t="s">
        <v>3252</v>
      </c>
      <c r="P1089" s="2" t="s">
        <v>41</v>
      </c>
      <c r="Q1089" s="2" t="s">
        <v>199</v>
      </c>
      <c r="R1089" s="2" t="s">
        <v>32</v>
      </c>
      <c r="S1089" s="2" t="s">
        <v>33</v>
      </c>
      <c r="T1089" s="2" t="s">
        <v>2848</v>
      </c>
      <c r="U1089" s="2" t="s">
        <v>3255</v>
      </c>
    </row>
    <row r="1090" spans="1:112" ht="51" customHeight="1" x14ac:dyDescent="0.2">
      <c r="A1090" s="26" t="s">
        <v>5280</v>
      </c>
      <c r="B1090" s="7" t="s">
        <v>5281</v>
      </c>
      <c r="C1090" s="2" t="s">
        <v>5281</v>
      </c>
      <c r="D1090" s="1">
        <v>1</v>
      </c>
      <c r="E1090" s="2" t="s">
        <v>23</v>
      </c>
      <c r="G1090" s="2" t="s">
        <v>3223</v>
      </c>
      <c r="H1090" s="2" t="s">
        <v>2859</v>
      </c>
      <c r="I1090" s="2" t="s">
        <v>3250</v>
      </c>
      <c r="J1090" s="12" t="s">
        <v>1026</v>
      </c>
      <c r="K1090" s="12" t="s">
        <v>1039</v>
      </c>
      <c r="L1090" s="12" t="s">
        <v>5282</v>
      </c>
      <c r="M1090" s="12" t="s">
        <v>1049</v>
      </c>
      <c r="N1090" s="34" t="s">
        <v>3251</v>
      </c>
      <c r="O1090" s="12" t="s">
        <v>3252</v>
      </c>
      <c r="P1090" s="12" t="s">
        <v>41</v>
      </c>
      <c r="Q1090" s="12" t="s">
        <v>41</v>
      </c>
      <c r="R1090" s="12" t="s">
        <v>32</v>
      </c>
      <c r="S1090" s="12" t="s">
        <v>33</v>
      </c>
      <c r="T1090" s="12" t="s">
        <v>2848</v>
      </c>
      <c r="U1090" s="12" t="s">
        <v>5267</v>
      </c>
      <c r="V1090" s="12" t="s">
        <v>5267</v>
      </c>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c r="CA1090" s="12"/>
      <c r="CB1090" s="12"/>
      <c r="CC1090" s="12"/>
      <c r="CD1090" s="12"/>
      <c r="CE1090" s="12"/>
      <c r="CF1090" s="12"/>
      <c r="CG1090" s="12"/>
      <c r="CH1090" s="12"/>
      <c r="CI1090" s="12"/>
      <c r="CJ1090" s="12"/>
      <c r="CK1090" s="12"/>
      <c r="CL1090" s="12"/>
      <c r="CM1090" s="12"/>
      <c r="CN1090" s="12"/>
      <c r="CO1090" s="12"/>
      <c r="CP1090" s="12"/>
      <c r="CQ1090" s="12"/>
      <c r="CR1090" s="12"/>
      <c r="CS1090" s="12"/>
      <c r="CT1090" s="12"/>
      <c r="CU1090" s="12"/>
      <c r="CV1090" s="12"/>
      <c r="CW1090" s="12"/>
      <c r="CX1090" s="12"/>
      <c r="CY1090" s="12"/>
      <c r="CZ1090" s="12"/>
      <c r="DA1090" s="12"/>
      <c r="DB1090" s="12"/>
      <c r="DC1090" s="12"/>
      <c r="DD1090" s="12"/>
      <c r="DE1090" s="12"/>
      <c r="DF1090" s="12"/>
      <c r="DG1090" s="12"/>
      <c r="DH1090" s="12"/>
    </row>
    <row r="1091" spans="1:112" ht="51" customHeight="1" x14ac:dyDescent="0.2">
      <c r="A1091" s="26" t="s">
        <v>5283</v>
      </c>
      <c r="B1091" s="7" t="s">
        <v>5284</v>
      </c>
      <c r="C1091" s="2" t="s">
        <v>5284</v>
      </c>
      <c r="D1091" s="1">
        <v>1</v>
      </c>
      <c r="E1091" s="2" t="s">
        <v>23</v>
      </c>
      <c r="G1091" s="2" t="s">
        <v>3223</v>
      </c>
      <c r="H1091" s="2" t="s">
        <v>2859</v>
      </c>
      <c r="I1091" s="2" t="s">
        <v>3250</v>
      </c>
      <c r="J1091" s="12" t="s">
        <v>1026</v>
      </c>
      <c r="K1091" s="12" t="s">
        <v>1039</v>
      </c>
      <c r="L1091" s="12" t="s">
        <v>5282</v>
      </c>
      <c r="M1091" s="12" t="s">
        <v>1049</v>
      </c>
      <c r="N1091" s="34" t="s">
        <v>3251</v>
      </c>
      <c r="O1091" s="12" t="s">
        <v>3252</v>
      </c>
      <c r="P1091" s="12" t="s">
        <v>41</v>
      </c>
      <c r="Q1091" s="12" t="s">
        <v>199</v>
      </c>
      <c r="R1091" s="12" t="s">
        <v>32</v>
      </c>
      <c r="S1091" s="12" t="s">
        <v>33</v>
      </c>
      <c r="T1091" s="12" t="s">
        <v>2848</v>
      </c>
      <c r="U1091" s="12" t="s">
        <v>3255</v>
      </c>
      <c r="V1091" s="12" t="s">
        <v>3255</v>
      </c>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c r="CA1091" s="12"/>
      <c r="CB1091" s="12"/>
      <c r="CC1091" s="12"/>
      <c r="CD1091" s="12"/>
      <c r="CE1091" s="12"/>
      <c r="CF1091" s="12"/>
      <c r="CG1091" s="12"/>
      <c r="CH1091" s="12"/>
      <c r="CI1091" s="12"/>
      <c r="CJ1091" s="12"/>
      <c r="CK1091" s="12"/>
      <c r="CL1091" s="12"/>
      <c r="CM1091" s="12"/>
      <c r="CN1091" s="12"/>
      <c r="CO1091" s="12"/>
      <c r="CP1091" s="12"/>
      <c r="CQ1091" s="12"/>
      <c r="CR1091" s="12"/>
      <c r="CS1091" s="12"/>
      <c r="CT1091" s="12"/>
      <c r="CU1091" s="12"/>
      <c r="CV1091" s="12"/>
      <c r="CW1091" s="12"/>
      <c r="CX1091" s="12"/>
      <c r="CY1091" s="12"/>
      <c r="CZ1091" s="12"/>
      <c r="DA1091" s="12"/>
      <c r="DB1091" s="12"/>
      <c r="DC1091" s="12"/>
      <c r="DD1091" s="12"/>
      <c r="DE1091" s="12"/>
      <c r="DF1091" s="12"/>
      <c r="DG1091" s="12"/>
      <c r="DH1091" s="12"/>
    </row>
    <row r="1092" spans="1:112" ht="51" customHeight="1" x14ac:dyDescent="0.2">
      <c r="A1092" s="25" t="s">
        <v>3260</v>
      </c>
      <c r="B1092" s="2" t="s">
        <v>3261</v>
      </c>
      <c r="C1092" s="2" t="s">
        <v>3261</v>
      </c>
      <c r="D1092" s="1">
        <v>1</v>
      </c>
      <c r="E1092" s="2" t="s">
        <v>23</v>
      </c>
      <c r="G1092" s="2" t="s">
        <v>3223</v>
      </c>
      <c r="H1092" s="2" t="s">
        <v>2859</v>
      </c>
      <c r="I1092" s="2" t="s">
        <v>3250</v>
      </c>
      <c r="J1092" s="2" t="s">
        <v>1026</v>
      </c>
      <c r="K1092" s="2" t="s">
        <v>1039</v>
      </c>
      <c r="L1092" s="2" t="s">
        <v>1053</v>
      </c>
      <c r="M1092" s="2" t="s">
        <v>1054</v>
      </c>
      <c r="N1092" s="25" t="s">
        <v>3251</v>
      </c>
      <c r="O1092" s="2" t="s">
        <v>3252</v>
      </c>
      <c r="P1092" s="2" t="s">
        <v>41</v>
      </c>
      <c r="Q1092" s="2" t="s">
        <v>41</v>
      </c>
      <c r="R1092" s="2" t="s">
        <v>32</v>
      </c>
      <c r="S1092" s="2" t="s">
        <v>33</v>
      </c>
      <c r="T1092" s="2" t="s">
        <v>2848</v>
      </c>
      <c r="U1092" s="2" t="s">
        <v>4930</v>
      </c>
      <c r="V1092" s="2" t="s">
        <v>4931</v>
      </c>
    </row>
    <row r="1093" spans="1:112" ht="51" customHeight="1" x14ac:dyDescent="0.2">
      <c r="A1093" s="25" t="s">
        <v>3262</v>
      </c>
      <c r="B1093" s="2" t="s">
        <v>3263</v>
      </c>
      <c r="C1093" s="2" t="s">
        <v>3263</v>
      </c>
      <c r="D1093" s="1">
        <v>1</v>
      </c>
      <c r="E1093" s="2" t="s">
        <v>23</v>
      </c>
      <c r="G1093" s="2" t="s">
        <v>3223</v>
      </c>
      <c r="H1093" s="2" t="s">
        <v>2859</v>
      </c>
      <c r="I1093" s="2" t="s">
        <v>3250</v>
      </c>
      <c r="J1093" s="2" t="s">
        <v>1026</v>
      </c>
      <c r="K1093" s="2" t="s">
        <v>1039</v>
      </c>
      <c r="L1093" s="2" t="s">
        <v>1053</v>
      </c>
      <c r="M1093" s="2" t="s">
        <v>1054</v>
      </c>
      <c r="N1093" s="25" t="s">
        <v>3251</v>
      </c>
      <c r="O1093" s="2" t="s">
        <v>3252</v>
      </c>
      <c r="P1093" s="2" t="s">
        <v>41</v>
      </c>
      <c r="Q1093" s="2" t="s">
        <v>199</v>
      </c>
      <c r="R1093" s="2" t="s">
        <v>32</v>
      </c>
      <c r="S1093" s="2" t="s">
        <v>33</v>
      </c>
      <c r="T1093" s="2" t="s">
        <v>2848</v>
      </c>
      <c r="U1093" s="2" t="s">
        <v>3255</v>
      </c>
    </row>
    <row r="1094" spans="1:112" ht="51" customHeight="1" x14ac:dyDescent="0.2">
      <c r="A1094" s="25" t="s">
        <v>3264</v>
      </c>
      <c r="B1094" s="2" t="s">
        <v>3265</v>
      </c>
      <c r="C1094" s="2" t="s">
        <v>3265</v>
      </c>
      <c r="D1094" s="1">
        <v>1</v>
      </c>
      <c r="E1094" s="2" t="s">
        <v>23</v>
      </c>
      <c r="G1094" s="2" t="s">
        <v>3223</v>
      </c>
      <c r="H1094" s="2" t="s">
        <v>2859</v>
      </c>
      <c r="I1094" s="2" t="s">
        <v>3250</v>
      </c>
      <c r="J1094" s="2" t="s">
        <v>1026</v>
      </c>
      <c r="K1094" s="2" t="s">
        <v>1039</v>
      </c>
      <c r="L1094" s="2" t="s">
        <v>1058</v>
      </c>
      <c r="M1094" s="2" t="s">
        <v>1059</v>
      </c>
      <c r="N1094" s="25" t="s">
        <v>3251</v>
      </c>
      <c r="O1094" s="2" t="s">
        <v>3252</v>
      </c>
      <c r="P1094" s="2" t="s">
        <v>41</v>
      </c>
      <c r="Q1094" s="2" t="s">
        <v>41</v>
      </c>
      <c r="R1094" s="2" t="s">
        <v>32</v>
      </c>
      <c r="S1094" s="2" t="s">
        <v>33</v>
      </c>
      <c r="T1094" s="2" t="s">
        <v>3266</v>
      </c>
      <c r="U1094" s="2" t="s">
        <v>4930</v>
      </c>
      <c r="V1094" s="2" t="s">
        <v>4931</v>
      </c>
    </row>
    <row r="1095" spans="1:112" ht="51" customHeight="1" x14ac:dyDescent="0.2">
      <c r="A1095" s="25" t="s">
        <v>3267</v>
      </c>
      <c r="B1095" s="2" t="s">
        <v>3268</v>
      </c>
      <c r="C1095" s="2" t="s">
        <v>3268</v>
      </c>
      <c r="D1095" s="1">
        <v>1</v>
      </c>
      <c r="E1095" s="2" t="s">
        <v>23</v>
      </c>
      <c r="G1095" s="2" t="s">
        <v>3223</v>
      </c>
      <c r="H1095" s="2" t="s">
        <v>2859</v>
      </c>
      <c r="I1095" s="2" t="s">
        <v>3250</v>
      </c>
      <c r="J1095" s="2" t="s">
        <v>1026</v>
      </c>
      <c r="K1095" s="2" t="s">
        <v>1039</v>
      </c>
      <c r="L1095" s="2" t="s">
        <v>1058</v>
      </c>
      <c r="M1095" s="2" t="s">
        <v>1059</v>
      </c>
      <c r="N1095" s="25" t="s">
        <v>3251</v>
      </c>
      <c r="O1095" s="2" t="s">
        <v>3252</v>
      </c>
      <c r="P1095" s="2" t="s">
        <v>41</v>
      </c>
      <c r="Q1095" s="2" t="s">
        <v>199</v>
      </c>
      <c r="R1095" s="2" t="s">
        <v>32</v>
      </c>
      <c r="S1095" s="2" t="s">
        <v>33</v>
      </c>
      <c r="T1095" s="2" t="s">
        <v>3266</v>
      </c>
      <c r="U1095" s="2" t="s">
        <v>3255</v>
      </c>
    </row>
    <row r="1096" spans="1:112" ht="51" customHeight="1" x14ac:dyDescent="0.2">
      <c r="A1096" s="26" t="s">
        <v>5294</v>
      </c>
      <c r="B1096" s="7" t="s">
        <v>5295</v>
      </c>
      <c r="C1096" s="2" t="s">
        <v>5295</v>
      </c>
      <c r="D1096" s="5">
        <v>1</v>
      </c>
      <c r="E1096" s="6" t="s">
        <v>23</v>
      </c>
      <c r="F1096" s="6"/>
      <c r="G1096" s="6"/>
      <c r="H1096" s="6"/>
      <c r="I1096" s="6"/>
      <c r="J1096" s="12" t="s">
        <v>469</v>
      </c>
      <c r="K1096" s="12" t="s">
        <v>470</v>
      </c>
      <c r="L1096" s="12" t="s">
        <v>471</v>
      </c>
      <c r="M1096" s="12" t="s">
        <v>472</v>
      </c>
      <c r="N1096" s="34" t="s">
        <v>5296</v>
      </c>
      <c r="O1096" s="12" t="s">
        <v>472</v>
      </c>
      <c r="P1096" s="12" t="s">
        <v>137</v>
      </c>
      <c r="Q1096" s="12" t="s">
        <v>41</v>
      </c>
      <c r="R1096" s="12" t="s">
        <v>32</v>
      </c>
      <c r="S1096" s="12" t="s">
        <v>33</v>
      </c>
      <c r="T1096" s="12" t="s">
        <v>5297</v>
      </c>
      <c r="U1096" s="12" t="s">
        <v>5298</v>
      </c>
      <c r="V1096" s="12" t="s">
        <v>5298</v>
      </c>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c r="CA1096" s="12"/>
      <c r="CB1096" s="12"/>
      <c r="CC1096" s="12"/>
      <c r="CD1096" s="12"/>
      <c r="CE1096" s="12"/>
      <c r="CF1096" s="12"/>
      <c r="CG1096" s="12"/>
      <c r="CH1096" s="12"/>
      <c r="CI1096" s="12"/>
      <c r="CJ1096" s="12"/>
      <c r="CK1096" s="12"/>
      <c r="CL1096" s="12"/>
      <c r="CM1096" s="12"/>
      <c r="CN1096" s="12"/>
      <c r="CO1096" s="12"/>
      <c r="CP1096" s="12"/>
      <c r="CQ1096" s="12"/>
      <c r="CR1096" s="12"/>
      <c r="CS1096" s="12"/>
      <c r="CT1096" s="12"/>
      <c r="CU1096" s="12"/>
      <c r="CV1096" s="12"/>
      <c r="CW1096" s="12"/>
      <c r="CX1096" s="12"/>
      <c r="CY1096" s="12"/>
      <c r="CZ1096" s="12"/>
      <c r="DA1096" s="12"/>
      <c r="DB1096" s="12"/>
      <c r="DC1096" s="12"/>
      <c r="DD1096" s="12"/>
      <c r="DE1096" s="12"/>
      <c r="DF1096" s="12"/>
      <c r="DG1096" s="12"/>
      <c r="DH1096" s="12"/>
    </row>
    <row r="1097" spans="1:112" ht="51" customHeight="1" x14ac:dyDescent="0.2">
      <c r="A1097" s="25" t="s">
        <v>3269</v>
      </c>
      <c r="B1097" s="2" t="s">
        <v>3270</v>
      </c>
      <c r="C1097" s="2" t="s">
        <v>3270</v>
      </c>
      <c r="D1097" s="1">
        <v>1</v>
      </c>
      <c r="E1097" s="2" t="s">
        <v>61</v>
      </c>
      <c r="F1097" s="2" t="s">
        <v>3271</v>
      </c>
      <c r="G1097" s="2" t="s">
        <v>3223</v>
      </c>
      <c r="H1097" s="2" t="s">
        <v>3272</v>
      </c>
      <c r="I1097" s="2" t="s">
        <v>3273</v>
      </c>
      <c r="J1097" s="2" t="s">
        <v>469</v>
      </c>
      <c r="K1097" s="2" t="s">
        <v>470</v>
      </c>
      <c r="L1097" s="2" t="s">
        <v>3274</v>
      </c>
      <c r="M1097" s="2" t="s">
        <v>3275</v>
      </c>
      <c r="N1097" s="25" t="s">
        <v>3276</v>
      </c>
      <c r="O1097" s="2" t="s">
        <v>3275</v>
      </c>
      <c r="P1097" s="2" t="s">
        <v>183</v>
      </c>
      <c r="Q1097" s="2" t="s">
        <v>41</v>
      </c>
      <c r="R1097" s="2" t="s">
        <v>32</v>
      </c>
      <c r="S1097" s="2" t="s">
        <v>392</v>
      </c>
      <c r="T1097" s="2" t="s">
        <v>3277</v>
      </c>
      <c r="U1097" s="2" t="s">
        <v>4932</v>
      </c>
      <c r="V1097" s="2" t="s">
        <v>4933</v>
      </c>
    </row>
    <row r="1098" spans="1:112" ht="51" customHeight="1" x14ac:dyDescent="0.2">
      <c r="A1098" s="25" t="s">
        <v>3278</v>
      </c>
      <c r="B1098" s="2" t="s">
        <v>3279</v>
      </c>
      <c r="C1098" s="2" t="s">
        <v>3279</v>
      </c>
      <c r="D1098" s="1">
        <v>1</v>
      </c>
      <c r="E1098" s="2" t="s">
        <v>61</v>
      </c>
      <c r="F1098" s="2" t="s">
        <v>3280</v>
      </c>
      <c r="G1098" s="2" t="s">
        <v>3223</v>
      </c>
      <c r="H1098" s="2" t="s">
        <v>3281</v>
      </c>
      <c r="I1098" s="2" t="s">
        <v>2427</v>
      </c>
      <c r="J1098" s="2" t="s">
        <v>763</v>
      </c>
      <c r="K1098" s="2" t="s">
        <v>764</v>
      </c>
      <c r="L1098" s="2" t="s">
        <v>764</v>
      </c>
      <c r="M1098" s="2" t="s">
        <v>765</v>
      </c>
      <c r="N1098" s="25" t="s">
        <v>3282</v>
      </c>
      <c r="O1098" s="2" t="s">
        <v>848</v>
      </c>
      <c r="P1098" s="2" t="s">
        <v>2385</v>
      </c>
      <c r="Q1098" s="2" t="s">
        <v>41</v>
      </c>
      <c r="R1098" s="2" t="s">
        <v>32</v>
      </c>
      <c r="S1098" s="2" t="s">
        <v>33</v>
      </c>
      <c r="T1098" s="2" t="s">
        <v>3283</v>
      </c>
      <c r="U1098" s="2" t="s">
        <v>3284</v>
      </c>
    </row>
    <row r="1099" spans="1:112" ht="51" customHeight="1" x14ac:dyDescent="0.2">
      <c r="A1099" s="25" t="s">
        <v>3285</v>
      </c>
      <c r="B1099" s="2" t="s">
        <v>3286</v>
      </c>
      <c r="C1099" s="2" t="s">
        <v>3286</v>
      </c>
      <c r="D1099" s="1">
        <v>1</v>
      </c>
      <c r="E1099" s="2" t="s">
        <v>61</v>
      </c>
      <c r="F1099" s="2" t="s">
        <v>3280</v>
      </c>
      <c r="G1099" s="2" t="s">
        <v>3223</v>
      </c>
      <c r="H1099" s="2" t="s">
        <v>3281</v>
      </c>
      <c r="I1099" s="2" t="s">
        <v>2427</v>
      </c>
      <c r="J1099" s="2" t="s">
        <v>763</v>
      </c>
      <c r="K1099" s="2" t="s">
        <v>859</v>
      </c>
      <c r="L1099" s="2" t="s">
        <v>860</v>
      </c>
      <c r="M1099" s="2" t="s">
        <v>861</v>
      </c>
      <c r="N1099" s="25" t="s">
        <v>3287</v>
      </c>
      <c r="O1099" s="2" t="s">
        <v>848</v>
      </c>
      <c r="P1099" s="2" t="s">
        <v>792</v>
      </c>
      <c r="Q1099" s="2" t="s">
        <v>41</v>
      </c>
      <c r="R1099" s="2" t="s">
        <v>32</v>
      </c>
      <c r="S1099" s="2" t="s">
        <v>33</v>
      </c>
      <c r="T1099" s="2" t="s">
        <v>3288</v>
      </c>
      <c r="U1099" s="2" t="s">
        <v>4934</v>
      </c>
      <c r="V1099" s="2" t="s">
        <v>4935</v>
      </c>
      <c r="W1099" s="2" t="s">
        <v>4936</v>
      </c>
    </row>
    <row r="1100" spans="1:112" ht="51" customHeight="1" x14ac:dyDescent="0.2">
      <c r="A1100" s="25" t="s">
        <v>3289</v>
      </c>
      <c r="B1100" s="2" t="s">
        <v>3290</v>
      </c>
      <c r="C1100" s="2" t="s">
        <v>3290</v>
      </c>
      <c r="D1100" s="1">
        <v>1</v>
      </c>
      <c r="E1100" s="2" t="s">
        <v>23</v>
      </c>
      <c r="G1100" s="2" t="s">
        <v>3223</v>
      </c>
      <c r="H1100" s="2" t="s">
        <v>680</v>
      </c>
      <c r="I1100" s="2" t="s">
        <v>858</v>
      </c>
      <c r="J1100" s="2" t="s">
        <v>763</v>
      </c>
      <c r="K1100" s="2" t="s">
        <v>859</v>
      </c>
      <c r="L1100" s="2" t="s">
        <v>2561</v>
      </c>
      <c r="M1100" s="2" t="s">
        <v>2562</v>
      </c>
      <c r="N1100" s="25" t="s">
        <v>3291</v>
      </c>
      <c r="O1100" s="2" t="s">
        <v>767</v>
      </c>
      <c r="P1100" s="2" t="s">
        <v>1068</v>
      </c>
      <c r="Q1100" s="2" t="s">
        <v>41</v>
      </c>
      <c r="R1100" s="2" t="s">
        <v>32</v>
      </c>
      <c r="S1100" s="2" t="s">
        <v>33</v>
      </c>
      <c r="T1100" s="2" t="s">
        <v>850</v>
      </c>
      <c r="U1100" s="2" t="s">
        <v>3292</v>
      </c>
    </row>
    <row r="1101" spans="1:112" ht="51" customHeight="1" x14ac:dyDescent="0.2">
      <c r="A1101" s="25" t="s">
        <v>3293</v>
      </c>
      <c r="B1101" s="2" t="s">
        <v>3294</v>
      </c>
      <c r="C1101" s="2" t="s">
        <v>3294</v>
      </c>
      <c r="D1101" s="1">
        <v>1</v>
      </c>
      <c r="E1101" s="2" t="s">
        <v>23</v>
      </c>
      <c r="F1101" s="2" t="s">
        <v>2403</v>
      </c>
      <c r="G1101" s="2" t="s">
        <v>3223</v>
      </c>
      <c r="H1101" s="2" t="s">
        <v>680</v>
      </c>
      <c r="I1101" s="2" t="s">
        <v>858</v>
      </c>
      <c r="J1101" s="2" t="s">
        <v>763</v>
      </c>
      <c r="K1101" s="2" t="s">
        <v>859</v>
      </c>
      <c r="L1101" s="2" t="s">
        <v>2561</v>
      </c>
      <c r="M1101" s="2" t="s">
        <v>2562</v>
      </c>
      <c r="N1101" s="25" t="s">
        <v>3295</v>
      </c>
      <c r="O1101" s="2" t="s">
        <v>767</v>
      </c>
      <c r="P1101" s="2" t="s">
        <v>1172</v>
      </c>
      <c r="Q1101" s="2" t="s">
        <v>41</v>
      </c>
      <c r="R1101" s="2" t="s">
        <v>32</v>
      </c>
      <c r="S1101" s="2" t="s">
        <v>33</v>
      </c>
      <c r="T1101" s="2" t="s">
        <v>850</v>
      </c>
      <c r="U1101" s="2" t="s">
        <v>292</v>
      </c>
    </row>
    <row r="1102" spans="1:112" ht="51" customHeight="1" x14ac:dyDescent="0.2">
      <c r="A1102" s="26" t="s">
        <v>5660</v>
      </c>
      <c r="B1102" s="7" t="s">
        <v>5661</v>
      </c>
      <c r="C1102" s="2" t="s">
        <v>5661</v>
      </c>
      <c r="D1102" s="1">
        <v>1</v>
      </c>
      <c r="E1102" s="2" t="s">
        <v>23</v>
      </c>
      <c r="G1102" s="2" t="s">
        <v>3223</v>
      </c>
      <c r="H1102" s="2" t="s">
        <v>680</v>
      </c>
      <c r="I1102" s="2" t="s">
        <v>858</v>
      </c>
      <c r="J1102" s="12" t="s">
        <v>763</v>
      </c>
      <c r="K1102" s="12" t="s">
        <v>859</v>
      </c>
      <c r="L1102" s="12" t="s">
        <v>2561</v>
      </c>
      <c r="M1102" s="12" t="s">
        <v>2562</v>
      </c>
      <c r="N1102" s="34" t="s">
        <v>5662</v>
      </c>
      <c r="O1102" s="12" t="s">
        <v>848</v>
      </c>
      <c r="P1102" s="12" t="s">
        <v>819</v>
      </c>
      <c r="Q1102" s="12" t="s">
        <v>41</v>
      </c>
      <c r="R1102" s="12" t="s">
        <v>32</v>
      </c>
      <c r="S1102" s="12" t="s">
        <v>33</v>
      </c>
      <c r="T1102" s="12" t="s">
        <v>850</v>
      </c>
      <c r="U1102" s="12" t="s">
        <v>5663</v>
      </c>
      <c r="V1102" s="12" t="s">
        <v>5663</v>
      </c>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c r="CA1102" s="12"/>
      <c r="CB1102" s="12"/>
      <c r="CC1102" s="12"/>
      <c r="CD1102" s="12"/>
      <c r="CE1102" s="12"/>
      <c r="CF1102" s="12"/>
      <c r="CG1102" s="12"/>
      <c r="CH1102" s="12"/>
      <c r="CI1102" s="12"/>
      <c r="CJ1102" s="12"/>
      <c r="CK1102" s="12"/>
      <c r="CL1102" s="12"/>
      <c r="CM1102" s="12"/>
      <c r="CN1102" s="12"/>
      <c r="CO1102" s="12"/>
      <c r="CP1102" s="12"/>
      <c r="CQ1102" s="12"/>
      <c r="CR1102" s="12"/>
      <c r="CS1102" s="12"/>
      <c r="CT1102" s="12"/>
      <c r="CU1102" s="12"/>
      <c r="CV1102" s="12"/>
      <c r="CW1102" s="12"/>
      <c r="CX1102" s="12"/>
      <c r="CY1102" s="12"/>
      <c r="CZ1102" s="12"/>
      <c r="DA1102" s="12"/>
      <c r="DB1102" s="12"/>
      <c r="DC1102" s="12"/>
      <c r="DD1102" s="12"/>
      <c r="DE1102" s="12"/>
      <c r="DF1102" s="12"/>
      <c r="DG1102" s="12"/>
      <c r="DH1102" s="12"/>
    </row>
    <row r="1103" spans="1:112" ht="51" customHeight="1" x14ac:dyDescent="0.2">
      <c r="A1103" s="26" t="s">
        <v>5664</v>
      </c>
      <c r="B1103" s="7" t="s">
        <v>5665</v>
      </c>
      <c r="C1103" s="2" t="s">
        <v>5665</v>
      </c>
      <c r="D1103" s="1">
        <v>1</v>
      </c>
      <c r="E1103" s="2" t="s">
        <v>23</v>
      </c>
      <c r="G1103" s="2" t="s">
        <v>3223</v>
      </c>
      <c r="H1103" s="2" t="s">
        <v>680</v>
      </c>
      <c r="I1103" s="2" t="s">
        <v>858</v>
      </c>
      <c r="J1103" s="12" t="s">
        <v>763</v>
      </c>
      <c r="K1103" s="12" t="s">
        <v>859</v>
      </c>
      <c r="L1103" s="12" t="s">
        <v>2561</v>
      </c>
      <c r="M1103" s="12" t="s">
        <v>2562</v>
      </c>
      <c r="N1103" s="34" t="s">
        <v>5666</v>
      </c>
      <c r="O1103" s="12" t="s">
        <v>848</v>
      </c>
      <c r="P1103" s="12" t="s">
        <v>829</v>
      </c>
      <c r="Q1103" s="12" t="s">
        <v>41</v>
      </c>
      <c r="R1103" s="12" t="s">
        <v>32</v>
      </c>
      <c r="S1103" s="12" t="s">
        <v>33</v>
      </c>
      <c r="T1103" s="12" t="s">
        <v>5667</v>
      </c>
      <c r="U1103" s="12" t="s">
        <v>5668</v>
      </c>
      <c r="V1103" s="12" t="s">
        <v>5668</v>
      </c>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c r="CA1103" s="12"/>
      <c r="CB1103" s="12"/>
      <c r="CC1103" s="12"/>
      <c r="CD1103" s="12"/>
      <c r="CE1103" s="12"/>
      <c r="CF1103" s="12"/>
      <c r="CG1103" s="12"/>
      <c r="CH1103" s="12"/>
      <c r="CI1103" s="12"/>
      <c r="CJ1103" s="12"/>
      <c r="CK1103" s="12"/>
      <c r="CL1103" s="12"/>
      <c r="CM1103" s="12"/>
      <c r="CN1103" s="12"/>
      <c r="CO1103" s="12"/>
      <c r="CP1103" s="12"/>
      <c r="CQ1103" s="12"/>
      <c r="CR1103" s="12"/>
      <c r="CS1103" s="12"/>
      <c r="CT1103" s="12"/>
      <c r="CU1103" s="12"/>
      <c r="CV1103" s="12"/>
      <c r="CW1103" s="12"/>
      <c r="CX1103" s="12"/>
      <c r="CY1103" s="12"/>
      <c r="CZ1103" s="12"/>
      <c r="DA1103" s="12"/>
      <c r="DB1103" s="12"/>
      <c r="DC1103" s="12"/>
      <c r="DD1103" s="12"/>
      <c r="DE1103" s="12"/>
      <c r="DF1103" s="12"/>
      <c r="DG1103" s="12"/>
      <c r="DH1103" s="12"/>
    </row>
    <row r="1104" spans="1:112" ht="51" customHeight="1" x14ac:dyDescent="0.2">
      <c r="A1104" s="25" t="s">
        <v>3296</v>
      </c>
      <c r="B1104" s="2" t="s">
        <v>3297</v>
      </c>
      <c r="C1104" s="2" t="s">
        <v>3297</v>
      </c>
      <c r="D1104" s="1">
        <v>1</v>
      </c>
      <c r="E1104" s="2" t="s">
        <v>23</v>
      </c>
      <c r="G1104" s="2" t="s">
        <v>3223</v>
      </c>
      <c r="H1104" s="2" t="s">
        <v>680</v>
      </c>
      <c r="I1104" s="2" t="s">
        <v>858</v>
      </c>
      <c r="J1104" s="2" t="s">
        <v>763</v>
      </c>
      <c r="K1104" s="2" t="s">
        <v>859</v>
      </c>
      <c r="L1104" s="2" t="s">
        <v>2978</v>
      </c>
      <c r="M1104" s="2" t="s">
        <v>2979</v>
      </c>
      <c r="N1104" s="25" t="s">
        <v>3298</v>
      </c>
      <c r="O1104" s="2" t="s">
        <v>767</v>
      </c>
      <c r="P1104" s="2" t="s">
        <v>648</v>
      </c>
      <c r="Q1104" s="2" t="s">
        <v>41</v>
      </c>
      <c r="R1104" s="2" t="s">
        <v>32</v>
      </c>
      <c r="S1104" s="2" t="s">
        <v>33</v>
      </c>
      <c r="T1104" s="2" t="s">
        <v>3299</v>
      </c>
      <c r="U1104" s="2" t="s">
        <v>4937</v>
      </c>
      <c r="V1104" s="2" t="s">
        <v>4938</v>
      </c>
      <c r="W1104" s="2" t="s">
        <v>4939</v>
      </c>
      <c r="X1104" s="2" t="s">
        <v>4940</v>
      </c>
    </row>
    <row r="1105" spans="1:112" ht="51" customHeight="1" x14ac:dyDescent="0.2">
      <c r="A1105" s="26" t="s">
        <v>5691</v>
      </c>
      <c r="B1105" s="7" t="s">
        <v>5692</v>
      </c>
      <c r="C1105" s="2" t="s">
        <v>5692</v>
      </c>
      <c r="D1105" s="1">
        <v>1</v>
      </c>
      <c r="E1105" s="2" t="s">
        <v>61</v>
      </c>
      <c r="F1105" s="2" t="s">
        <v>3473</v>
      </c>
      <c r="G1105" s="2" t="s">
        <v>3223</v>
      </c>
      <c r="H1105" s="2" t="s">
        <v>2634</v>
      </c>
      <c r="I1105" s="2" t="s">
        <v>2987</v>
      </c>
      <c r="J1105" s="12" t="s">
        <v>469</v>
      </c>
      <c r="K1105" s="12" t="s">
        <v>470</v>
      </c>
      <c r="L1105" s="12" t="s">
        <v>1262</v>
      </c>
      <c r="M1105" s="12" t="s">
        <v>1094</v>
      </c>
      <c r="N1105" s="34" t="s">
        <v>5693</v>
      </c>
      <c r="O1105" s="12" t="s">
        <v>2399</v>
      </c>
      <c r="P1105" s="12" t="s">
        <v>68</v>
      </c>
      <c r="Q1105" s="12" t="s">
        <v>41</v>
      </c>
      <c r="R1105" s="12" t="s">
        <v>32</v>
      </c>
      <c r="S1105" s="12" t="s">
        <v>33</v>
      </c>
      <c r="T1105" s="12" t="s">
        <v>5694</v>
      </c>
      <c r="U1105" s="12" t="s">
        <v>5695</v>
      </c>
      <c r="V1105" s="12" t="s">
        <v>5695</v>
      </c>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c r="CA1105" s="12"/>
      <c r="CB1105" s="12"/>
      <c r="CC1105" s="12"/>
      <c r="CD1105" s="12"/>
      <c r="CE1105" s="12"/>
      <c r="CF1105" s="12"/>
      <c r="CG1105" s="12"/>
      <c r="CH1105" s="12"/>
      <c r="CI1105" s="12"/>
      <c r="CJ1105" s="12"/>
      <c r="CK1105" s="12"/>
      <c r="CL1105" s="12"/>
      <c r="CM1105" s="12"/>
      <c r="CN1105" s="12"/>
      <c r="CO1105" s="12"/>
      <c r="CP1105" s="12"/>
      <c r="CQ1105" s="12"/>
      <c r="CR1105" s="12"/>
      <c r="CS1105" s="12"/>
      <c r="CT1105" s="12"/>
      <c r="CU1105" s="12"/>
      <c r="CV1105" s="12"/>
      <c r="CW1105" s="12"/>
      <c r="CX1105" s="12"/>
      <c r="CY1105" s="12"/>
      <c r="CZ1105" s="12"/>
      <c r="DA1105" s="12"/>
      <c r="DB1105" s="12"/>
      <c r="DC1105" s="12"/>
      <c r="DD1105" s="12"/>
      <c r="DE1105" s="12"/>
      <c r="DF1105" s="12"/>
      <c r="DG1105" s="12"/>
      <c r="DH1105" s="12"/>
    </row>
    <row r="1106" spans="1:112" ht="51" customHeight="1" x14ac:dyDescent="0.2">
      <c r="A1106" s="25" t="s">
        <v>3300</v>
      </c>
      <c r="B1106" s="2" t="s">
        <v>3301</v>
      </c>
      <c r="C1106" s="2" t="s">
        <v>3301</v>
      </c>
      <c r="D1106" s="1">
        <v>1</v>
      </c>
      <c r="E1106" s="2" t="s">
        <v>23</v>
      </c>
      <c r="F1106" s="2" t="s">
        <v>3302</v>
      </c>
      <c r="G1106" s="2" t="s">
        <v>3223</v>
      </c>
      <c r="H1106" s="2" t="s">
        <v>538</v>
      </c>
      <c r="I1106" s="2" t="s">
        <v>3303</v>
      </c>
      <c r="J1106" s="2" t="s">
        <v>469</v>
      </c>
      <c r="K1106" s="2" t="s">
        <v>470</v>
      </c>
      <c r="L1106" s="2" t="s">
        <v>1262</v>
      </c>
      <c r="M1106" s="2">
        <v>99</v>
      </c>
      <c r="N1106" s="25" t="s">
        <v>3304</v>
      </c>
      <c r="O1106" s="2">
        <v>78</v>
      </c>
      <c r="P1106" s="2">
        <v>7</v>
      </c>
      <c r="Q1106" s="2">
        <v>0</v>
      </c>
      <c r="R1106" s="2" t="s">
        <v>32</v>
      </c>
      <c r="S1106" s="2" t="s">
        <v>33</v>
      </c>
      <c r="T1106" s="2" t="s">
        <v>3305</v>
      </c>
      <c r="U1106" s="2" t="s">
        <v>4941</v>
      </c>
      <c r="V1106" s="2" t="s">
        <v>4942</v>
      </c>
      <c r="W1106" s="2" t="s">
        <v>4943</v>
      </c>
      <c r="X1106" s="2" t="s">
        <v>4944</v>
      </c>
      <c r="Y1106" s="2" t="s">
        <v>4945</v>
      </c>
    </row>
    <row r="1107" spans="1:112" ht="51" customHeight="1" x14ac:dyDescent="0.2">
      <c r="A1107" s="25" t="s">
        <v>3306</v>
      </c>
      <c r="B1107" s="2" t="s">
        <v>3307</v>
      </c>
      <c r="C1107" s="2" t="s">
        <v>3307</v>
      </c>
      <c r="D1107" s="1">
        <v>1</v>
      </c>
      <c r="E1107" s="2" t="s">
        <v>61</v>
      </c>
      <c r="F1107" s="2" t="s">
        <v>3308</v>
      </c>
      <c r="G1107" s="2" t="s">
        <v>3223</v>
      </c>
      <c r="H1107" s="2" t="s">
        <v>1168</v>
      </c>
      <c r="I1107" s="2" t="s">
        <v>3309</v>
      </c>
      <c r="J1107" s="2" t="s">
        <v>469</v>
      </c>
      <c r="K1107" s="2" t="s">
        <v>470</v>
      </c>
      <c r="L1107" s="2" t="s">
        <v>1262</v>
      </c>
      <c r="M1107" s="2">
        <v>99</v>
      </c>
      <c r="N1107" s="25" t="s">
        <v>3310</v>
      </c>
      <c r="O1107" s="2">
        <v>825</v>
      </c>
      <c r="P1107" s="2">
        <v>24</v>
      </c>
      <c r="Q1107" s="2">
        <v>1</v>
      </c>
      <c r="R1107" s="2" t="s">
        <v>32</v>
      </c>
      <c r="S1107" s="2" t="s">
        <v>33</v>
      </c>
      <c r="T1107" s="2" t="s">
        <v>3311</v>
      </c>
      <c r="U1107" s="2" t="s">
        <v>4946</v>
      </c>
      <c r="V1107" s="2" t="s">
        <v>4947</v>
      </c>
    </row>
    <row r="1108" spans="1:112" ht="51" customHeight="1" x14ac:dyDescent="0.2">
      <c r="A1108" s="25" t="s">
        <v>3312</v>
      </c>
      <c r="B1108" s="2" t="s">
        <v>3313</v>
      </c>
      <c r="C1108" s="2" t="s">
        <v>3314</v>
      </c>
      <c r="D1108" s="1">
        <v>1</v>
      </c>
      <c r="E1108" s="2" t="s">
        <v>23</v>
      </c>
      <c r="G1108" s="2" t="s">
        <v>3223</v>
      </c>
      <c r="H1108" s="2" t="s">
        <v>3019</v>
      </c>
      <c r="I1108" s="2" t="s">
        <v>3020</v>
      </c>
      <c r="J1108" s="2" t="s">
        <v>645</v>
      </c>
      <c r="K1108" s="2" t="s">
        <v>2454</v>
      </c>
      <c r="L1108" s="2" t="s">
        <v>2455</v>
      </c>
      <c r="M1108" s="2" t="s">
        <v>2456</v>
      </c>
      <c r="N1108" s="25" t="s">
        <v>3057</v>
      </c>
      <c r="O1108" s="2">
        <v>125</v>
      </c>
      <c r="P1108" s="2">
        <v>12</v>
      </c>
      <c r="Q1108" s="2">
        <v>0</v>
      </c>
      <c r="R1108" s="2" t="s">
        <v>32</v>
      </c>
      <c r="S1108" s="2" t="s">
        <v>33</v>
      </c>
      <c r="T1108" s="2" t="s">
        <v>3058</v>
      </c>
      <c r="U1108" s="2" t="s">
        <v>4948</v>
      </c>
      <c r="V1108" s="2" t="s">
        <v>4949</v>
      </c>
    </row>
    <row r="1109" spans="1:112" ht="51" customHeight="1" x14ac:dyDescent="0.2">
      <c r="A1109" s="25" t="s">
        <v>3315</v>
      </c>
      <c r="B1109" s="2" t="s">
        <v>3316</v>
      </c>
      <c r="C1109" s="2" t="s">
        <v>3317</v>
      </c>
      <c r="D1109" s="1">
        <v>1</v>
      </c>
      <c r="E1109" s="2" t="s">
        <v>23</v>
      </c>
      <c r="G1109" s="2" t="s">
        <v>3223</v>
      </c>
      <c r="H1109" s="2" t="s">
        <v>3019</v>
      </c>
      <c r="I1109" s="2" t="s">
        <v>3020</v>
      </c>
      <c r="J1109" s="2" t="s">
        <v>645</v>
      </c>
      <c r="K1109" s="2" t="s">
        <v>2454</v>
      </c>
      <c r="L1109" s="2" t="s">
        <v>2455</v>
      </c>
      <c r="M1109" s="2" t="s">
        <v>2456</v>
      </c>
      <c r="N1109" s="25" t="s">
        <v>3057</v>
      </c>
      <c r="O1109" s="2">
        <v>125</v>
      </c>
      <c r="P1109" s="2">
        <v>12</v>
      </c>
      <c r="Q1109" s="2" t="s">
        <v>199</v>
      </c>
      <c r="R1109" s="2" t="s">
        <v>32</v>
      </c>
      <c r="S1109" s="2" t="s">
        <v>33</v>
      </c>
      <c r="T1109" s="2" t="s">
        <v>3318</v>
      </c>
      <c r="U1109" s="2" t="s">
        <v>4948</v>
      </c>
      <c r="V1109" s="2" t="s">
        <v>4949</v>
      </c>
    </row>
    <row r="1110" spans="1:112" ht="51" customHeight="1" x14ac:dyDescent="0.2">
      <c r="A1110" s="26" t="s">
        <v>5756</v>
      </c>
      <c r="B1110" s="7" t="s">
        <v>5757</v>
      </c>
      <c r="C1110" s="2" t="s">
        <v>5757</v>
      </c>
      <c r="D1110" s="5">
        <v>1</v>
      </c>
      <c r="E1110" s="6" t="s">
        <v>61</v>
      </c>
      <c r="F1110" s="6" t="s">
        <v>6068</v>
      </c>
      <c r="G1110" s="6" t="s">
        <v>3615</v>
      </c>
      <c r="H1110" s="6" t="s">
        <v>6070</v>
      </c>
      <c r="I1110" s="6" t="s">
        <v>6069</v>
      </c>
      <c r="J1110" s="12" t="s">
        <v>1284</v>
      </c>
      <c r="K1110" s="12" t="s">
        <v>1284</v>
      </c>
      <c r="L1110" s="12" t="s">
        <v>1284</v>
      </c>
      <c r="M1110" s="12" t="s">
        <v>2099</v>
      </c>
      <c r="N1110" s="34" t="s">
        <v>5758</v>
      </c>
      <c r="O1110" s="12" t="s">
        <v>2678</v>
      </c>
      <c r="P1110" s="12" t="s">
        <v>863</v>
      </c>
      <c r="Q1110" s="12" t="s">
        <v>41</v>
      </c>
      <c r="R1110" s="12" t="s">
        <v>1287</v>
      </c>
      <c r="S1110" s="12" t="s">
        <v>2101</v>
      </c>
      <c r="T1110" s="12" t="s">
        <v>5759</v>
      </c>
      <c r="U1110" s="12" t="s">
        <v>5760</v>
      </c>
      <c r="V1110" s="12" t="s">
        <v>5760</v>
      </c>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c r="CA1110" s="12"/>
      <c r="CB1110" s="12"/>
      <c r="CC1110" s="12"/>
      <c r="CD1110" s="12"/>
      <c r="CE1110" s="12"/>
      <c r="CF1110" s="12"/>
      <c r="CG1110" s="12"/>
      <c r="CH1110" s="12"/>
      <c r="CI1110" s="12"/>
      <c r="CJ1110" s="12"/>
      <c r="CK1110" s="12"/>
      <c r="CL1110" s="12"/>
      <c r="CM1110" s="12"/>
      <c r="CN1110" s="12"/>
      <c r="CO1110" s="12"/>
      <c r="CP1110" s="12"/>
      <c r="CQ1110" s="12"/>
      <c r="CR1110" s="12"/>
      <c r="CS1110" s="12"/>
      <c r="CT1110" s="12"/>
      <c r="CU1110" s="12"/>
      <c r="CV1110" s="12"/>
      <c r="CW1110" s="12"/>
      <c r="CX1110" s="12"/>
      <c r="CY1110" s="12"/>
      <c r="CZ1110" s="12"/>
      <c r="DA1110" s="12"/>
      <c r="DB1110" s="12"/>
      <c r="DC1110" s="12"/>
      <c r="DD1110" s="12"/>
      <c r="DE1110" s="12"/>
      <c r="DF1110" s="12"/>
      <c r="DG1110" s="12"/>
      <c r="DH1110" s="12"/>
    </row>
    <row r="1111" spans="1:112" ht="51" customHeight="1" x14ac:dyDescent="0.2">
      <c r="A1111" s="25" t="s">
        <v>3319</v>
      </c>
      <c r="B1111" s="2" t="s">
        <v>3320</v>
      </c>
      <c r="C1111" s="2" t="s">
        <v>3320</v>
      </c>
      <c r="D1111" s="1">
        <v>1</v>
      </c>
      <c r="E1111" s="2" t="s">
        <v>23</v>
      </c>
      <c r="G1111" s="2" t="s">
        <v>3223</v>
      </c>
      <c r="H1111" s="2" t="s">
        <v>3321</v>
      </c>
      <c r="I1111" s="2" t="s">
        <v>2427</v>
      </c>
      <c r="J1111" s="2" t="s">
        <v>1284</v>
      </c>
      <c r="K1111" s="2" t="s">
        <v>1284</v>
      </c>
      <c r="L1111" s="2" t="s">
        <v>1284</v>
      </c>
      <c r="M1111" s="2" t="s">
        <v>1285</v>
      </c>
      <c r="N1111" s="25" t="s">
        <v>3322</v>
      </c>
      <c r="O1111" s="2">
        <v>104</v>
      </c>
      <c r="P1111" s="2">
        <v>33</v>
      </c>
      <c r="Q1111" s="2">
        <v>0</v>
      </c>
      <c r="R1111" s="2" t="s">
        <v>1287</v>
      </c>
      <c r="S1111" s="2" t="s">
        <v>33</v>
      </c>
      <c r="T1111" s="2" t="s">
        <v>3120</v>
      </c>
      <c r="U1111" s="2" t="s">
        <v>3323</v>
      </c>
    </row>
    <row r="1112" spans="1:112" ht="51" customHeight="1" x14ac:dyDescent="0.2">
      <c r="A1112" s="25" t="s">
        <v>3324</v>
      </c>
      <c r="B1112" s="2" t="s">
        <v>3325</v>
      </c>
      <c r="C1112" s="2" t="s">
        <v>3325</v>
      </c>
      <c r="D1112" s="1">
        <v>1</v>
      </c>
      <c r="E1112" s="2" t="s">
        <v>23</v>
      </c>
      <c r="G1112" s="2" t="s">
        <v>3223</v>
      </c>
      <c r="H1112" s="2" t="s">
        <v>3321</v>
      </c>
      <c r="I1112" s="2" t="s">
        <v>2427</v>
      </c>
      <c r="J1112" s="2" t="s">
        <v>1284</v>
      </c>
      <c r="K1112" s="2" t="s">
        <v>1284</v>
      </c>
      <c r="L1112" s="2" t="s">
        <v>1284</v>
      </c>
      <c r="M1112" s="2" t="s">
        <v>1285</v>
      </c>
      <c r="N1112" s="25" t="s">
        <v>3326</v>
      </c>
      <c r="O1112" s="2">
        <v>104</v>
      </c>
      <c r="P1112" s="2">
        <v>40</v>
      </c>
      <c r="Q1112" s="2">
        <v>0</v>
      </c>
      <c r="R1112" s="2" t="s">
        <v>1287</v>
      </c>
      <c r="S1112" s="2" t="s">
        <v>33</v>
      </c>
      <c r="T1112" s="2" t="s">
        <v>3327</v>
      </c>
      <c r="U1112" s="2" t="s">
        <v>3328</v>
      </c>
    </row>
    <row r="1113" spans="1:112" ht="51" customHeight="1" x14ac:dyDescent="0.2">
      <c r="A1113" s="26" t="s">
        <v>5793</v>
      </c>
      <c r="B1113" s="7" t="s">
        <v>5794</v>
      </c>
      <c r="C1113" s="2" t="s">
        <v>5794</v>
      </c>
      <c r="D1113" s="5">
        <v>1</v>
      </c>
      <c r="E1113" s="6" t="s">
        <v>23</v>
      </c>
      <c r="F1113" s="6"/>
      <c r="G1113" s="6" t="s">
        <v>3223</v>
      </c>
      <c r="H1113" s="6" t="s">
        <v>2453</v>
      </c>
      <c r="I1113" s="6" t="s">
        <v>3347</v>
      </c>
      <c r="J1113" s="12" t="s">
        <v>1284</v>
      </c>
      <c r="K1113" s="12" t="s">
        <v>1284</v>
      </c>
      <c r="L1113" s="12" t="s">
        <v>1284</v>
      </c>
      <c r="M1113" s="12" t="s">
        <v>1285</v>
      </c>
      <c r="N1113" s="34" t="s">
        <v>5795</v>
      </c>
      <c r="O1113" s="12" t="s">
        <v>5781</v>
      </c>
      <c r="P1113" s="12" t="s">
        <v>375</v>
      </c>
      <c r="Q1113" s="12" t="s">
        <v>41</v>
      </c>
      <c r="R1113" s="12" t="s">
        <v>1287</v>
      </c>
      <c r="S1113" s="12" t="s">
        <v>33</v>
      </c>
      <c r="T1113" s="12" t="s">
        <v>5796</v>
      </c>
      <c r="U1113" s="12" t="s">
        <v>5797</v>
      </c>
      <c r="V1113" s="12" t="s">
        <v>5797</v>
      </c>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c r="CA1113" s="12"/>
      <c r="CB1113" s="12"/>
      <c r="CC1113" s="12"/>
      <c r="CD1113" s="12"/>
      <c r="CE1113" s="12"/>
      <c r="CF1113" s="12"/>
      <c r="CG1113" s="12"/>
      <c r="CH1113" s="12"/>
      <c r="CI1113" s="12"/>
      <c r="CJ1113" s="12"/>
      <c r="CK1113" s="12"/>
      <c r="CL1113" s="12"/>
      <c r="CM1113" s="12"/>
      <c r="CN1113" s="12"/>
      <c r="CO1113" s="12"/>
      <c r="CP1113" s="12"/>
      <c r="CQ1113" s="12"/>
      <c r="CR1113" s="12"/>
      <c r="CS1113" s="12"/>
      <c r="CT1113" s="12"/>
      <c r="CU1113" s="12"/>
      <c r="CV1113" s="12"/>
      <c r="CW1113" s="12"/>
      <c r="CX1113" s="12"/>
      <c r="CY1113" s="12"/>
      <c r="CZ1113" s="12"/>
      <c r="DA1113" s="12"/>
      <c r="DB1113" s="12"/>
      <c r="DC1113" s="12"/>
      <c r="DD1113" s="12"/>
      <c r="DE1113" s="12"/>
      <c r="DF1113" s="12"/>
      <c r="DG1113" s="12"/>
      <c r="DH1113" s="12"/>
    </row>
    <row r="1114" spans="1:112" ht="51" customHeight="1" x14ac:dyDescent="0.2">
      <c r="A1114" s="25" t="s">
        <v>3329</v>
      </c>
      <c r="B1114" s="2" t="s">
        <v>3330</v>
      </c>
      <c r="C1114" s="2" t="s">
        <v>3330</v>
      </c>
      <c r="D1114" s="1">
        <v>1</v>
      </c>
      <c r="E1114" s="2" t="s">
        <v>23</v>
      </c>
      <c r="G1114" s="2" t="s">
        <v>3223</v>
      </c>
      <c r="H1114" s="2" t="s">
        <v>2453</v>
      </c>
      <c r="I1114" s="2" t="s">
        <v>3331</v>
      </c>
      <c r="J1114" s="2" t="s">
        <v>1284</v>
      </c>
      <c r="K1114" s="2" t="s">
        <v>1284</v>
      </c>
      <c r="L1114" s="2" t="s">
        <v>1284</v>
      </c>
      <c r="M1114" s="2" t="s">
        <v>1285</v>
      </c>
      <c r="N1114" s="25" t="s">
        <v>3332</v>
      </c>
      <c r="O1114" s="2">
        <v>111</v>
      </c>
      <c r="P1114" s="2">
        <v>17</v>
      </c>
      <c r="Q1114" s="2">
        <v>0</v>
      </c>
      <c r="R1114" s="2" t="s">
        <v>1287</v>
      </c>
      <c r="S1114" s="2" t="s">
        <v>33</v>
      </c>
      <c r="T1114" s="2" t="s">
        <v>3333</v>
      </c>
      <c r="U1114" s="2" t="s">
        <v>3334</v>
      </c>
    </row>
    <row r="1115" spans="1:112" ht="51" customHeight="1" x14ac:dyDescent="0.2">
      <c r="A1115" s="25" t="s">
        <v>3335</v>
      </c>
      <c r="B1115" s="2" t="s">
        <v>3336</v>
      </c>
      <c r="C1115" s="2" t="s">
        <v>3336</v>
      </c>
      <c r="D1115" s="1">
        <v>1</v>
      </c>
      <c r="E1115" s="2" t="s">
        <v>23</v>
      </c>
      <c r="G1115" s="2" t="s">
        <v>3223</v>
      </c>
      <c r="H1115" s="2" t="s">
        <v>2453</v>
      </c>
      <c r="I1115" s="2" t="s">
        <v>2927</v>
      </c>
      <c r="J1115" s="2" t="s">
        <v>1284</v>
      </c>
      <c r="K1115" s="2" t="s">
        <v>1284</v>
      </c>
      <c r="L1115" s="2" t="s">
        <v>1284</v>
      </c>
      <c r="M1115" s="2" t="s">
        <v>1285</v>
      </c>
      <c r="N1115" s="25" t="s">
        <v>3337</v>
      </c>
      <c r="O1115" s="2">
        <v>111</v>
      </c>
      <c r="P1115" s="2">
        <v>18</v>
      </c>
      <c r="Q1115" s="2">
        <v>0</v>
      </c>
      <c r="R1115" s="2" t="s">
        <v>1287</v>
      </c>
      <c r="S1115" s="2" t="s">
        <v>33</v>
      </c>
      <c r="T1115" s="2" t="s">
        <v>3338</v>
      </c>
      <c r="U1115" s="2" t="s">
        <v>3339</v>
      </c>
    </row>
    <row r="1116" spans="1:112" ht="51" customHeight="1" x14ac:dyDescent="0.2">
      <c r="A1116" s="25" t="s">
        <v>3340</v>
      </c>
      <c r="B1116" s="2" t="s">
        <v>3341</v>
      </c>
      <c r="C1116" s="2" t="s">
        <v>3341</v>
      </c>
      <c r="D1116" s="1">
        <v>1</v>
      </c>
      <c r="E1116" s="2" t="s">
        <v>23</v>
      </c>
      <c r="G1116" s="2" t="s">
        <v>3223</v>
      </c>
      <c r="H1116" s="2" t="s">
        <v>2453</v>
      </c>
      <c r="I1116" s="2" t="s">
        <v>2927</v>
      </c>
      <c r="J1116" s="2" t="s">
        <v>1284</v>
      </c>
      <c r="K1116" s="2" t="s">
        <v>1284</v>
      </c>
      <c r="L1116" s="2" t="s">
        <v>1284</v>
      </c>
      <c r="M1116" s="2" t="s">
        <v>1285</v>
      </c>
      <c r="N1116" s="25" t="s">
        <v>3342</v>
      </c>
      <c r="O1116" s="2">
        <v>111</v>
      </c>
      <c r="P1116" s="2">
        <v>19</v>
      </c>
      <c r="Q1116" s="2">
        <v>0</v>
      </c>
      <c r="R1116" s="2" t="s">
        <v>1287</v>
      </c>
      <c r="S1116" s="2" t="s">
        <v>33</v>
      </c>
      <c r="T1116" s="2" t="s">
        <v>3343</v>
      </c>
      <c r="U1116" s="2" t="s">
        <v>3344</v>
      </c>
    </row>
    <row r="1117" spans="1:112" ht="51" customHeight="1" x14ac:dyDescent="0.2">
      <c r="A1117" s="25" t="s">
        <v>3345</v>
      </c>
      <c r="B1117" s="2" t="s">
        <v>3346</v>
      </c>
      <c r="C1117" s="2" t="s">
        <v>3346</v>
      </c>
      <c r="D1117" s="1">
        <v>1</v>
      </c>
      <c r="E1117" s="2" t="s">
        <v>23</v>
      </c>
      <c r="G1117" s="2" t="s">
        <v>3223</v>
      </c>
      <c r="H1117" s="2" t="s">
        <v>2453</v>
      </c>
      <c r="I1117" s="2" t="s">
        <v>3347</v>
      </c>
      <c r="J1117" s="2" t="s">
        <v>1284</v>
      </c>
      <c r="K1117" s="2" t="s">
        <v>1284</v>
      </c>
      <c r="L1117" s="2" t="s">
        <v>1284</v>
      </c>
      <c r="M1117" s="2" t="s">
        <v>1285</v>
      </c>
      <c r="N1117" s="25" t="s">
        <v>3348</v>
      </c>
      <c r="O1117" s="2">
        <v>111</v>
      </c>
      <c r="P1117" s="2">
        <v>2</v>
      </c>
      <c r="Q1117" s="2">
        <v>2</v>
      </c>
      <c r="R1117" s="2" t="s">
        <v>1287</v>
      </c>
      <c r="S1117" s="2" t="s">
        <v>33</v>
      </c>
      <c r="T1117" s="2" t="s">
        <v>3349</v>
      </c>
      <c r="U1117" s="2" t="s">
        <v>3350</v>
      </c>
    </row>
    <row r="1118" spans="1:112" ht="51" customHeight="1" x14ac:dyDescent="0.2">
      <c r="A1118" s="25" t="s">
        <v>3351</v>
      </c>
      <c r="B1118" s="2" t="s">
        <v>3352</v>
      </c>
      <c r="C1118" s="2" t="s">
        <v>3352</v>
      </c>
      <c r="D1118" s="1">
        <v>1</v>
      </c>
      <c r="E1118" s="2" t="s">
        <v>23</v>
      </c>
      <c r="G1118" s="2" t="s">
        <v>3223</v>
      </c>
      <c r="H1118" s="2" t="s">
        <v>2453</v>
      </c>
      <c r="I1118" s="2" t="s">
        <v>2927</v>
      </c>
      <c r="J1118" s="2" t="s">
        <v>1284</v>
      </c>
      <c r="K1118" s="2" t="s">
        <v>1284</v>
      </c>
      <c r="L1118" s="2" t="s">
        <v>1284</v>
      </c>
      <c r="M1118" s="2" t="s">
        <v>1285</v>
      </c>
      <c r="N1118" s="25" t="s">
        <v>3353</v>
      </c>
      <c r="O1118" s="2">
        <v>11</v>
      </c>
      <c r="P1118" s="2">
        <v>25</v>
      </c>
      <c r="Q1118" s="2">
        <v>0</v>
      </c>
      <c r="R1118" s="2" t="s">
        <v>1287</v>
      </c>
      <c r="S1118" s="2" t="s">
        <v>33</v>
      </c>
      <c r="T1118" s="2" t="s">
        <v>3354</v>
      </c>
      <c r="U1118" s="2" t="s">
        <v>3355</v>
      </c>
    </row>
    <row r="1119" spans="1:112" ht="51" customHeight="1" x14ac:dyDescent="0.2">
      <c r="A1119" s="25" t="s">
        <v>3356</v>
      </c>
      <c r="B1119" s="2" t="s">
        <v>3357</v>
      </c>
      <c r="C1119" s="2" t="s">
        <v>3357</v>
      </c>
      <c r="D1119" s="1">
        <v>1</v>
      </c>
      <c r="E1119" s="2" t="s">
        <v>61</v>
      </c>
      <c r="F1119" s="2" t="s">
        <v>3358</v>
      </c>
      <c r="H1119" s="2" t="s">
        <v>3223</v>
      </c>
      <c r="I1119" s="2" t="s">
        <v>2453</v>
      </c>
      <c r="J1119" s="2" t="s">
        <v>2927</v>
      </c>
      <c r="K1119" s="2" t="s">
        <v>1284</v>
      </c>
      <c r="L1119" s="2" t="s">
        <v>1284</v>
      </c>
      <c r="M1119" s="2" t="s">
        <v>1285</v>
      </c>
      <c r="N1119" s="25" t="s">
        <v>3359</v>
      </c>
      <c r="O1119" s="2">
        <v>111</v>
      </c>
      <c r="P1119" s="2">
        <v>5</v>
      </c>
      <c r="Q1119" s="2">
        <v>0</v>
      </c>
      <c r="R1119" s="2" t="s">
        <v>1287</v>
      </c>
      <c r="S1119" s="2" t="s">
        <v>33</v>
      </c>
      <c r="T1119" s="2" t="s">
        <v>3360</v>
      </c>
      <c r="U1119" s="2" t="s">
        <v>4950</v>
      </c>
      <c r="V1119" s="2" t="s">
        <v>4951</v>
      </c>
    </row>
    <row r="1120" spans="1:112" ht="70" customHeight="1" x14ac:dyDescent="0.2">
      <c r="A1120" s="26" t="s">
        <v>5810</v>
      </c>
      <c r="B1120" s="7" t="s">
        <v>5811</v>
      </c>
      <c r="C1120" s="2" t="s">
        <v>5811</v>
      </c>
      <c r="D1120" s="9">
        <v>1</v>
      </c>
      <c r="E1120" s="10" t="s">
        <v>61</v>
      </c>
      <c r="F1120" s="10" t="s">
        <v>3363</v>
      </c>
      <c r="G1120" s="10" t="s">
        <v>3223</v>
      </c>
      <c r="H1120" s="10" t="s">
        <v>3364</v>
      </c>
      <c r="I1120" s="10"/>
      <c r="J1120" s="12" t="s">
        <v>1284</v>
      </c>
      <c r="K1120" s="12" t="s">
        <v>1284</v>
      </c>
      <c r="L1120" s="12" t="s">
        <v>1284</v>
      </c>
      <c r="M1120" s="12" t="s">
        <v>1285</v>
      </c>
      <c r="N1120" s="34" t="s">
        <v>5812</v>
      </c>
      <c r="O1120" s="12" t="s">
        <v>5813</v>
      </c>
      <c r="P1120" s="12" t="s">
        <v>159</v>
      </c>
      <c r="Q1120" s="12" t="s">
        <v>41</v>
      </c>
      <c r="R1120" s="12" t="s">
        <v>1287</v>
      </c>
      <c r="S1120" s="12" t="s">
        <v>33</v>
      </c>
      <c r="T1120" s="12" t="s">
        <v>5814</v>
      </c>
      <c r="U1120" s="12" t="s">
        <v>5815</v>
      </c>
      <c r="V1120" s="12" t="s">
        <v>5815</v>
      </c>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c r="CA1120" s="12"/>
      <c r="CB1120" s="12"/>
      <c r="CC1120" s="12"/>
      <c r="CD1120" s="12"/>
      <c r="CE1120" s="12"/>
      <c r="CF1120" s="12"/>
      <c r="CG1120" s="12"/>
      <c r="CH1120" s="12"/>
      <c r="CI1120" s="12"/>
      <c r="CJ1120" s="12"/>
      <c r="CK1120" s="12"/>
      <c r="CL1120" s="12"/>
      <c r="CM1120" s="12"/>
      <c r="CN1120" s="12"/>
      <c r="CO1120" s="12"/>
      <c r="CP1120" s="12"/>
      <c r="CQ1120" s="12"/>
      <c r="CR1120" s="12"/>
      <c r="CS1120" s="12"/>
      <c r="CT1120" s="12"/>
      <c r="CU1120" s="12"/>
      <c r="CV1120" s="12"/>
      <c r="CW1120" s="12"/>
      <c r="CX1120" s="12"/>
      <c r="CY1120" s="12"/>
      <c r="CZ1120" s="12"/>
      <c r="DA1120" s="12"/>
      <c r="DB1120" s="12"/>
      <c r="DC1120" s="12"/>
      <c r="DD1120" s="12"/>
      <c r="DE1120" s="12"/>
      <c r="DF1120" s="12"/>
      <c r="DG1120" s="12"/>
      <c r="DH1120" s="12"/>
    </row>
    <row r="1121" spans="1:112" ht="70" customHeight="1" x14ac:dyDescent="0.2">
      <c r="A1121" s="26" t="s">
        <v>5816</v>
      </c>
      <c r="B1121" s="7" t="s">
        <v>5817</v>
      </c>
      <c r="C1121" s="2" t="s">
        <v>5817</v>
      </c>
      <c r="D1121" s="9">
        <v>1</v>
      </c>
      <c r="E1121" s="10" t="s">
        <v>61</v>
      </c>
      <c r="F1121" s="10" t="s">
        <v>3363</v>
      </c>
      <c r="G1121" s="10" t="s">
        <v>3223</v>
      </c>
      <c r="H1121" s="10" t="s">
        <v>3364</v>
      </c>
      <c r="I1121" s="10"/>
      <c r="J1121" s="12" t="s">
        <v>1284</v>
      </c>
      <c r="K1121" s="12" t="s">
        <v>1284</v>
      </c>
      <c r="L1121" s="12" t="s">
        <v>1284</v>
      </c>
      <c r="M1121" s="12" t="s">
        <v>1285</v>
      </c>
      <c r="N1121" s="34" t="s">
        <v>5818</v>
      </c>
      <c r="O1121" s="12" t="s">
        <v>5819</v>
      </c>
      <c r="P1121" s="12" t="s">
        <v>30</v>
      </c>
      <c r="Q1121" s="12" t="s">
        <v>41</v>
      </c>
      <c r="R1121" s="12" t="s">
        <v>1287</v>
      </c>
      <c r="S1121" s="12" t="s">
        <v>33</v>
      </c>
      <c r="T1121" s="12" t="s">
        <v>5820</v>
      </c>
      <c r="U1121" s="12" t="s">
        <v>5821</v>
      </c>
      <c r="V1121" s="12" t="s">
        <v>5821</v>
      </c>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c r="CA1121" s="12"/>
      <c r="CB1121" s="12"/>
      <c r="CC1121" s="12"/>
      <c r="CD1121" s="12"/>
      <c r="CE1121" s="12"/>
      <c r="CF1121" s="12"/>
      <c r="CG1121" s="12"/>
      <c r="CH1121" s="12"/>
      <c r="CI1121" s="12"/>
      <c r="CJ1121" s="12"/>
      <c r="CK1121" s="12"/>
      <c r="CL1121" s="12"/>
      <c r="CM1121" s="12"/>
      <c r="CN1121" s="12"/>
      <c r="CO1121" s="12"/>
      <c r="CP1121" s="12"/>
      <c r="CQ1121" s="12"/>
      <c r="CR1121" s="12"/>
      <c r="CS1121" s="12"/>
      <c r="CT1121" s="12"/>
      <c r="CU1121" s="12"/>
      <c r="CV1121" s="12"/>
      <c r="CW1121" s="12"/>
      <c r="CX1121" s="12"/>
      <c r="CY1121" s="12"/>
      <c r="CZ1121" s="12"/>
      <c r="DA1121" s="12"/>
      <c r="DB1121" s="12"/>
      <c r="DC1121" s="12"/>
      <c r="DD1121" s="12"/>
      <c r="DE1121" s="12"/>
      <c r="DF1121" s="12"/>
      <c r="DG1121" s="12"/>
      <c r="DH1121" s="12"/>
    </row>
    <row r="1122" spans="1:112" ht="70" customHeight="1" x14ac:dyDescent="0.2">
      <c r="A1122" s="25" t="s">
        <v>3361</v>
      </c>
      <c r="B1122" s="2" t="s">
        <v>3362</v>
      </c>
      <c r="C1122" s="2" t="s">
        <v>3362</v>
      </c>
      <c r="D1122" s="1">
        <v>1</v>
      </c>
      <c r="E1122" s="2" t="s">
        <v>61</v>
      </c>
      <c r="F1122" s="2" t="s">
        <v>3363</v>
      </c>
      <c r="G1122" s="2" t="s">
        <v>3223</v>
      </c>
      <c r="H1122" s="2" t="s">
        <v>3364</v>
      </c>
      <c r="J1122" s="2" t="s">
        <v>1284</v>
      </c>
      <c r="K1122" s="2" t="s">
        <v>1284</v>
      </c>
      <c r="L1122" s="2" t="s">
        <v>1284</v>
      </c>
      <c r="M1122" s="2" t="s">
        <v>1285</v>
      </c>
      <c r="N1122" s="25" t="s">
        <v>3365</v>
      </c>
      <c r="O1122" s="2">
        <v>119</v>
      </c>
      <c r="P1122" s="2">
        <v>1</v>
      </c>
      <c r="Q1122" s="2">
        <v>0</v>
      </c>
      <c r="R1122" s="2" t="s">
        <v>1287</v>
      </c>
      <c r="S1122" s="2" t="s">
        <v>33</v>
      </c>
      <c r="T1122" s="2" t="s">
        <v>3366</v>
      </c>
      <c r="U1122" s="2" t="s">
        <v>4952</v>
      </c>
      <c r="V1122" s="2" t="s">
        <v>4953</v>
      </c>
      <c r="W1122" s="2" t="s">
        <v>4954</v>
      </c>
    </row>
    <row r="1123" spans="1:112" ht="70" customHeight="1" x14ac:dyDescent="0.2">
      <c r="A1123" s="25" t="s">
        <v>3367</v>
      </c>
      <c r="B1123" s="2" t="s">
        <v>3368</v>
      </c>
      <c r="C1123" s="2" t="s">
        <v>3368</v>
      </c>
      <c r="D1123" s="1">
        <v>1</v>
      </c>
      <c r="E1123" s="2" t="s">
        <v>61</v>
      </c>
      <c r="F1123" s="2" t="s">
        <v>3363</v>
      </c>
      <c r="G1123" s="2" t="s">
        <v>3223</v>
      </c>
      <c r="H1123" s="2" t="s">
        <v>3364</v>
      </c>
      <c r="J1123" s="2" t="s">
        <v>1284</v>
      </c>
      <c r="K1123" s="2" t="s">
        <v>1284</v>
      </c>
      <c r="L1123" s="2" t="s">
        <v>1284</v>
      </c>
      <c r="M1123" s="2" t="s">
        <v>1285</v>
      </c>
      <c r="N1123" s="25" t="s">
        <v>3369</v>
      </c>
      <c r="O1123" s="2">
        <v>120</v>
      </c>
      <c r="P1123" s="2">
        <v>1</v>
      </c>
      <c r="Q1123" s="2">
        <v>1</v>
      </c>
      <c r="R1123" s="2" t="s">
        <v>1287</v>
      </c>
      <c r="S1123" s="2" t="s">
        <v>33</v>
      </c>
      <c r="T1123" s="2" t="s">
        <v>3370</v>
      </c>
      <c r="U1123" s="2" t="s">
        <v>4955</v>
      </c>
      <c r="V1123" s="2" t="s">
        <v>4956</v>
      </c>
    </row>
    <row r="1124" spans="1:112" ht="70" customHeight="1" x14ac:dyDescent="0.2">
      <c r="A1124" s="25" t="s">
        <v>3371</v>
      </c>
      <c r="B1124" s="2" t="s">
        <v>3372</v>
      </c>
      <c r="C1124" s="2" t="s">
        <v>3372</v>
      </c>
      <c r="D1124" s="1">
        <v>1</v>
      </c>
      <c r="E1124" s="2" t="s">
        <v>61</v>
      </c>
      <c r="F1124" s="2" t="s">
        <v>3363</v>
      </c>
      <c r="G1124" s="2" t="s">
        <v>3223</v>
      </c>
      <c r="H1124" s="2" t="s">
        <v>3364</v>
      </c>
      <c r="J1124" s="2" t="s">
        <v>1284</v>
      </c>
      <c r="K1124" s="2" t="s">
        <v>1284</v>
      </c>
      <c r="L1124" s="2" t="s">
        <v>1284</v>
      </c>
      <c r="M1124" s="2" t="s">
        <v>1285</v>
      </c>
      <c r="N1124" s="25" t="s">
        <v>3373</v>
      </c>
      <c r="O1124" s="2">
        <v>121</v>
      </c>
      <c r="P1124" s="2">
        <v>16</v>
      </c>
      <c r="Q1124" s="2">
        <v>0</v>
      </c>
      <c r="R1124" s="2" t="s">
        <v>1287</v>
      </c>
      <c r="S1124" s="2" t="s">
        <v>33</v>
      </c>
      <c r="T1124" s="2" t="s">
        <v>3374</v>
      </c>
      <c r="U1124" s="2" t="s">
        <v>3375</v>
      </c>
    </row>
    <row r="1125" spans="1:112" ht="70" customHeight="1" x14ac:dyDescent="0.2">
      <c r="A1125" s="25" t="s">
        <v>3376</v>
      </c>
      <c r="B1125" s="2" t="s">
        <v>3377</v>
      </c>
      <c r="C1125" s="2" t="s">
        <v>3377</v>
      </c>
      <c r="D1125" s="1">
        <v>1</v>
      </c>
      <c r="E1125" s="2" t="s">
        <v>61</v>
      </c>
      <c r="F1125" s="2" t="s">
        <v>3363</v>
      </c>
      <c r="G1125" s="2" t="s">
        <v>3223</v>
      </c>
      <c r="H1125" s="2" t="s">
        <v>3378</v>
      </c>
      <c r="I1125" s="2" t="s">
        <v>3379</v>
      </c>
      <c r="J1125" s="2" t="s">
        <v>1284</v>
      </c>
      <c r="K1125" s="2" t="s">
        <v>1284</v>
      </c>
      <c r="L1125" s="2" t="s">
        <v>1284</v>
      </c>
      <c r="M1125" s="2" t="s">
        <v>1285</v>
      </c>
      <c r="N1125" s="25" t="s">
        <v>3380</v>
      </c>
      <c r="O1125" s="2">
        <v>122</v>
      </c>
      <c r="P1125" s="2">
        <v>7</v>
      </c>
      <c r="Q1125" s="2">
        <v>1</v>
      </c>
      <c r="R1125" s="2" t="s">
        <v>1287</v>
      </c>
      <c r="S1125" s="2" t="s">
        <v>33</v>
      </c>
      <c r="T1125" s="2" t="s">
        <v>3381</v>
      </c>
      <c r="U1125" s="2" t="s">
        <v>4957</v>
      </c>
      <c r="V1125" s="2" t="s">
        <v>4958</v>
      </c>
      <c r="W1125" s="2" t="s">
        <v>4959</v>
      </c>
      <c r="X1125" s="2" t="s">
        <v>4960</v>
      </c>
      <c r="Y1125" s="2" t="s">
        <v>4961</v>
      </c>
      <c r="Z1125" s="2" t="s">
        <v>4962</v>
      </c>
      <c r="AA1125" s="2" t="s">
        <v>4963</v>
      </c>
      <c r="AB1125" s="2" t="s">
        <v>4964</v>
      </c>
      <c r="AC1125" s="2" t="s">
        <v>4965</v>
      </c>
    </row>
    <row r="1126" spans="1:112" ht="70" customHeight="1" x14ac:dyDescent="0.2">
      <c r="A1126" s="25" t="s">
        <v>3382</v>
      </c>
      <c r="B1126" s="2" t="s">
        <v>3383</v>
      </c>
      <c r="C1126" s="2" t="s">
        <v>3383</v>
      </c>
      <c r="D1126" s="1">
        <v>1</v>
      </c>
      <c r="E1126" s="2" t="s">
        <v>61</v>
      </c>
      <c r="F1126" s="2" t="s">
        <v>3363</v>
      </c>
      <c r="G1126" s="2" t="s">
        <v>3223</v>
      </c>
      <c r="H1126" s="2" t="s">
        <v>3364</v>
      </c>
      <c r="I1126" s="2" t="s">
        <v>3384</v>
      </c>
      <c r="J1126" s="2" t="s">
        <v>1284</v>
      </c>
      <c r="K1126" s="2" t="s">
        <v>1284</v>
      </c>
      <c r="L1126" s="2" t="s">
        <v>1284</v>
      </c>
      <c r="M1126" s="2" t="s">
        <v>1285</v>
      </c>
      <c r="N1126" s="25" t="s">
        <v>3385</v>
      </c>
      <c r="O1126" s="2">
        <v>123</v>
      </c>
      <c r="P1126" s="2">
        <v>1</v>
      </c>
      <c r="Q1126" s="2">
        <v>0</v>
      </c>
      <c r="R1126" s="2" t="s">
        <v>1287</v>
      </c>
      <c r="S1126" s="2" t="s">
        <v>33</v>
      </c>
      <c r="T1126" s="2" t="s">
        <v>3386</v>
      </c>
      <c r="U1126" s="2" t="s">
        <v>3387</v>
      </c>
    </row>
    <row r="1127" spans="1:112" ht="70" customHeight="1" x14ac:dyDescent="0.2">
      <c r="A1127" s="25" t="s">
        <v>3388</v>
      </c>
      <c r="B1127" s="2" t="s">
        <v>3389</v>
      </c>
      <c r="C1127" s="2" t="s">
        <v>3389</v>
      </c>
      <c r="D1127" s="1">
        <v>1</v>
      </c>
      <c r="E1127" s="2" t="s">
        <v>61</v>
      </c>
      <c r="F1127" s="2" t="s">
        <v>3363</v>
      </c>
      <c r="G1127" s="2" t="s">
        <v>3223</v>
      </c>
      <c r="H1127" s="2" t="s">
        <v>3390</v>
      </c>
      <c r="I1127" s="2" t="s">
        <v>3391</v>
      </c>
      <c r="J1127" s="2" t="s">
        <v>1284</v>
      </c>
      <c r="K1127" s="2" t="s">
        <v>1284</v>
      </c>
      <c r="L1127" s="2" t="s">
        <v>1284</v>
      </c>
      <c r="M1127" s="2" t="s">
        <v>1285</v>
      </c>
      <c r="N1127" s="25" t="s">
        <v>3392</v>
      </c>
      <c r="O1127" s="2" t="s">
        <v>2145</v>
      </c>
      <c r="P1127" s="2" t="s">
        <v>806</v>
      </c>
      <c r="Q1127" s="2" t="s">
        <v>41</v>
      </c>
      <c r="R1127" s="2" t="s">
        <v>1287</v>
      </c>
      <c r="S1127" s="2" t="s">
        <v>33</v>
      </c>
      <c r="T1127" s="2" t="s">
        <v>3393</v>
      </c>
      <c r="U1127" s="2" t="s">
        <v>4966</v>
      </c>
      <c r="V1127" s="2" t="s">
        <v>4967</v>
      </c>
    </row>
    <row r="1128" spans="1:112" ht="70" customHeight="1" x14ac:dyDescent="0.2">
      <c r="A1128" s="25" t="s">
        <v>3394</v>
      </c>
      <c r="B1128" s="2" t="s">
        <v>3395</v>
      </c>
      <c r="C1128" s="2" t="s">
        <v>3395</v>
      </c>
      <c r="D1128" s="1">
        <v>1</v>
      </c>
      <c r="E1128" s="2" t="s">
        <v>61</v>
      </c>
      <c r="F1128" s="2" t="s">
        <v>3363</v>
      </c>
      <c r="G1128" s="2" t="s">
        <v>3223</v>
      </c>
      <c r="H1128" s="2" t="s">
        <v>3378</v>
      </c>
      <c r="I1128" s="2" t="s">
        <v>3396</v>
      </c>
      <c r="J1128" s="2" t="s">
        <v>1284</v>
      </c>
      <c r="K1128" s="2" t="s">
        <v>1284</v>
      </c>
      <c r="L1128" s="2" t="s">
        <v>1284</v>
      </c>
      <c r="M1128" s="2" t="s">
        <v>1285</v>
      </c>
      <c r="N1128" s="25" t="s">
        <v>3397</v>
      </c>
      <c r="O1128" s="2" t="s">
        <v>2145</v>
      </c>
      <c r="P1128" s="2" t="s">
        <v>810</v>
      </c>
      <c r="Q1128" s="2" t="s">
        <v>41</v>
      </c>
      <c r="R1128" s="2" t="s">
        <v>1287</v>
      </c>
      <c r="S1128" s="2" t="s">
        <v>33</v>
      </c>
      <c r="T1128" s="2" t="s">
        <v>3398</v>
      </c>
      <c r="U1128" s="2" t="s">
        <v>3399</v>
      </c>
    </row>
    <row r="1129" spans="1:112" ht="70" customHeight="1" x14ac:dyDescent="0.2">
      <c r="A1129" s="25" t="s">
        <v>3400</v>
      </c>
      <c r="B1129" s="2" t="s">
        <v>3401</v>
      </c>
      <c r="C1129" s="2" t="s">
        <v>3401</v>
      </c>
      <c r="D1129" s="1">
        <v>1</v>
      </c>
      <c r="E1129" s="2" t="s">
        <v>61</v>
      </c>
      <c r="F1129" s="2" t="s">
        <v>3402</v>
      </c>
      <c r="G1129" s="2" t="s">
        <v>3403</v>
      </c>
      <c r="H1129" s="2" t="s">
        <v>3404</v>
      </c>
      <c r="J1129" s="2" t="s">
        <v>1284</v>
      </c>
      <c r="K1129" s="2" t="s">
        <v>1284</v>
      </c>
      <c r="L1129" s="2" t="s">
        <v>1284</v>
      </c>
      <c r="M1129" s="2" t="s">
        <v>1285</v>
      </c>
      <c r="N1129" s="25" t="s">
        <v>3405</v>
      </c>
      <c r="O1129" s="2" t="s">
        <v>2783</v>
      </c>
      <c r="P1129" s="2" t="s">
        <v>353</v>
      </c>
      <c r="Q1129" s="2" t="s">
        <v>41</v>
      </c>
      <c r="R1129" s="2" t="s">
        <v>1287</v>
      </c>
      <c r="S1129" s="2" t="s">
        <v>33</v>
      </c>
      <c r="T1129" s="2" t="s">
        <v>2495</v>
      </c>
      <c r="U1129" s="2" t="s">
        <v>4968</v>
      </c>
      <c r="V1129" s="2" t="s">
        <v>4969</v>
      </c>
    </row>
    <row r="1130" spans="1:112" ht="70" customHeight="1" x14ac:dyDescent="0.2">
      <c r="A1130" s="25" t="s">
        <v>3406</v>
      </c>
      <c r="B1130" s="2" t="s">
        <v>3407</v>
      </c>
      <c r="C1130" s="2" t="s">
        <v>3407</v>
      </c>
      <c r="D1130" s="1">
        <v>1</v>
      </c>
      <c r="E1130" s="2" t="s">
        <v>61</v>
      </c>
      <c r="F1130" s="2" t="s">
        <v>3402</v>
      </c>
      <c r="G1130" s="2" t="s">
        <v>3403</v>
      </c>
      <c r="J1130" s="2" t="s">
        <v>1284</v>
      </c>
      <c r="K1130" s="2" t="s">
        <v>1284</v>
      </c>
      <c r="L1130" s="2" t="s">
        <v>1284</v>
      </c>
      <c r="M1130" s="2" t="s">
        <v>1285</v>
      </c>
      <c r="N1130" s="25" t="s">
        <v>3408</v>
      </c>
      <c r="O1130" s="2" t="s">
        <v>2783</v>
      </c>
      <c r="P1130" s="2" t="s">
        <v>913</v>
      </c>
      <c r="Q1130" s="2" t="s">
        <v>41</v>
      </c>
      <c r="R1130" s="2" t="s">
        <v>1287</v>
      </c>
      <c r="S1130" s="2" t="s">
        <v>33</v>
      </c>
      <c r="T1130" s="2" t="s">
        <v>2495</v>
      </c>
      <c r="U1130" s="2" t="s">
        <v>4970</v>
      </c>
      <c r="V1130" s="2" t="s">
        <v>4971</v>
      </c>
    </row>
    <row r="1131" spans="1:112" ht="70" customHeight="1" x14ac:dyDescent="0.2">
      <c r="A1131" s="26" t="s">
        <v>5836</v>
      </c>
      <c r="B1131" s="7" t="s">
        <v>5837</v>
      </c>
      <c r="C1131" s="2" t="s">
        <v>5837</v>
      </c>
      <c r="D1131" s="5">
        <v>1</v>
      </c>
      <c r="E1131" s="6" t="s">
        <v>61</v>
      </c>
      <c r="F1131" s="6" t="s">
        <v>6084</v>
      </c>
      <c r="G1131" s="6"/>
      <c r="H1131" s="6"/>
      <c r="I1131" s="6"/>
      <c r="J1131" s="12" t="s">
        <v>1284</v>
      </c>
      <c r="K1131" s="12" t="s">
        <v>1284</v>
      </c>
      <c r="L1131" s="12" t="s">
        <v>1284</v>
      </c>
      <c r="M1131" s="12" t="s">
        <v>1285</v>
      </c>
      <c r="N1131" s="34" t="s">
        <v>5838</v>
      </c>
      <c r="O1131" s="12" t="s">
        <v>2482</v>
      </c>
      <c r="P1131" s="12" t="s">
        <v>108</v>
      </c>
      <c r="Q1131" s="12" t="s">
        <v>41</v>
      </c>
      <c r="R1131" s="12" t="s">
        <v>1287</v>
      </c>
      <c r="S1131" s="12" t="s">
        <v>33</v>
      </c>
      <c r="T1131" s="12" t="s">
        <v>5839</v>
      </c>
      <c r="U1131" s="12" t="s">
        <v>5840</v>
      </c>
      <c r="V1131" s="12" t="s">
        <v>5840</v>
      </c>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c r="CA1131" s="12"/>
      <c r="CB1131" s="12"/>
      <c r="CC1131" s="12"/>
      <c r="CD1131" s="12"/>
      <c r="CE1131" s="12"/>
      <c r="CF1131" s="12"/>
      <c r="CG1131" s="12"/>
      <c r="CH1131" s="12"/>
      <c r="CI1131" s="12"/>
      <c r="CJ1131" s="12"/>
      <c r="CK1131" s="12"/>
      <c r="CL1131" s="12"/>
      <c r="CM1131" s="12"/>
      <c r="CN1131" s="12"/>
      <c r="CO1131" s="12"/>
      <c r="CP1131" s="12"/>
      <c r="CQ1131" s="12"/>
      <c r="CR1131" s="12"/>
      <c r="CS1131" s="12"/>
      <c r="CT1131" s="12"/>
      <c r="CU1131" s="12"/>
      <c r="CV1131" s="12"/>
      <c r="CW1131" s="12"/>
      <c r="CX1131" s="12"/>
      <c r="CY1131" s="12"/>
      <c r="CZ1131" s="12"/>
      <c r="DA1131" s="12"/>
      <c r="DB1131" s="12"/>
      <c r="DC1131" s="12"/>
      <c r="DD1131" s="12"/>
      <c r="DE1131" s="12"/>
      <c r="DF1131" s="12"/>
      <c r="DG1131" s="12"/>
      <c r="DH1131" s="12"/>
    </row>
    <row r="1132" spans="1:112" ht="70" customHeight="1" x14ac:dyDescent="0.2">
      <c r="A1132" s="26" t="s">
        <v>5845</v>
      </c>
      <c r="B1132" s="7" t="s">
        <v>5846</v>
      </c>
      <c r="C1132" s="2" t="s">
        <v>5846</v>
      </c>
      <c r="D1132" s="1">
        <v>1</v>
      </c>
      <c r="E1132" s="2" t="s">
        <v>61</v>
      </c>
      <c r="F1132" s="2" t="s">
        <v>3435</v>
      </c>
      <c r="G1132" s="2" t="s">
        <v>3223</v>
      </c>
      <c r="I1132" s="2" t="s">
        <v>3412</v>
      </c>
      <c r="J1132" s="12" t="s">
        <v>1284</v>
      </c>
      <c r="K1132" s="12" t="s">
        <v>1284</v>
      </c>
      <c r="L1132" s="12" t="s">
        <v>1284</v>
      </c>
      <c r="M1132" s="12" t="s">
        <v>1285</v>
      </c>
      <c r="N1132" s="34" t="s">
        <v>5847</v>
      </c>
      <c r="O1132" s="12" t="s">
        <v>5848</v>
      </c>
      <c r="P1132" s="12" t="s">
        <v>30</v>
      </c>
      <c r="Q1132" s="12" t="s">
        <v>41</v>
      </c>
      <c r="R1132" s="12" t="s">
        <v>1287</v>
      </c>
      <c r="S1132" s="12" t="s">
        <v>33</v>
      </c>
      <c r="T1132" s="12" t="s">
        <v>5849</v>
      </c>
      <c r="U1132" s="12" t="s">
        <v>5850</v>
      </c>
      <c r="V1132" s="12" t="s">
        <v>5850</v>
      </c>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c r="CA1132" s="12"/>
      <c r="CB1132" s="12"/>
      <c r="CC1132" s="12"/>
      <c r="CD1132" s="12"/>
      <c r="CE1132" s="12"/>
      <c r="CF1132" s="12"/>
      <c r="CG1132" s="12"/>
      <c r="CH1132" s="12"/>
      <c r="CI1132" s="12"/>
      <c r="CJ1132" s="12"/>
      <c r="CK1132" s="12"/>
      <c r="CL1132" s="12"/>
      <c r="CM1132" s="12"/>
      <c r="CN1132" s="12"/>
      <c r="CO1132" s="12"/>
      <c r="CP1132" s="12"/>
      <c r="CQ1132" s="12"/>
      <c r="CR1132" s="12"/>
      <c r="CS1132" s="12"/>
      <c r="CT1132" s="12"/>
      <c r="CU1132" s="12"/>
      <c r="CV1132" s="12"/>
      <c r="CW1132" s="12"/>
      <c r="CX1132" s="12"/>
      <c r="CY1132" s="12"/>
      <c r="CZ1132" s="12"/>
      <c r="DA1132" s="12"/>
      <c r="DB1132" s="12"/>
      <c r="DC1132" s="12"/>
      <c r="DD1132" s="12"/>
      <c r="DE1132" s="12"/>
      <c r="DF1132" s="12"/>
      <c r="DG1132" s="12"/>
      <c r="DH1132" s="12"/>
    </row>
    <row r="1133" spans="1:112" ht="70" customHeight="1" x14ac:dyDescent="0.2">
      <c r="A1133" s="26" t="s">
        <v>5851</v>
      </c>
      <c r="B1133" s="7" t="s">
        <v>5852</v>
      </c>
      <c r="C1133" s="2" t="s">
        <v>5852</v>
      </c>
      <c r="D1133" s="1">
        <v>1</v>
      </c>
      <c r="E1133" s="2" t="s">
        <v>61</v>
      </c>
      <c r="F1133" s="2" t="s">
        <v>3435</v>
      </c>
      <c r="G1133" s="2" t="s">
        <v>3223</v>
      </c>
      <c r="I1133" s="2" t="s">
        <v>3412</v>
      </c>
      <c r="J1133" s="12" t="s">
        <v>1284</v>
      </c>
      <c r="K1133" s="12" t="s">
        <v>1284</v>
      </c>
      <c r="L1133" s="12" t="s">
        <v>1284</v>
      </c>
      <c r="M1133" s="12" t="s">
        <v>1285</v>
      </c>
      <c r="N1133" s="34" t="s">
        <v>5853</v>
      </c>
      <c r="O1133" s="12" t="s">
        <v>5848</v>
      </c>
      <c r="P1133" s="12" t="s">
        <v>913</v>
      </c>
      <c r="Q1133" s="12" t="s">
        <v>41</v>
      </c>
      <c r="R1133" s="12" t="s">
        <v>1287</v>
      </c>
      <c r="S1133" s="12" t="s">
        <v>33</v>
      </c>
      <c r="T1133" s="12" t="s">
        <v>5830</v>
      </c>
      <c r="U1133" s="12" t="s">
        <v>5854</v>
      </c>
      <c r="V1133" s="12" t="s">
        <v>5854</v>
      </c>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c r="CA1133" s="12"/>
      <c r="CB1133" s="12"/>
      <c r="CC1133" s="12"/>
      <c r="CD1133" s="12"/>
      <c r="CE1133" s="12"/>
      <c r="CF1133" s="12"/>
      <c r="CG1133" s="12"/>
      <c r="CH1133" s="12"/>
      <c r="CI1133" s="12"/>
      <c r="CJ1133" s="12"/>
      <c r="CK1133" s="12"/>
      <c r="CL1133" s="12"/>
      <c r="CM1133" s="12"/>
      <c r="CN1133" s="12"/>
      <c r="CO1133" s="12"/>
      <c r="CP1133" s="12"/>
      <c r="CQ1133" s="12"/>
      <c r="CR1133" s="12"/>
      <c r="CS1133" s="12"/>
      <c r="CT1133" s="12"/>
      <c r="CU1133" s="12"/>
      <c r="CV1133" s="12"/>
      <c r="CW1133" s="12"/>
      <c r="CX1133" s="12"/>
      <c r="CY1133" s="12"/>
      <c r="CZ1133" s="12"/>
      <c r="DA1133" s="12"/>
      <c r="DB1133" s="12"/>
      <c r="DC1133" s="12"/>
      <c r="DD1133" s="12"/>
      <c r="DE1133" s="12"/>
      <c r="DF1133" s="12"/>
      <c r="DG1133" s="12"/>
      <c r="DH1133" s="12"/>
    </row>
    <row r="1134" spans="1:112" ht="70" customHeight="1" x14ac:dyDescent="0.2">
      <c r="A1134" s="25" t="s">
        <v>3409</v>
      </c>
      <c r="B1134" s="2" t="s">
        <v>3410</v>
      </c>
      <c r="C1134" s="2" t="s">
        <v>3411</v>
      </c>
      <c r="D1134" s="1">
        <v>1</v>
      </c>
      <c r="E1134" s="2" t="s">
        <v>23</v>
      </c>
      <c r="G1134" s="2" t="s">
        <v>3223</v>
      </c>
      <c r="I1134" s="2" t="s">
        <v>3412</v>
      </c>
      <c r="J1134" s="2" t="s">
        <v>1284</v>
      </c>
      <c r="K1134" s="2" t="s">
        <v>1284</v>
      </c>
      <c r="L1134" s="2" t="s">
        <v>1284</v>
      </c>
      <c r="M1134" s="2" t="s">
        <v>1285</v>
      </c>
      <c r="N1134" s="25" t="s">
        <v>3413</v>
      </c>
      <c r="O1134" s="2" t="s">
        <v>3414</v>
      </c>
      <c r="P1134" s="2" t="s">
        <v>30</v>
      </c>
      <c r="Q1134" s="2" t="s">
        <v>41</v>
      </c>
      <c r="R1134" s="2" t="s">
        <v>1287</v>
      </c>
      <c r="S1134" s="2" t="s">
        <v>33</v>
      </c>
      <c r="T1134" s="2" t="s">
        <v>3415</v>
      </c>
      <c r="U1134" s="2" t="s">
        <v>3416</v>
      </c>
    </row>
    <row r="1135" spans="1:112" ht="70" customHeight="1" x14ac:dyDescent="0.2">
      <c r="A1135" s="25" t="s">
        <v>3417</v>
      </c>
      <c r="B1135" s="2" t="s">
        <v>3418</v>
      </c>
      <c r="C1135" s="2" t="s">
        <v>3418</v>
      </c>
      <c r="D1135" s="1">
        <v>1</v>
      </c>
      <c r="E1135" s="2" t="s">
        <v>61</v>
      </c>
      <c r="F1135" s="2" t="s">
        <v>3419</v>
      </c>
      <c r="G1135" s="2" t="s">
        <v>3223</v>
      </c>
      <c r="H1135" s="2" t="s">
        <v>3420</v>
      </c>
      <c r="I1135" s="2" t="s">
        <v>3421</v>
      </c>
      <c r="J1135" s="2" t="s">
        <v>1284</v>
      </c>
      <c r="K1135" s="2" t="s">
        <v>1284</v>
      </c>
      <c r="L1135" s="2" t="s">
        <v>1284</v>
      </c>
      <c r="M1135" s="2" t="s">
        <v>1285</v>
      </c>
      <c r="N1135" s="25" t="s">
        <v>3422</v>
      </c>
      <c r="O1135" s="2" t="s">
        <v>3414</v>
      </c>
      <c r="P1135" s="2" t="s">
        <v>353</v>
      </c>
      <c r="Q1135" s="2" t="s">
        <v>41</v>
      </c>
      <c r="R1135" s="2" t="s">
        <v>1287</v>
      </c>
      <c r="S1135" s="2" t="s">
        <v>33</v>
      </c>
      <c r="T1135" s="2" t="s">
        <v>3423</v>
      </c>
      <c r="U1135" s="2" t="s">
        <v>3424</v>
      </c>
    </row>
    <row r="1136" spans="1:112" ht="70" customHeight="1" x14ac:dyDescent="0.2">
      <c r="A1136" s="26" t="s">
        <v>5855</v>
      </c>
      <c r="B1136" s="7" t="s">
        <v>5856</v>
      </c>
      <c r="C1136" s="2" t="s">
        <v>5856</v>
      </c>
      <c r="D1136" s="1">
        <v>1</v>
      </c>
      <c r="E1136" s="2" t="s">
        <v>61</v>
      </c>
      <c r="F1136" s="2" t="s">
        <v>3435</v>
      </c>
      <c r="G1136" s="2" t="s">
        <v>3223</v>
      </c>
      <c r="I1136" s="2" t="s">
        <v>3412</v>
      </c>
      <c r="J1136" s="12" t="s">
        <v>1284</v>
      </c>
      <c r="K1136" s="12" t="s">
        <v>1284</v>
      </c>
      <c r="L1136" s="12" t="s">
        <v>1284</v>
      </c>
      <c r="M1136" s="12" t="s">
        <v>1285</v>
      </c>
      <c r="N1136" s="34" t="s">
        <v>5857</v>
      </c>
      <c r="O1136" s="12" t="s">
        <v>3414</v>
      </c>
      <c r="P1136" s="12" t="s">
        <v>68</v>
      </c>
      <c r="Q1136" s="12" t="s">
        <v>41</v>
      </c>
      <c r="R1136" s="12" t="s">
        <v>1287</v>
      </c>
      <c r="S1136" s="12" t="s">
        <v>33</v>
      </c>
      <c r="T1136" s="12" t="s">
        <v>5858</v>
      </c>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c r="CA1136" s="12"/>
      <c r="CB1136" s="12"/>
      <c r="CC1136" s="12"/>
      <c r="CD1136" s="12"/>
      <c r="CE1136" s="12"/>
      <c r="CF1136" s="12"/>
      <c r="CG1136" s="12"/>
      <c r="CH1136" s="12"/>
      <c r="CI1136" s="12"/>
      <c r="CJ1136" s="12"/>
      <c r="CK1136" s="12"/>
      <c r="CL1136" s="12"/>
      <c r="CM1136" s="12"/>
      <c r="CN1136" s="12"/>
      <c r="CO1136" s="12"/>
      <c r="CP1136" s="12"/>
      <c r="CQ1136" s="12"/>
      <c r="CR1136" s="12"/>
      <c r="CS1136" s="12"/>
      <c r="CT1136" s="12"/>
      <c r="CU1136" s="12"/>
      <c r="CV1136" s="12"/>
      <c r="CW1136" s="12"/>
      <c r="CX1136" s="12"/>
      <c r="CY1136" s="12"/>
      <c r="CZ1136" s="12"/>
      <c r="DA1136" s="12"/>
      <c r="DB1136" s="12"/>
      <c r="DC1136" s="12"/>
      <c r="DD1136" s="12"/>
      <c r="DE1136" s="12"/>
      <c r="DF1136" s="12"/>
      <c r="DG1136" s="12"/>
      <c r="DH1136" s="12"/>
    </row>
    <row r="1137" spans="1:112" ht="70" customHeight="1" x14ac:dyDescent="0.2">
      <c r="A1137" s="26" t="s">
        <v>5863</v>
      </c>
      <c r="B1137" s="7" t="s">
        <v>5864</v>
      </c>
      <c r="C1137" s="2" t="s">
        <v>5864</v>
      </c>
      <c r="D1137" s="5">
        <v>1</v>
      </c>
      <c r="E1137" s="6" t="s">
        <v>61</v>
      </c>
      <c r="F1137" s="6"/>
      <c r="G1137" s="6"/>
      <c r="H1137" s="6" t="s">
        <v>3378</v>
      </c>
      <c r="I1137" s="6" t="s">
        <v>6088</v>
      </c>
      <c r="J1137" s="12" t="s">
        <v>1284</v>
      </c>
      <c r="K1137" s="12" t="s">
        <v>1284</v>
      </c>
      <c r="L1137" s="12" t="s">
        <v>1284</v>
      </c>
      <c r="M1137" s="12" t="s">
        <v>1285</v>
      </c>
      <c r="N1137" s="34" t="s">
        <v>5865</v>
      </c>
      <c r="O1137" s="12" t="s">
        <v>5862</v>
      </c>
      <c r="P1137" s="12" t="s">
        <v>2737</v>
      </c>
      <c r="Q1137" s="12" t="s">
        <v>41</v>
      </c>
      <c r="R1137" s="12" t="s">
        <v>1287</v>
      </c>
      <c r="S1137" s="12" t="s">
        <v>33</v>
      </c>
      <c r="T1137" s="12" t="s">
        <v>5866</v>
      </c>
      <c r="U1137" s="12" t="s">
        <v>5867</v>
      </c>
      <c r="V1137" s="12" t="s">
        <v>5867</v>
      </c>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c r="CA1137" s="12"/>
      <c r="CB1137" s="12"/>
      <c r="CC1137" s="12"/>
      <c r="CD1137" s="12"/>
      <c r="CE1137" s="12"/>
      <c r="CF1137" s="12"/>
      <c r="CG1137" s="12"/>
      <c r="CH1137" s="12"/>
      <c r="CI1137" s="12"/>
      <c r="CJ1137" s="12"/>
      <c r="CK1137" s="12"/>
      <c r="CL1137" s="12"/>
      <c r="CM1137" s="12"/>
      <c r="CN1137" s="12"/>
      <c r="CO1137" s="12"/>
      <c r="CP1137" s="12"/>
      <c r="CQ1137" s="12"/>
      <c r="CR1137" s="12"/>
      <c r="CS1137" s="12"/>
      <c r="CT1137" s="12"/>
      <c r="CU1137" s="12"/>
      <c r="CV1137" s="12"/>
      <c r="CW1137" s="12"/>
      <c r="CX1137" s="12"/>
      <c r="CY1137" s="12"/>
      <c r="CZ1137" s="12"/>
      <c r="DA1137" s="12"/>
      <c r="DB1137" s="12"/>
      <c r="DC1137" s="12"/>
      <c r="DD1137" s="12"/>
      <c r="DE1137" s="12"/>
      <c r="DF1137" s="12"/>
      <c r="DG1137" s="12"/>
      <c r="DH1137" s="12"/>
    </row>
    <row r="1138" spans="1:112" ht="70" customHeight="1" x14ac:dyDescent="0.2">
      <c r="A1138" s="26" t="s">
        <v>5868</v>
      </c>
      <c r="B1138" s="7" t="s">
        <v>5869</v>
      </c>
      <c r="C1138" s="2" t="s">
        <v>5869</v>
      </c>
      <c r="D1138" s="5">
        <v>1</v>
      </c>
      <c r="E1138" s="6" t="s">
        <v>61</v>
      </c>
      <c r="F1138" s="6"/>
      <c r="G1138" s="6" t="s">
        <v>6089</v>
      </c>
      <c r="H1138" s="6" t="s">
        <v>6090</v>
      </c>
      <c r="I1138" s="10" t="s">
        <v>6091</v>
      </c>
      <c r="J1138" s="12" t="s">
        <v>1284</v>
      </c>
      <c r="K1138" s="12" t="s">
        <v>1284</v>
      </c>
      <c r="L1138" s="12" t="s">
        <v>1284</v>
      </c>
      <c r="M1138" s="12" t="s">
        <v>1285</v>
      </c>
      <c r="N1138" s="34" t="s">
        <v>5870</v>
      </c>
      <c r="O1138" s="12" t="s">
        <v>5862</v>
      </c>
      <c r="P1138" s="12" t="s">
        <v>839</v>
      </c>
      <c r="Q1138" s="12" t="s">
        <v>41</v>
      </c>
      <c r="R1138" s="12" t="s">
        <v>1287</v>
      </c>
      <c r="S1138" s="12" t="s">
        <v>33</v>
      </c>
      <c r="T1138" s="12" t="s">
        <v>5866</v>
      </c>
      <c r="U1138" s="12" t="s">
        <v>5871</v>
      </c>
      <c r="V1138" s="12" t="s">
        <v>5871</v>
      </c>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c r="CA1138" s="12"/>
      <c r="CB1138" s="12"/>
      <c r="CC1138" s="12"/>
      <c r="CD1138" s="12"/>
      <c r="CE1138" s="12"/>
      <c r="CF1138" s="12"/>
      <c r="CG1138" s="12"/>
      <c r="CH1138" s="12"/>
      <c r="CI1138" s="12"/>
      <c r="CJ1138" s="12"/>
      <c r="CK1138" s="12"/>
      <c r="CL1138" s="12"/>
      <c r="CM1138" s="12"/>
      <c r="CN1138" s="12"/>
      <c r="CO1138" s="12"/>
      <c r="CP1138" s="12"/>
      <c r="CQ1138" s="12"/>
      <c r="CR1138" s="12"/>
      <c r="CS1138" s="12"/>
      <c r="CT1138" s="12"/>
      <c r="CU1138" s="12"/>
      <c r="CV1138" s="12"/>
      <c r="CW1138" s="12"/>
      <c r="CX1138" s="12"/>
      <c r="CY1138" s="12"/>
      <c r="CZ1138" s="12"/>
      <c r="DA1138" s="12"/>
      <c r="DB1138" s="12"/>
      <c r="DC1138" s="12"/>
      <c r="DD1138" s="12"/>
      <c r="DE1138" s="12"/>
      <c r="DF1138" s="12"/>
      <c r="DG1138" s="12"/>
      <c r="DH1138" s="12"/>
    </row>
    <row r="1139" spans="1:112" ht="70" customHeight="1" x14ac:dyDescent="0.2">
      <c r="A1139" s="26" t="s">
        <v>5872</v>
      </c>
      <c r="B1139" s="7" t="s">
        <v>5873</v>
      </c>
      <c r="C1139" s="2" t="s">
        <v>5873</v>
      </c>
      <c r="D1139" s="5">
        <v>1</v>
      </c>
      <c r="E1139" s="6" t="s">
        <v>61</v>
      </c>
      <c r="F1139" s="6"/>
      <c r="G1139" s="6" t="s">
        <v>6089</v>
      </c>
      <c r="H1139" s="6" t="s">
        <v>6090</v>
      </c>
      <c r="I1139" s="10" t="s">
        <v>6091</v>
      </c>
      <c r="J1139" s="12" t="s">
        <v>1284</v>
      </c>
      <c r="K1139" s="12" t="s">
        <v>1284</v>
      </c>
      <c r="L1139" s="12" t="s">
        <v>1284</v>
      </c>
      <c r="M1139" s="12" t="s">
        <v>1285</v>
      </c>
      <c r="N1139" s="34" t="s">
        <v>5874</v>
      </c>
      <c r="O1139" s="12" t="s">
        <v>5862</v>
      </c>
      <c r="P1139" s="12" t="s">
        <v>5704</v>
      </c>
      <c r="Q1139" s="12" t="s">
        <v>41</v>
      </c>
      <c r="R1139" s="12" t="s">
        <v>1287</v>
      </c>
      <c r="S1139" s="12" t="s">
        <v>33</v>
      </c>
      <c r="T1139" s="12" t="s">
        <v>5866</v>
      </c>
      <c r="U1139" s="12" t="s">
        <v>5875</v>
      </c>
      <c r="V1139" s="12" t="s">
        <v>5875</v>
      </c>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c r="CA1139" s="12"/>
      <c r="CB1139" s="12"/>
      <c r="CC1139" s="12"/>
      <c r="CD1139" s="12"/>
      <c r="CE1139" s="12"/>
      <c r="CF1139" s="12"/>
      <c r="CG1139" s="12"/>
      <c r="CH1139" s="12"/>
      <c r="CI1139" s="12"/>
      <c r="CJ1139" s="12"/>
      <c r="CK1139" s="12"/>
      <c r="CL1139" s="12"/>
      <c r="CM1139" s="12"/>
      <c r="CN1139" s="12"/>
      <c r="CO1139" s="12"/>
      <c r="CP1139" s="12"/>
      <c r="CQ1139" s="12"/>
      <c r="CR1139" s="12"/>
      <c r="CS1139" s="12"/>
      <c r="CT1139" s="12"/>
      <c r="CU1139" s="12"/>
      <c r="CV1139" s="12"/>
      <c r="CW1139" s="12"/>
      <c r="CX1139" s="12"/>
      <c r="CY1139" s="12"/>
      <c r="CZ1139" s="12"/>
      <c r="DA1139" s="12"/>
      <c r="DB1139" s="12"/>
      <c r="DC1139" s="12"/>
      <c r="DD1139" s="12"/>
      <c r="DE1139" s="12"/>
      <c r="DF1139" s="12"/>
      <c r="DG1139" s="12"/>
      <c r="DH1139" s="12"/>
    </row>
    <row r="1140" spans="1:112" ht="70" customHeight="1" x14ac:dyDescent="0.2">
      <c r="A1140" s="26" t="s">
        <v>5876</v>
      </c>
      <c r="B1140" s="7" t="s">
        <v>5877</v>
      </c>
      <c r="C1140" s="2" t="s">
        <v>5877</v>
      </c>
      <c r="D1140" s="5">
        <v>1</v>
      </c>
      <c r="E1140" s="6" t="s">
        <v>61</v>
      </c>
      <c r="F1140" s="6"/>
      <c r="G1140" s="6" t="s">
        <v>6089</v>
      </c>
      <c r="H1140" s="6" t="s">
        <v>6090</v>
      </c>
      <c r="I1140" s="10" t="s">
        <v>6091</v>
      </c>
      <c r="J1140" s="12" t="s">
        <v>1284</v>
      </c>
      <c r="K1140" s="12" t="s">
        <v>1284</v>
      </c>
      <c r="L1140" s="12" t="s">
        <v>1284</v>
      </c>
      <c r="M1140" s="12" t="s">
        <v>1285</v>
      </c>
      <c r="N1140" s="34" t="s">
        <v>5878</v>
      </c>
      <c r="O1140" s="12" t="s">
        <v>5862</v>
      </c>
      <c r="P1140" s="12" t="s">
        <v>208</v>
      </c>
      <c r="Q1140" s="12" t="s">
        <v>41</v>
      </c>
      <c r="R1140" s="12" t="s">
        <v>1287</v>
      </c>
      <c r="S1140" s="12" t="s">
        <v>33</v>
      </c>
      <c r="T1140" s="12" t="s">
        <v>5866</v>
      </c>
      <c r="U1140" s="12" t="s">
        <v>5879</v>
      </c>
      <c r="V1140" s="12" t="s">
        <v>5879</v>
      </c>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c r="CA1140" s="12"/>
      <c r="CB1140" s="12"/>
      <c r="CC1140" s="12"/>
      <c r="CD1140" s="12"/>
      <c r="CE1140" s="12"/>
      <c r="CF1140" s="12"/>
      <c r="CG1140" s="12"/>
      <c r="CH1140" s="12"/>
      <c r="CI1140" s="12"/>
      <c r="CJ1140" s="12"/>
      <c r="CK1140" s="12"/>
      <c r="CL1140" s="12"/>
      <c r="CM1140" s="12"/>
      <c r="CN1140" s="12"/>
      <c r="CO1140" s="12"/>
      <c r="CP1140" s="12"/>
      <c r="CQ1140" s="12"/>
      <c r="CR1140" s="12"/>
      <c r="CS1140" s="12"/>
      <c r="CT1140" s="12"/>
      <c r="CU1140" s="12"/>
      <c r="CV1140" s="12"/>
      <c r="CW1140" s="12"/>
      <c r="CX1140" s="12"/>
      <c r="CY1140" s="12"/>
      <c r="CZ1140" s="12"/>
      <c r="DA1140" s="12"/>
      <c r="DB1140" s="12"/>
      <c r="DC1140" s="12"/>
      <c r="DD1140" s="12"/>
      <c r="DE1140" s="12"/>
      <c r="DF1140" s="12"/>
      <c r="DG1140" s="12"/>
      <c r="DH1140" s="12"/>
    </row>
    <row r="1141" spans="1:112" ht="70" customHeight="1" x14ac:dyDescent="0.2">
      <c r="A1141" s="25" t="s">
        <v>3425</v>
      </c>
      <c r="B1141" s="2" t="s">
        <v>3426</v>
      </c>
      <c r="C1141" s="2" t="s">
        <v>3426</v>
      </c>
      <c r="D1141" s="1">
        <v>1</v>
      </c>
      <c r="E1141" s="2" t="s">
        <v>61</v>
      </c>
      <c r="F1141" s="2" t="s">
        <v>3427</v>
      </c>
      <c r="G1141" s="2" t="s">
        <v>3223</v>
      </c>
      <c r="I1141" s="2" t="s">
        <v>3428</v>
      </c>
      <c r="J1141" s="2" t="s">
        <v>1284</v>
      </c>
      <c r="K1141" s="2" t="s">
        <v>1284</v>
      </c>
      <c r="L1141" s="2" t="s">
        <v>1284</v>
      </c>
      <c r="M1141" s="2" t="s">
        <v>1285</v>
      </c>
      <c r="N1141" s="25" t="s">
        <v>3429</v>
      </c>
      <c r="O1141" s="2" t="s">
        <v>3430</v>
      </c>
      <c r="P1141" s="2" t="s">
        <v>159</v>
      </c>
      <c r="Q1141" s="2" t="s">
        <v>41</v>
      </c>
      <c r="R1141" s="2" t="s">
        <v>1287</v>
      </c>
      <c r="S1141" s="2" t="s">
        <v>33</v>
      </c>
      <c r="T1141" s="2" t="s">
        <v>3431</v>
      </c>
      <c r="U1141" s="2" t="s">
        <v>3432</v>
      </c>
    </row>
    <row r="1142" spans="1:112" ht="70" customHeight="1" x14ac:dyDescent="0.2">
      <c r="A1142" s="25" t="s">
        <v>3433</v>
      </c>
      <c r="B1142" s="2" t="s">
        <v>3434</v>
      </c>
      <c r="C1142" s="2" t="s">
        <v>3434</v>
      </c>
      <c r="D1142" s="1">
        <v>1</v>
      </c>
      <c r="E1142" s="2" t="s">
        <v>61</v>
      </c>
      <c r="F1142" s="2" t="s">
        <v>3435</v>
      </c>
      <c r="G1142" s="2" t="s">
        <v>3223</v>
      </c>
      <c r="J1142" s="2" t="s">
        <v>1284</v>
      </c>
      <c r="K1142" s="2" t="s">
        <v>1284</v>
      </c>
      <c r="L1142" s="2" t="s">
        <v>1284</v>
      </c>
      <c r="M1142" s="2" t="s">
        <v>1285</v>
      </c>
      <c r="N1142" s="25" t="s">
        <v>3436</v>
      </c>
      <c r="O1142" s="2" t="s">
        <v>3437</v>
      </c>
      <c r="P1142" s="2" t="s">
        <v>94</v>
      </c>
      <c r="Q1142" s="2" t="s">
        <v>30</v>
      </c>
      <c r="R1142" s="2" t="s">
        <v>1287</v>
      </c>
      <c r="S1142" s="2" t="s">
        <v>33</v>
      </c>
      <c r="T1142" s="2" t="s">
        <v>3438</v>
      </c>
      <c r="U1142" s="2" t="s">
        <v>4972</v>
      </c>
      <c r="V1142" s="2" t="s">
        <v>4973</v>
      </c>
    </row>
    <row r="1143" spans="1:112" ht="70" customHeight="1" x14ac:dyDescent="0.2">
      <c r="A1143" s="25" t="s">
        <v>3439</v>
      </c>
      <c r="B1143" s="2" t="s">
        <v>3440</v>
      </c>
      <c r="C1143" s="2" t="s">
        <v>3440</v>
      </c>
      <c r="D1143" s="1">
        <v>1</v>
      </c>
      <c r="E1143" s="2" t="s">
        <v>61</v>
      </c>
      <c r="F1143" s="2" t="s">
        <v>3441</v>
      </c>
      <c r="G1143" s="2" t="s">
        <v>3223</v>
      </c>
      <c r="H1143" s="2" t="s">
        <v>3442</v>
      </c>
      <c r="J1143" s="2" t="s">
        <v>1284</v>
      </c>
      <c r="K1143" s="2" t="s">
        <v>1284</v>
      </c>
      <c r="L1143" s="2" t="s">
        <v>1284</v>
      </c>
      <c r="M1143" s="2" t="s">
        <v>1285</v>
      </c>
      <c r="N1143" s="25" t="s">
        <v>3443</v>
      </c>
      <c r="O1143" s="2" t="s">
        <v>3444</v>
      </c>
      <c r="P1143" s="2" t="s">
        <v>52</v>
      </c>
      <c r="Q1143" s="2" t="s">
        <v>41</v>
      </c>
      <c r="R1143" s="2" t="s">
        <v>1287</v>
      </c>
      <c r="S1143" s="2" t="s">
        <v>33</v>
      </c>
      <c r="T1143" s="2" t="s">
        <v>3445</v>
      </c>
      <c r="U1143" s="2" t="s">
        <v>3446</v>
      </c>
    </row>
    <row r="1144" spans="1:112" ht="70" customHeight="1" x14ac:dyDescent="0.2">
      <c r="A1144" s="25" t="s">
        <v>3447</v>
      </c>
      <c r="B1144" s="2" t="s">
        <v>3448</v>
      </c>
      <c r="C1144" s="2" t="s">
        <v>3448</v>
      </c>
      <c r="D1144" s="1">
        <v>1</v>
      </c>
      <c r="E1144" s="2" t="s">
        <v>61</v>
      </c>
      <c r="F1144" s="2" t="s">
        <v>3449</v>
      </c>
      <c r="G1144" s="2" t="s">
        <v>3223</v>
      </c>
      <c r="H1144" s="2" t="s">
        <v>3450</v>
      </c>
      <c r="I1144" s="2" t="s">
        <v>1278</v>
      </c>
      <c r="J1144" s="2" t="s">
        <v>1284</v>
      </c>
      <c r="K1144" s="2" t="s">
        <v>1284</v>
      </c>
      <c r="L1144" s="2" t="s">
        <v>1284</v>
      </c>
      <c r="M1144" s="2" t="s">
        <v>1285</v>
      </c>
      <c r="N1144" s="25" t="s">
        <v>3451</v>
      </c>
      <c r="O1144" s="2" t="s">
        <v>3452</v>
      </c>
      <c r="P1144" s="2" t="s">
        <v>30</v>
      </c>
      <c r="Q1144" s="2" t="s">
        <v>93</v>
      </c>
      <c r="R1144" s="2" t="s">
        <v>1287</v>
      </c>
      <c r="S1144" s="2" t="s">
        <v>33</v>
      </c>
      <c r="T1144" s="2" t="s">
        <v>3453</v>
      </c>
      <c r="U1144" s="2" t="s">
        <v>3454</v>
      </c>
    </row>
    <row r="1145" spans="1:112" ht="70" customHeight="1" x14ac:dyDescent="0.2">
      <c r="A1145" s="26" t="s">
        <v>5900</v>
      </c>
      <c r="B1145" s="7" t="s">
        <v>5901</v>
      </c>
      <c r="C1145" s="2" t="s">
        <v>5901</v>
      </c>
      <c r="D1145" s="1">
        <v>1</v>
      </c>
      <c r="E1145" s="2" t="s">
        <v>61</v>
      </c>
      <c r="F1145" s="2" t="s">
        <v>3457</v>
      </c>
      <c r="G1145" s="2" t="s">
        <v>3223</v>
      </c>
      <c r="H1145" s="2" t="s">
        <v>3469</v>
      </c>
      <c r="I1145" s="6"/>
      <c r="J1145" s="12" t="s">
        <v>1284</v>
      </c>
      <c r="K1145" s="12" t="s">
        <v>1284</v>
      </c>
      <c r="L1145" s="12" t="s">
        <v>1284</v>
      </c>
      <c r="M1145" s="12" t="s">
        <v>1285</v>
      </c>
      <c r="N1145" s="34" t="s">
        <v>3458</v>
      </c>
      <c r="O1145" s="12" t="s">
        <v>3459</v>
      </c>
      <c r="P1145" s="12" t="s">
        <v>41</v>
      </c>
      <c r="Q1145" s="12" t="s">
        <v>41</v>
      </c>
      <c r="R1145" s="12" t="s">
        <v>1287</v>
      </c>
      <c r="S1145" s="12" t="s">
        <v>33</v>
      </c>
      <c r="T1145" s="12" t="s">
        <v>3088</v>
      </c>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c r="CA1145" s="12"/>
      <c r="CB1145" s="12"/>
      <c r="CC1145" s="12"/>
      <c r="CD1145" s="12"/>
      <c r="CE1145" s="12"/>
      <c r="CF1145" s="12"/>
      <c r="CG1145" s="12"/>
      <c r="CH1145" s="12"/>
      <c r="CI1145" s="12"/>
      <c r="CJ1145" s="12"/>
      <c r="CK1145" s="12"/>
      <c r="CL1145" s="12"/>
      <c r="CM1145" s="12"/>
      <c r="CN1145" s="12"/>
      <c r="CO1145" s="12"/>
      <c r="CP1145" s="12"/>
      <c r="CQ1145" s="12"/>
      <c r="CR1145" s="12"/>
      <c r="CS1145" s="12"/>
      <c r="CT1145" s="12"/>
      <c r="CU1145" s="12"/>
      <c r="CV1145" s="12"/>
      <c r="CW1145" s="12"/>
      <c r="CX1145" s="12"/>
      <c r="CY1145" s="12"/>
      <c r="CZ1145" s="12"/>
      <c r="DA1145" s="12"/>
      <c r="DB1145" s="12"/>
      <c r="DC1145" s="12"/>
      <c r="DD1145" s="12"/>
      <c r="DE1145" s="12"/>
      <c r="DF1145" s="12"/>
      <c r="DG1145" s="12"/>
      <c r="DH1145" s="12"/>
    </row>
    <row r="1146" spans="1:112" ht="70" customHeight="1" x14ac:dyDescent="0.2">
      <c r="A1146" s="21" t="s">
        <v>3455</v>
      </c>
      <c r="B1146" s="2" t="s">
        <v>3456</v>
      </c>
      <c r="C1146" s="2" t="s">
        <v>3456</v>
      </c>
      <c r="D1146" s="1">
        <v>1</v>
      </c>
      <c r="E1146" s="2" t="s">
        <v>61</v>
      </c>
      <c r="F1146" s="2" t="s">
        <v>3457</v>
      </c>
      <c r="G1146" s="2" t="s">
        <v>3223</v>
      </c>
      <c r="J1146" s="2" t="s">
        <v>1284</v>
      </c>
      <c r="K1146" s="2" t="s">
        <v>1284</v>
      </c>
      <c r="L1146" s="2" t="s">
        <v>1284</v>
      </c>
      <c r="M1146" s="2" t="s">
        <v>1285</v>
      </c>
      <c r="N1146" s="2" t="s">
        <v>3458</v>
      </c>
      <c r="O1146" s="2" t="s">
        <v>3459</v>
      </c>
      <c r="P1146" s="2" t="s">
        <v>41</v>
      </c>
      <c r="Q1146" s="2" t="s">
        <v>30</v>
      </c>
      <c r="R1146" s="2" t="s">
        <v>1287</v>
      </c>
      <c r="S1146" s="2" t="s">
        <v>33</v>
      </c>
      <c r="T1146" s="2" t="s">
        <v>3088</v>
      </c>
      <c r="U1146" s="2" t="s">
        <v>3460</v>
      </c>
    </row>
    <row r="1147" spans="1:112" ht="70" customHeight="1" x14ac:dyDescent="0.2">
      <c r="A1147" s="21" t="s">
        <v>3461</v>
      </c>
      <c r="B1147" s="2" t="s">
        <v>3462</v>
      </c>
      <c r="C1147" s="2" t="s">
        <v>3462</v>
      </c>
      <c r="D1147" s="1">
        <v>1</v>
      </c>
      <c r="E1147" s="2" t="s">
        <v>61</v>
      </c>
      <c r="F1147" s="2" t="s">
        <v>3457</v>
      </c>
      <c r="G1147" s="2" t="s">
        <v>3223</v>
      </c>
      <c r="H1147" s="2" t="s">
        <v>2859</v>
      </c>
      <c r="I1147" s="2" t="s">
        <v>3463</v>
      </c>
      <c r="J1147" s="2" t="s">
        <v>1284</v>
      </c>
      <c r="K1147" s="2" t="s">
        <v>1284</v>
      </c>
      <c r="L1147" s="2" t="s">
        <v>1284</v>
      </c>
      <c r="M1147" s="2" t="s">
        <v>1285</v>
      </c>
      <c r="N1147" s="2" t="s">
        <v>3464</v>
      </c>
      <c r="O1147" s="2" t="s">
        <v>3465</v>
      </c>
      <c r="P1147" s="2" t="s">
        <v>30</v>
      </c>
      <c r="Q1147" s="2" t="s">
        <v>41</v>
      </c>
      <c r="R1147" s="2" t="s">
        <v>1287</v>
      </c>
      <c r="S1147" s="2" t="s">
        <v>33</v>
      </c>
      <c r="T1147" s="2" t="s">
        <v>3088</v>
      </c>
      <c r="U1147" s="2" t="s">
        <v>3466</v>
      </c>
    </row>
    <row r="1148" spans="1:112" ht="70" customHeight="1" x14ac:dyDescent="0.2">
      <c r="A1148" s="27" t="s">
        <v>5902</v>
      </c>
      <c r="B1148" s="7" t="s">
        <v>5903</v>
      </c>
      <c r="C1148" s="2" t="s">
        <v>5903</v>
      </c>
      <c r="D1148" s="5">
        <v>1</v>
      </c>
      <c r="E1148" s="6" t="s">
        <v>61</v>
      </c>
      <c r="F1148" s="6" t="s">
        <v>6095</v>
      </c>
      <c r="G1148" s="6"/>
      <c r="H1148" s="6"/>
      <c r="I1148" s="6"/>
      <c r="J1148" s="12" t="s">
        <v>1284</v>
      </c>
      <c r="K1148" s="12" t="s">
        <v>1284</v>
      </c>
      <c r="L1148" s="12" t="s">
        <v>1284</v>
      </c>
      <c r="M1148" s="12" t="s">
        <v>1285</v>
      </c>
      <c r="N1148" s="12" t="s">
        <v>5904</v>
      </c>
      <c r="O1148" s="12" t="s">
        <v>3087</v>
      </c>
      <c r="P1148" s="12" t="s">
        <v>30</v>
      </c>
      <c r="Q1148" s="12" t="s">
        <v>40</v>
      </c>
      <c r="R1148" s="12" t="s">
        <v>1287</v>
      </c>
      <c r="S1148" s="12" t="s">
        <v>33</v>
      </c>
      <c r="T1148" s="12" t="s">
        <v>3088</v>
      </c>
      <c r="U1148" s="12" t="s">
        <v>5905</v>
      </c>
      <c r="V1148" s="12" t="s">
        <v>5905</v>
      </c>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c r="CA1148" s="12"/>
      <c r="CB1148" s="12"/>
      <c r="CC1148" s="12"/>
      <c r="CD1148" s="12"/>
      <c r="CE1148" s="12"/>
      <c r="CF1148" s="12"/>
      <c r="CG1148" s="12"/>
      <c r="CH1148" s="12"/>
      <c r="CI1148" s="12"/>
      <c r="CJ1148" s="12"/>
      <c r="CK1148" s="12"/>
      <c r="CL1148" s="12"/>
      <c r="CM1148" s="12"/>
      <c r="CN1148" s="12"/>
      <c r="CO1148" s="12"/>
      <c r="CP1148" s="12"/>
      <c r="CQ1148" s="12"/>
      <c r="CR1148" s="12"/>
      <c r="CS1148" s="12"/>
      <c r="CT1148" s="12"/>
      <c r="CU1148" s="12"/>
      <c r="CV1148" s="12"/>
      <c r="CW1148" s="12"/>
      <c r="CX1148" s="12"/>
      <c r="CY1148" s="12"/>
      <c r="CZ1148" s="12"/>
      <c r="DA1148" s="12"/>
      <c r="DB1148" s="12"/>
      <c r="DC1148" s="12"/>
      <c r="DD1148" s="12"/>
      <c r="DE1148" s="12"/>
      <c r="DF1148" s="12"/>
      <c r="DG1148" s="12"/>
      <c r="DH1148" s="12"/>
    </row>
    <row r="1149" spans="1:112" ht="70" customHeight="1" x14ac:dyDescent="0.2">
      <c r="A1149" s="21" t="s">
        <v>3467</v>
      </c>
      <c r="B1149" s="2" t="s">
        <v>3468</v>
      </c>
      <c r="C1149" s="2" t="s">
        <v>3468</v>
      </c>
      <c r="D1149" s="1">
        <v>1</v>
      </c>
      <c r="E1149" s="2" t="s">
        <v>61</v>
      </c>
      <c r="F1149" s="2" t="s">
        <v>3457</v>
      </c>
      <c r="G1149" s="2" t="s">
        <v>3223</v>
      </c>
      <c r="H1149" s="2" t="s">
        <v>3469</v>
      </c>
      <c r="J1149" s="2" t="s">
        <v>1284</v>
      </c>
      <c r="K1149" s="2" t="s">
        <v>1284</v>
      </c>
      <c r="L1149" s="2" t="s">
        <v>1284</v>
      </c>
      <c r="M1149" s="2" t="s">
        <v>1285</v>
      </c>
      <c r="N1149" s="2" t="s">
        <v>3470</v>
      </c>
      <c r="O1149" s="2" t="s">
        <v>3087</v>
      </c>
      <c r="P1149" s="2" t="s">
        <v>1094</v>
      </c>
      <c r="Q1149" s="2" t="s">
        <v>41</v>
      </c>
      <c r="R1149" s="2" t="s">
        <v>1287</v>
      </c>
      <c r="S1149" s="2" t="s">
        <v>33</v>
      </c>
      <c r="T1149" s="2" t="s">
        <v>3088</v>
      </c>
      <c r="U1149" s="2" t="s">
        <v>292</v>
      </c>
    </row>
    <row r="1150" spans="1:112" ht="70" customHeight="1" x14ac:dyDescent="0.2">
      <c r="A1150" s="27" t="s">
        <v>5906</v>
      </c>
      <c r="B1150" s="7" t="s">
        <v>5907</v>
      </c>
      <c r="C1150" s="2" t="s">
        <v>5907</v>
      </c>
      <c r="D1150" s="5">
        <v>1</v>
      </c>
      <c r="E1150" s="6" t="s">
        <v>61</v>
      </c>
      <c r="F1150" s="11" t="s">
        <v>6096</v>
      </c>
      <c r="G1150" s="6"/>
      <c r="H1150" s="6"/>
      <c r="I1150" s="6"/>
      <c r="J1150" s="12" t="s">
        <v>1284</v>
      </c>
      <c r="K1150" s="12" t="s">
        <v>1284</v>
      </c>
      <c r="L1150" s="12" t="s">
        <v>1284</v>
      </c>
      <c r="M1150" s="12" t="s">
        <v>1285</v>
      </c>
      <c r="N1150" s="12" t="s">
        <v>5908</v>
      </c>
      <c r="O1150" s="12" t="s">
        <v>1579</v>
      </c>
      <c r="P1150" s="12" t="s">
        <v>68</v>
      </c>
      <c r="Q1150" s="12" t="s">
        <v>41</v>
      </c>
      <c r="R1150" s="12" t="s">
        <v>1287</v>
      </c>
      <c r="S1150" s="12" t="s">
        <v>33</v>
      </c>
      <c r="T1150" s="12" t="s">
        <v>1580</v>
      </c>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c r="CA1150" s="12"/>
      <c r="CB1150" s="12"/>
      <c r="CC1150" s="12"/>
      <c r="CD1150" s="12"/>
      <c r="CE1150" s="12"/>
      <c r="CF1150" s="12"/>
      <c r="CG1150" s="12"/>
      <c r="CH1150" s="12"/>
      <c r="CI1150" s="12"/>
      <c r="CJ1150" s="12"/>
      <c r="CK1150" s="12"/>
      <c r="CL1150" s="12"/>
      <c r="CM1150" s="12"/>
      <c r="CN1150" s="12"/>
      <c r="CO1150" s="12"/>
      <c r="CP1150" s="12"/>
      <c r="CQ1150" s="12"/>
      <c r="CR1150" s="12"/>
      <c r="CS1150" s="12"/>
      <c r="CT1150" s="12"/>
      <c r="CU1150" s="12"/>
      <c r="CV1150" s="12"/>
      <c r="CW1150" s="12"/>
      <c r="CX1150" s="12"/>
      <c r="CY1150" s="12"/>
      <c r="CZ1150" s="12"/>
      <c r="DA1150" s="12"/>
      <c r="DB1150" s="12"/>
      <c r="DC1150" s="12"/>
      <c r="DD1150" s="12"/>
      <c r="DE1150" s="12"/>
      <c r="DF1150" s="12"/>
      <c r="DG1150" s="12"/>
      <c r="DH1150" s="12"/>
    </row>
    <row r="1151" spans="1:112" ht="70" customHeight="1" x14ac:dyDescent="0.2">
      <c r="A1151" s="21" t="s">
        <v>3471</v>
      </c>
      <c r="B1151" s="2" t="s">
        <v>3472</v>
      </c>
      <c r="C1151" s="2" t="s">
        <v>3472</v>
      </c>
      <c r="D1151" s="1">
        <v>1</v>
      </c>
      <c r="E1151" s="2" t="s">
        <v>61</v>
      </c>
      <c r="F1151" s="2" t="s">
        <v>3473</v>
      </c>
      <c r="G1151" s="2" t="s">
        <v>3223</v>
      </c>
      <c r="H1151" s="2" t="s">
        <v>2634</v>
      </c>
      <c r="I1151" s="2" t="s">
        <v>2987</v>
      </c>
      <c r="J1151" s="2" t="s">
        <v>1284</v>
      </c>
      <c r="K1151" s="2" t="s">
        <v>1284</v>
      </c>
      <c r="L1151" s="2" t="s">
        <v>1284</v>
      </c>
      <c r="M1151" s="2" t="s">
        <v>1285</v>
      </c>
      <c r="N1151" s="2" t="s">
        <v>3474</v>
      </c>
      <c r="O1151" s="2" t="s">
        <v>3475</v>
      </c>
      <c r="P1151" s="2" t="s">
        <v>30</v>
      </c>
      <c r="Q1151" s="2" t="s">
        <v>41</v>
      </c>
      <c r="R1151" s="2" t="s">
        <v>1287</v>
      </c>
      <c r="S1151" s="2" t="s">
        <v>33</v>
      </c>
      <c r="T1151" s="2" t="s">
        <v>3476</v>
      </c>
      <c r="U1151" s="2" t="s">
        <v>292</v>
      </c>
    </row>
    <row r="1152" spans="1:112" ht="70" customHeight="1" x14ac:dyDescent="0.2">
      <c r="A1152" s="21" t="s">
        <v>3477</v>
      </c>
      <c r="B1152" s="2" t="s">
        <v>3478</v>
      </c>
      <c r="C1152" s="2" t="s">
        <v>3478</v>
      </c>
      <c r="D1152" s="1">
        <v>1</v>
      </c>
      <c r="E1152" s="2" t="s">
        <v>61</v>
      </c>
      <c r="F1152" s="2" t="s">
        <v>3473</v>
      </c>
      <c r="G1152" s="2" t="s">
        <v>3223</v>
      </c>
      <c r="H1152" s="2" t="s">
        <v>2634</v>
      </c>
      <c r="I1152" s="2" t="s">
        <v>2987</v>
      </c>
      <c r="J1152" s="2" t="s">
        <v>1284</v>
      </c>
      <c r="K1152" s="2" t="s">
        <v>1284</v>
      </c>
      <c r="L1152" s="2" t="s">
        <v>1284</v>
      </c>
      <c r="M1152" s="2" t="s">
        <v>1285</v>
      </c>
      <c r="N1152" s="2" t="s">
        <v>3479</v>
      </c>
      <c r="O1152" s="2" t="s">
        <v>3475</v>
      </c>
      <c r="P1152" s="2" t="s">
        <v>40</v>
      </c>
      <c r="Q1152" s="2" t="s">
        <v>41</v>
      </c>
      <c r="R1152" s="2" t="s">
        <v>1287</v>
      </c>
      <c r="S1152" s="2" t="s">
        <v>33</v>
      </c>
      <c r="T1152" s="2" t="s">
        <v>3480</v>
      </c>
      <c r="U1152" s="2" t="s">
        <v>3481</v>
      </c>
    </row>
    <row r="1153" spans="1:112" ht="70" customHeight="1" x14ac:dyDescent="0.2">
      <c r="A1153" s="21" t="s">
        <v>3482</v>
      </c>
      <c r="B1153" s="2" t="s">
        <v>3483</v>
      </c>
      <c r="C1153" s="2" t="s">
        <v>3483</v>
      </c>
      <c r="D1153" s="1">
        <v>1</v>
      </c>
      <c r="E1153" s="2" t="s">
        <v>61</v>
      </c>
      <c r="F1153" s="2" t="s">
        <v>3419</v>
      </c>
      <c r="G1153" s="2" t="s">
        <v>3223</v>
      </c>
      <c r="H1153" s="2" t="s">
        <v>3378</v>
      </c>
      <c r="I1153" s="2" t="s">
        <v>3484</v>
      </c>
      <c r="J1153" s="2" t="s">
        <v>1284</v>
      </c>
      <c r="K1153" s="2" t="s">
        <v>1284</v>
      </c>
      <c r="L1153" s="2" t="s">
        <v>1284</v>
      </c>
      <c r="M1153" s="2" t="s">
        <v>1285</v>
      </c>
      <c r="N1153" s="2" t="s">
        <v>3485</v>
      </c>
      <c r="O1153" s="2" t="s">
        <v>1999</v>
      </c>
      <c r="P1153" s="2" t="s">
        <v>2286</v>
      </c>
      <c r="Q1153" s="2" t="s">
        <v>30</v>
      </c>
      <c r="R1153" s="2" t="s">
        <v>1287</v>
      </c>
      <c r="S1153" s="2" t="s">
        <v>33</v>
      </c>
      <c r="T1153" s="2" t="s">
        <v>3486</v>
      </c>
      <c r="U1153" s="2" t="s">
        <v>4974</v>
      </c>
      <c r="V1153" s="2" t="s">
        <v>4975</v>
      </c>
      <c r="W1153" s="2" t="s">
        <v>4976</v>
      </c>
      <c r="X1153" s="2" t="s">
        <v>4977</v>
      </c>
      <c r="Y1153" s="2" t="s">
        <v>4978</v>
      </c>
      <c r="Z1153" s="2" t="s">
        <v>4979</v>
      </c>
    </row>
    <row r="1154" spans="1:112" ht="70" customHeight="1" x14ac:dyDescent="0.2">
      <c r="A1154" s="2" t="s">
        <v>3487</v>
      </c>
      <c r="B1154" s="2" t="s">
        <v>3488</v>
      </c>
      <c r="C1154" s="2" t="s">
        <v>3488</v>
      </c>
      <c r="D1154" s="1">
        <v>1</v>
      </c>
      <c r="E1154" s="2" t="s">
        <v>61</v>
      </c>
      <c r="F1154" s="2" t="s">
        <v>3419</v>
      </c>
      <c r="G1154" s="2" t="s">
        <v>3403</v>
      </c>
      <c r="H1154" s="2" t="s">
        <v>3489</v>
      </c>
      <c r="I1154" s="2" t="s">
        <v>3490</v>
      </c>
      <c r="J1154" s="2" t="s">
        <v>1284</v>
      </c>
      <c r="K1154" s="2" t="s">
        <v>1284</v>
      </c>
      <c r="L1154" s="2" t="s">
        <v>1284</v>
      </c>
      <c r="M1154" s="2" t="s">
        <v>1285</v>
      </c>
      <c r="N1154" s="2" t="s">
        <v>3491</v>
      </c>
      <c r="O1154" s="2" t="s">
        <v>1999</v>
      </c>
      <c r="P1154" s="2" t="s">
        <v>2564</v>
      </c>
      <c r="Q1154" s="2" t="s">
        <v>41</v>
      </c>
      <c r="R1154" s="2" t="s">
        <v>1287</v>
      </c>
      <c r="S1154" s="2" t="s">
        <v>33</v>
      </c>
      <c r="T1154" s="2" t="s">
        <v>3492</v>
      </c>
      <c r="U1154" s="2" t="s">
        <v>3493</v>
      </c>
    </row>
    <row r="1155" spans="1:112" ht="70" customHeight="1" x14ac:dyDescent="0.2">
      <c r="A1155" s="2" t="s">
        <v>3494</v>
      </c>
      <c r="B1155" s="2" t="s">
        <v>3495</v>
      </c>
      <c r="C1155" s="2" t="s">
        <v>3495</v>
      </c>
      <c r="D1155" s="1">
        <v>1</v>
      </c>
      <c r="E1155" s="2" t="s">
        <v>61</v>
      </c>
      <c r="F1155" s="2" t="s">
        <v>3496</v>
      </c>
      <c r="G1155" s="2" t="s">
        <v>3223</v>
      </c>
      <c r="H1155" s="2" t="s">
        <v>3497</v>
      </c>
      <c r="I1155" s="2" t="s">
        <v>3498</v>
      </c>
      <c r="J1155" s="2" t="s">
        <v>1284</v>
      </c>
      <c r="K1155" s="2" t="s">
        <v>1284</v>
      </c>
      <c r="L1155" s="2" t="s">
        <v>1284</v>
      </c>
      <c r="M1155" s="2" t="s">
        <v>1285</v>
      </c>
      <c r="N1155" s="2" t="s">
        <v>3499</v>
      </c>
      <c r="O1155" s="2" t="s">
        <v>1999</v>
      </c>
      <c r="P1155" s="2" t="s">
        <v>650</v>
      </c>
      <c r="Q1155" s="2" t="s">
        <v>41</v>
      </c>
      <c r="R1155" s="2" t="s">
        <v>1287</v>
      </c>
      <c r="S1155" s="2" t="s">
        <v>33</v>
      </c>
      <c r="T1155" s="2" t="s">
        <v>3500</v>
      </c>
      <c r="U1155" s="2" t="s">
        <v>3501</v>
      </c>
    </row>
    <row r="1156" spans="1:112" ht="70" customHeight="1" x14ac:dyDescent="0.2">
      <c r="A1156" s="7" t="s">
        <v>5934</v>
      </c>
      <c r="B1156" s="7" t="s">
        <v>5935</v>
      </c>
      <c r="C1156" s="2" t="s">
        <v>5935</v>
      </c>
      <c r="D1156" s="5">
        <v>1</v>
      </c>
      <c r="E1156" s="6" t="s">
        <v>61</v>
      </c>
      <c r="F1156" s="6" t="s">
        <v>6102</v>
      </c>
      <c r="G1156" s="6"/>
      <c r="H1156" s="6"/>
      <c r="I1156" s="36"/>
      <c r="J1156" s="12" t="s">
        <v>1284</v>
      </c>
      <c r="K1156" s="12" t="s">
        <v>1284</v>
      </c>
      <c r="L1156" s="12" t="s">
        <v>1284</v>
      </c>
      <c r="M1156" s="12" t="s">
        <v>1285</v>
      </c>
      <c r="N1156" s="12" t="s">
        <v>5936</v>
      </c>
      <c r="O1156" s="12" t="s">
        <v>1999</v>
      </c>
      <c r="P1156" s="12" t="s">
        <v>854</v>
      </c>
      <c r="Q1156" s="12" t="s">
        <v>41</v>
      </c>
      <c r="R1156" s="12" t="s">
        <v>1287</v>
      </c>
      <c r="S1156" s="12" t="s">
        <v>33</v>
      </c>
      <c r="T1156" s="12" t="s">
        <v>5937</v>
      </c>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c r="CA1156" s="12"/>
      <c r="CB1156" s="12"/>
      <c r="CC1156" s="12"/>
      <c r="CD1156" s="12"/>
      <c r="CE1156" s="12"/>
      <c r="CF1156" s="12"/>
      <c r="CG1156" s="12"/>
      <c r="CH1156" s="12"/>
      <c r="CI1156" s="12"/>
      <c r="CJ1156" s="12"/>
      <c r="CK1156" s="12"/>
      <c r="CL1156" s="12"/>
      <c r="CM1156" s="12"/>
      <c r="CN1156" s="12"/>
      <c r="CO1156" s="12"/>
      <c r="CP1156" s="12"/>
      <c r="CQ1156" s="12"/>
      <c r="CR1156" s="12"/>
      <c r="CS1156" s="12"/>
      <c r="CT1156" s="12"/>
      <c r="CU1156" s="12"/>
      <c r="CV1156" s="12"/>
      <c r="CW1156" s="12"/>
      <c r="CX1156" s="12"/>
      <c r="CY1156" s="12"/>
      <c r="CZ1156" s="12"/>
      <c r="DA1156" s="12"/>
      <c r="DB1156" s="12"/>
      <c r="DC1156" s="12"/>
      <c r="DD1156" s="12"/>
      <c r="DE1156" s="12"/>
      <c r="DF1156" s="12"/>
      <c r="DG1156" s="12"/>
      <c r="DH1156" s="12"/>
    </row>
    <row r="1157" spans="1:112" ht="70" customHeight="1" x14ac:dyDescent="0.2">
      <c r="A1157" s="7" t="s">
        <v>5938</v>
      </c>
      <c r="B1157" s="7" t="s">
        <v>5939</v>
      </c>
      <c r="C1157" s="2" t="s">
        <v>5939</v>
      </c>
      <c r="D1157" s="5">
        <v>1</v>
      </c>
      <c r="E1157" s="6" t="s">
        <v>61</v>
      </c>
      <c r="F1157" s="6" t="s">
        <v>6103</v>
      </c>
      <c r="G1157" s="6"/>
      <c r="H1157" s="6"/>
      <c r="I1157" s="6"/>
      <c r="J1157" s="12" t="s">
        <v>1284</v>
      </c>
      <c r="K1157" s="12" t="s">
        <v>1284</v>
      </c>
      <c r="L1157" s="12" t="s">
        <v>1284</v>
      </c>
      <c r="M1157" s="12" t="s">
        <v>1285</v>
      </c>
      <c r="N1157" s="12" t="s">
        <v>5940</v>
      </c>
      <c r="O1157" s="12" t="s">
        <v>1999</v>
      </c>
      <c r="P1157" s="12" t="s">
        <v>1153</v>
      </c>
      <c r="Q1157" s="12" t="s">
        <v>41</v>
      </c>
      <c r="R1157" s="12" t="s">
        <v>1287</v>
      </c>
      <c r="S1157" s="12" t="s">
        <v>33</v>
      </c>
      <c r="T1157" s="12" t="s">
        <v>5941</v>
      </c>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c r="CA1157" s="12"/>
      <c r="CB1157" s="12"/>
      <c r="CC1157" s="12"/>
      <c r="CD1157" s="12"/>
      <c r="CE1157" s="12"/>
      <c r="CF1157" s="12"/>
      <c r="CG1157" s="12"/>
      <c r="CH1157" s="12"/>
      <c r="CI1157" s="12"/>
      <c r="CJ1157" s="12"/>
      <c r="CK1157" s="12"/>
      <c r="CL1157" s="12"/>
      <c r="CM1157" s="12"/>
      <c r="CN1157" s="12"/>
      <c r="CO1157" s="12"/>
      <c r="CP1157" s="12"/>
      <c r="CQ1157" s="12"/>
      <c r="CR1157" s="12"/>
      <c r="CS1157" s="12"/>
      <c r="CT1157" s="12"/>
      <c r="CU1157" s="12"/>
      <c r="CV1157" s="12"/>
      <c r="CW1157" s="12"/>
      <c r="CX1157" s="12"/>
      <c r="CY1157" s="12"/>
      <c r="CZ1157" s="12"/>
      <c r="DA1157" s="12"/>
      <c r="DB1157" s="12"/>
      <c r="DC1157" s="12"/>
      <c r="DD1157" s="12"/>
      <c r="DE1157" s="12"/>
      <c r="DF1157" s="12"/>
      <c r="DG1157" s="12"/>
      <c r="DH1157" s="12"/>
    </row>
    <row r="1158" spans="1:112" ht="70" customHeight="1" x14ac:dyDescent="0.2">
      <c r="A1158" s="2" t="s">
        <v>3560</v>
      </c>
      <c r="B1158" s="2" t="s">
        <v>3561</v>
      </c>
      <c r="C1158" s="2" t="s">
        <v>3562</v>
      </c>
      <c r="D1158" s="1">
        <v>1</v>
      </c>
      <c r="E1158" s="2" t="s">
        <v>61</v>
      </c>
      <c r="F1158" s="2" t="s">
        <v>3419</v>
      </c>
      <c r="G1158" s="2" t="s">
        <v>3223</v>
      </c>
      <c r="H1158" s="2" t="s">
        <v>3563</v>
      </c>
      <c r="I1158" s="25" t="s">
        <v>3564</v>
      </c>
      <c r="J1158" s="2" t="s">
        <v>1284</v>
      </c>
      <c r="K1158" s="2" t="s">
        <v>1284</v>
      </c>
      <c r="L1158" s="2" t="s">
        <v>1284</v>
      </c>
      <c r="M1158" s="2" t="s">
        <v>1285</v>
      </c>
      <c r="N1158" s="2" t="s">
        <v>3565</v>
      </c>
      <c r="O1158" s="2" t="s">
        <v>1999</v>
      </c>
      <c r="P1158" s="2" t="s">
        <v>2399</v>
      </c>
      <c r="Q1158" s="2" t="s">
        <v>41</v>
      </c>
      <c r="R1158" s="2" t="s">
        <v>1287</v>
      </c>
      <c r="S1158" s="2" t="s">
        <v>33</v>
      </c>
      <c r="T1158" s="2" t="s">
        <v>3566</v>
      </c>
      <c r="U1158" s="2" t="s">
        <v>292</v>
      </c>
    </row>
    <row r="1159" spans="1:112" ht="70" customHeight="1" x14ac:dyDescent="0.2">
      <c r="A1159" s="7" t="s">
        <v>5942</v>
      </c>
      <c r="B1159" s="7" t="s">
        <v>5943</v>
      </c>
      <c r="C1159" s="2" t="s">
        <v>5943</v>
      </c>
      <c r="D1159" s="5">
        <v>1</v>
      </c>
      <c r="E1159" s="6" t="s">
        <v>61</v>
      </c>
      <c r="F1159" s="6" t="s">
        <v>6106</v>
      </c>
      <c r="G1159" s="6"/>
      <c r="H1159" s="6" t="s">
        <v>6104</v>
      </c>
      <c r="I1159" s="36" t="s">
        <v>6105</v>
      </c>
      <c r="J1159" s="12" t="s">
        <v>1284</v>
      </c>
      <c r="K1159" s="12" t="s">
        <v>1284</v>
      </c>
      <c r="L1159" s="12" t="s">
        <v>1284</v>
      </c>
      <c r="M1159" s="12" t="s">
        <v>1285</v>
      </c>
      <c r="N1159" s="12" t="s">
        <v>5944</v>
      </c>
      <c r="O1159" s="12" t="s">
        <v>1999</v>
      </c>
      <c r="P1159" s="12" t="s">
        <v>767</v>
      </c>
      <c r="Q1159" s="12" t="s">
        <v>41</v>
      </c>
      <c r="R1159" s="12" t="s">
        <v>1287</v>
      </c>
      <c r="S1159" s="12" t="s">
        <v>33</v>
      </c>
      <c r="T1159" s="12" t="s">
        <v>3120</v>
      </c>
      <c r="U1159" s="12" t="s">
        <v>5945</v>
      </c>
      <c r="V1159" s="12" t="s">
        <v>5945</v>
      </c>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c r="CA1159" s="12"/>
      <c r="CB1159" s="12"/>
      <c r="CC1159" s="12"/>
      <c r="CD1159" s="12"/>
      <c r="CE1159" s="12"/>
      <c r="CF1159" s="12"/>
      <c r="CG1159" s="12"/>
      <c r="CH1159" s="12"/>
      <c r="CI1159" s="12"/>
      <c r="CJ1159" s="12"/>
      <c r="CK1159" s="12"/>
      <c r="CL1159" s="12"/>
      <c r="CM1159" s="12"/>
      <c r="CN1159" s="12"/>
      <c r="CO1159" s="12"/>
      <c r="CP1159" s="12"/>
      <c r="CQ1159" s="12"/>
      <c r="CR1159" s="12"/>
      <c r="CS1159" s="12"/>
      <c r="CT1159" s="12"/>
      <c r="CU1159" s="12"/>
      <c r="CV1159" s="12"/>
      <c r="CW1159" s="12"/>
      <c r="CX1159" s="12"/>
      <c r="CY1159" s="12"/>
      <c r="CZ1159" s="12"/>
      <c r="DA1159" s="12"/>
      <c r="DB1159" s="12"/>
      <c r="DC1159" s="12"/>
      <c r="DD1159" s="12"/>
      <c r="DE1159" s="12"/>
      <c r="DF1159" s="12"/>
      <c r="DG1159" s="12"/>
      <c r="DH1159" s="12"/>
    </row>
    <row r="1160" spans="1:112" ht="70" customHeight="1" x14ac:dyDescent="0.2">
      <c r="A1160" s="2" t="s">
        <v>3567</v>
      </c>
      <c r="B1160" s="2" t="s">
        <v>3568</v>
      </c>
      <c r="C1160" s="2" t="s">
        <v>3568</v>
      </c>
      <c r="D1160" s="1">
        <v>1</v>
      </c>
      <c r="E1160" s="2" t="s">
        <v>61</v>
      </c>
      <c r="F1160" s="2" t="s">
        <v>3569</v>
      </c>
      <c r="G1160" s="2" t="s">
        <v>3223</v>
      </c>
      <c r="H1160" s="2" t="s">
        <v>3570</v>
      </c>
      <c r="J1160" s="2" t="s">
        <v>1284</v>
      </c>
      <c r="K1160" s="2" t="s">
        <v>1284</v>
      </c>
      <c r="L1160" s="2" t="s">
        <v>1284</v>
      </c>
      <c r="M1160" s="2" t="s">
        <v>1285</v>
      </c>
      <c r="N1160" s="2" t="s">
        <v>3571</v>
      </c>
      <c r="O1160" s="2" t="s">
        <v>1999</v>
      </c>
      <c r="P1160" s="2" t="s">
        <v>848</v>
      </c>
      <c r="Q1160" s="2" t="s">
        <v>41</v>
      </c>
      <c r="R1160" s="2" t="s">
        <v>1287</v>
      </c>
      <c r="S1160" s="2" t="s">
        <v>33</v>
      </c>
      <c r="T1160" s="2" t="s">
        <v>3120</v>
      </c>
      <c r="U1160" s="2" t="s">
        <v>3572</v>
      </c>
    </row>
    <row r="1161" spans="1:112" ht="70" customHeight="1" x14ac:dyDescent="0.2">
      <c r="A1161" s="7" t="s">
        <v>5946</v>
      </c>
      <c r="B1161" s="7" t="s">
        <v>5947</v>
      </c>
      <c r="C1161" s="2" t="s">
        <v>5947</v>
      </c>
      <c r="D1161" s="5">
        <v>1</v>
      </c>
      <c r="E1161" s="6" t="s">
        <v>61</v>
      </c>
      <c r="F1161" s="6"/>
      <c r="G1161" s="6" t="s">
        <v>6107</v>
      </c>
      <c r="H1161" s="6" t="s">
        <v>2614</v>
      </c>
      <c r="I1161" s="36" t="s">
        <v>6108</v>
      </c>
      <c r="J1161" s="12" t="s">
        <v>1284</v>
      </c>
      <c r="K1161" s="12" t="s">
        <v>1284</v>
      </c>
      <c r="L1161" s="12" t="s">
        <v>1284</v>
      </c>
      <c r="M1161" s="12" t="s">
        <v>1285</v>
      </c>
      <c r="N1161" s="12" t="s">
        <v>3577</v>
      </c>
      <c r="O1161" s="12" t="s">
        <v>1999</v>
      </c>
      <c r="P1161" s="12" t="s">
        <v>1094</v>
      </c>
      <c r="Q1161" s="12" t="s">
        <v>30</v>
      </c>
      <c r="R1161" s="12" t="s">
        <v>1287</v>
      </c>
      <c r="S1161" s="12" t="s">
        <v>33</v>
      </c>
      <c r="T1161" s="12" t="s">
        <v>5948</v>
      </c>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c r="CA1161" s="12"/>
      <c r="CB1161" s="12"/>
      <c r="CC1161" s="12"/>
      <c r="CD1161" s="12"/>
      <c r="CE1161" s="12"/>
      <c r="CF1161" s="12"/>
      <c r="CG1161" s="12"/>
      <c r="CH1161" s="12"/>
      <c r="CI1161" s="12"/>
      <c r="CJ1161" s="12"/>
      <c r="CK1161" s="12"/>
      <c r="CL1161" s="12"/>
      <c r="CM1161" s="12"/>
      <c r="CN1161" s="12"/>
      <c r="CO1161" s="12"/>
      <c r="CP1161" s="12"/>
      <c r="CQ1161" s="12"/>
      <c r="CR1161" s="12"/>
      <c r="CS1161" s="12"/>
      <c r="CT1161" s="12"/>
      <c r="CU1161" s="12"/>
      <c r="CV1161" s="12"/>
      <c r="CW1161" s="12"/>
      <c r="CX1161" s="12"/>
      <c r="CY1161" s="12"/>
      <c r="CZ1161" s="12"/>
      <c r="DA1161" s="12"/>
      <c r="DB1161" s="12"/>
      <c r="DC1161" s="12"/>
      <c r="DD1161" s="12"/>
      <c r="DE1161" s="12"/>
      <c r="DF1161" s="12"/>
      <c r="DG1161" s="12"/>
      <c r="DH1161" s="12"/>
    </row>
    <row r="1162" spans="1:112" ht="70" customHeight="1" x14ac:dyDescent="0.2">
      <c r="A1162" s="2" t="s">
        <v>3573</v>
      </c>
      <c r="B1162" s="2" t="s">
        <v>3574</v>
      </c>
      <c r="C1162" s="2" t="s">
        <v>3574</v>
      </c>
      <c r="D1162" s="1">
        <v>1</v>
      </c>
      <c r="E1162" s="2" t="s">
        <v>61</v>
      </c>
      <c r="F1162" s="2" t="s">
        <v>3575</v>
      </c>
      <c r="G1162" s="2" t="s">
        <v>3223</v>
      </c>
      <c r="I1162" s="25" t="s">
        <v>3576</v>
      </c>
      <c r="J1162" s="2" t="s">
        <v>1284</v>
      </c>
      <c r="K1162" s="2" t="s">
        <v>1284</v>
      </c>
      <c r="L1162" s="2" t="s">
        <v>1284</v>
      </c>
      <c r="M1162" s="2" t="s">
        <v>1285</v>
      </c>
      <c r="N1162" s="2" t="s">
        <v>3577</v>
      </c>
      <c r="O1162" s="2" t="s">
        <v>1999</v>
      </c>
      <c r="P1162" s="2" t="s">
        <v>1094</v>
      </c>
      <c r="Q1162" s="2" t="s">
        <v>2218</v>
      </c>
      <c r="R1162" s="2" t="s">
        <v>1287</v>
      </c>
      <c r="S1162" s="2" t="s">
        <v>33</v>
      </c>
      <c r="T1162" s="2" t="s">
        <v>3578</v>
      </c>
      <c r="U1162" s="2" t="s">
        <v>292</v>
      </c>
    </row>
    <row r="1163" spans="1:112" ht="70" customHeight="1" x14ac:dyDescent="0.2">
      <c r="A1163" s="2" t="s">
        <v>3579</v>
      </c>
      <c r="B1163" s="2" t="s">
        <v>3580</v>
      </c>
      <c r="C1163" s="2" t="s">
        <v>3580</v>
      </c>
      <c r="D1163" s="1">
        <v>1</v>
      </c>
      <c r="E1163" s="2" t="s">
        <v>61</v>
      </c>
      <c r="F1163" s="2" t="s">
        <v>3581</v>
      </c>
      <c r="G1163" s="2" t="s">
        <v>3223</v>
      </c>
      <c r="H1163" s="2" t="s">
        <v>3582</v>
      </c>
      <c r="I1163" s="25" t="s">
        <v>3583</v>
      </c>
      <c r="J1163" s="2" t="s">
        <v>1284</v>
      </c>
      <c r="K1163" s="2" t="s">
        <v>1284</v>
      </c>
      <c r="L1163" s="2" t="s">
        <v>1284</v>
      </c>
      <c r="M1163" s="2" t="s">
        <v>1285</v>
      </c>
      <c r="N1163" s="2" t="s">
        <v>3577</v>
      </c>
      <c r="O1163" s="2" t="s">
        <v>1999</v>
      </c>
      <c r="P1163" s="2" t="s">
        <v>1094</v>
      </c>
      <c r="Q1163" s="2" t="s">
        <v>2783</v>
      </c>
      <c r="R1163" s="2" t="s">
        <v>1287</v>
      </c>
      <c r="S1163" s="2" t="s">
        <v>33</v>
      </c>
      <c r="T1163" s="2" t="s">
        <v>3584</v>
      </c>
      <c r="U1163" s="2" t="s">
        <v>3585</v>
      </c>
    </row>
    <row r="1164" spans="1:112" ht="70" customHeight="1" x14ac:dyDescent="0.2">
      <c r="A1164" s="7" t="s">
        <v>5949</v>
      </c>
      <c r="B1164" s="7" t="s">
        <v>5950</v>
      </c>
      <c r="C1164" s="2" t="s">
        <v>5950</v>
      </c>
      <c r="D1164" s="5">
        <v>1</v>
      </c>
      <c r="E1164" s="6" t="s">
        <v>61</v>
      </c>
      <c r="F1164" s="6"/>
      <c r="G1164" s="6" t="s">
        <v>6110</v>
      </c>
      <c r="H1164" s="6" t="s">
        <v>6109</v>
      </c>
      <c r="I1164" s="36"/>
      <c r="J1164" s="12" t="s">
        <v>1284</v>
      </c>
      <c r="K1164" s="12" t="s">
        <v>1284</v>
      </c>
      <c r="L1164" s="12" t="s">
        <v>1284</v>
      </c>
      <c r="M1164" s="12" t="s">
        <v>1285</v>
      </c>
      <c r="N1164" s="12" t="s">
        <v>3577</v>
      </c>
      <c r="O1164" s="12" t="s">
        <v>1999</v>
      </c>
      <c r="P1164" s="12" t="s">
        <v>1094</v>
      </c>
      <c r="Q1164" s="12" t="s">
        <v>863</v>
      </c>
      <c r="R1164" s="12" t="s">
        <v>1287</v>
      </c>
      <c r="S1164" s="12" t="s">
        <v>33</v>
      </c>
      <c r="T1164" s="12" t="s">
        <v>5951</v>
      </c>
      <c r="U1164" s="12" t="s">
        <v>5952</v>
      </c>
      <c r="V1164" s="12" t="s">
        <v>5952</v>
      </c>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c r="CA1164" s="12"/>
      <c r="CB1164" s="12"/>
      <c r="CC1164" s="12"/>
      <c r="CD1164" s="12"/>
      <c r="CE1164" s="12"/>
      <c r="CF1164" s="12"/>
      <c r="CG1164" s="12"/>
      <c r="CH1164" s="12"/>
      <c r="CI1164" s="12"/>
      <c r="CJ1164" s="12"/>
      <c r="CK1164" s="12"/>
      <c r="CL1164" s="12"/>
      <c r="CM1164" s="12"/>
      <c r="CN1164" s="12"/>
      <c r="CO1164" s="12"/>
      <c r="CP1164" s="12"/>
      <c r="CQ1164" s="12"/>
      <c r="CR1164" s="12"/>
      <c r="CS1164" s="12"/>
      <c r="CT1164" s="12"/>
      <c r="CU1164" s="12"/>
      <c r="CV1164" s="12"/>
      <c r="CW1164" s="12"/>
      <c r="CX1164" s="12"/>
      <c r="CY1164" s="12"/>
      <c r="CZ1164" s="12"/>
      <c r="DA1164" s="12"/>
      <c r="DB1164" s="12"/>
      <c r="DC1164" s="12"/>
      <c r="DD1164" s="12"/>
      <c r="DE1164" s="12"/>
      <c r="DF1164" s="12"/>
      <c r="DG1164" s="12"/>
      <c r="DH1164" s="12"/>
    </row>
    <row r="1165" spans="1:112" ht="70" customHeight="1" x14ac:dyDescent="0.2">
      <c r="A1165" s="7" t="s">
        <v>5956</v>
      </c>
      <c r="B1165" s="7" t="s">
        <v>5957</v>
      </c>
      <c r="C1165" s="2" t="s">
        <v>5957</v>
      </c>
      <c r="D1165" s="5">
        <v>1</v>
      </c>
      <c r="E1165" s="6" t="s">
        <v>61</v>
      </c>
      <c r="F1165" s="6"/>
      <c r="G1165" s="6" t="s">
        <v>6110</v>
      </c>
      <c r="H1165" s="6" t="s">
        <v>6109</v>
      </c>
      <c r="I1165" s="36"/>
      <c r="J1165" s="12" t="s">
        <v>1284</v>
      </c>
      <c r="K1165" s="12" t="s">
        <v>1284</v>
      </c>
      <c r="L1165" s="12" t="s">
        <v>1284</v>
      </c>
      <c r="M1165" s="12" t="s">
        <v>1285</v>
      </c>
      <c r="N1165" s="12" t="s">
        <v>3577</v>
      </c>
      <c r="O1165" s="12" t="s">
        <v>1999</v>
      </c>
      <c r="P1165" s="12" t="s">
        <v>1094</v>
      </c>
      <c r="Q1165" s="12" t="s">
        <v>1827</v>
      </c>
      <c r="R1165" s="12" t="s">
        <v>1287</v>
      </c>
      <c r="S1165" s="12" t="s">
        <v>33</v>
      </c>
      <c r="T1165" s="12" t="s">
        <v>5958</v>
      </c>
      <c r="U1165" s="12" t="s">
        <v>5959</v>
      </c>
      <c r="V1165" s="12" t="s">
        <v>5959</v>
      </c>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c r="CA1165" s="12"/>
      <c r="CB1165" s="12"/>
      <c r="CC1165" s="12"/>
      <c r="CD1165" s="12"/>
      <c r="CE1165" s="12"/>
      <c r="CF1165" s="12"/>
      <c r="CG1165" s="12"/>
      <c r="CH1165" s="12"/>
      <c r="CI1165" s="12"/>
      <c r="CJ1165" s="12"/>
      <c r="CK1165" s="12"/>
      <c r="CL1165" s="12"/>
      <c r="CM1165" s="12"/>
      <c r="CN1165" s="12"/>
      <c r="CO1165" s="12"/>
      <c r="CP1165" s="12"/>
      <c r="CQ1165" s="12"/>
      <c r="CR1165" s="12"/>
      <c r="CS1165" s="12"/>
      <c r="CT1165" s="12"/>
      <c r="CU1165" s="12"/>
      <c r="CV1165" s="12"/>
      <c r="CW1165" s="12"/>
      <c r="CX1165" s="12"/>
      <c r="CY1165" s="12"/>
      <c r="CZ1165" s="12"/>
      <c r="DA1165" s="12"/>
      <c r="DB1165" s="12"/>
      <c r="DC1165" s="12"/>
      <c r="DD1165" s="12"/>
      <c r="DE1165" s="12"/>
      <c r="DF1165" s="12"/>
      <c r="DG1165" s="12"/>
      <c r="DH1165" s="12"/>
    </row>
    <row r="1166" spans="1:112" ht="70" customHeight="1" x14ac:dyDescent="0.2">
      <c r="A1166" s="2" t="s">
        <v>3586</v>
      </c>
      <c r="B1166" s="2" t="s">
        <v>3587</v>
      </c>
      <c r="C1166" s="2" t="s">
        <v>3587</v>
      </c>
      <c r="D1166" s="1">
        <v>1</v>
      </c>
      <c r="E1166" s="2" t="s">
        <v>61</v>
      </c>
      <c r="F1166" s="2" t="s">
        <v>3581</v>
      </c>
      <c r="G1166" s="2" t="s">
        <v>3223</v>
      </c>
      <c r="H1166" s="2" t="s">
        <v>3364</v>
      </c>
      <c r="I1166" s="25" t="s">
        <v>3588</v>
      </c>
      <c r="J1166" s="2" t="s">
        <v>1284</v>
      </c>
      <c r="K1166" s="2" t="s">
        <v>1284</v>
      </c>
      <c r="L1166" s="2" t="s">
        <v>1284</v>
      </c>
      <c r="M1166" s="2" t="s">
        <v>1285</v>
      </c>
      <c r="N1166" s="2" t="s">
        <v>3577</v>
      </c>
      <c r="O1166" s="2" t="s">
        <v>1999</v>
      </c>
      <c r="P1166" s="2" t="s">
        <v>1094</v>
      </c>
      <c r="Q1166" s="2" t="s">
        <v>819</v>
      </c>
      <c r="R1166" s="2" t="s">
        <v>1287</v>
      </c>
      <c r="S1166" s="2" t="s">
        <v>33</v>
      </c>
      <c r="T1166" s="2" t="s">
        <v>3589</v>
      </c>
      <c r="U1166" s="2" t="s">
        <v>3590</v>
      </c>
    </row>
    <row r="1167" spans="1:112" ht="70" customHeight="1" x14ac:dyDescent="0.2">
      <c r="A1167" s="7" t="s">
        <v>5965</v>
      </c>
      <c r="B1167" s="7" t="s">
        <v>5966</v>
      </c>
      <c r="C1167" s="2" t="s">
        <v>5966</v>
      </c>
      <c r="D1167" s="5">
        <v>1</v>
      </c>
      <c r="E1167" s="6" t="s">
        <v>61</v>
      </c>
      <c r="F1167" s="6" t="s">
        <v>6112</v>
      </c>
      <c r="G1167" s="6"/>
      <c r="H1167" s="6"/>
      <c r="I1167" s="6"/>
      <c r="J1167" s="12" t="s">
        <v>1284</v>
      </c>
      <c r="K1167" s="12" t="s">
        <v>1284</v>
      </c>
      <c r="L1167" s="12" t="s">
        <v>1284</v>
      </c>
      <c r="M1167" s="12" t="s">
        <v>1285</v>
      </c>
      <c r="N1167" s="12" t="s">
        <v>5967</v>
      </c>
      <c r="O1167" s="12" t="s">
        <v>1394</v>
      </c>
      <c r="P1167" s="12" t="s">
        <v>792</v>
      </c>
      <c r="Q1167" s="12" t="s">
        <v>41</v>
      </c>
      <c r="R1167" s="12" t="s">
        <v>1287</v>
      </c>
      <c r="S1167" s="12" t="s">
        <v>33</v>
      </c>
      <c r="T1167" s="12" t="s">
        <v>5968</v>
      </c>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c r="CA1167" s="12"/>
      <c r="CB1167" s="12"/>
      <c r="CC1167" s="12"/>
      <c r="CD1167" s="12"/>
      <c r="CE1167" s="12"/>
      <c r="CF1167" s="12"/>
      <c r="CG1167" s="12"/>
      <c r="CH1167" s="12"/>
      <c r="CI1167" s="12"/>
      <c r="CJ1167" s="12"/>
      <c r="CK1167" s="12"/>
      <c r="CL1167" s="12"/>
      <c r="CM1167" s="12"/>
      <c r="CN1167" s="12"/>
      <c r="CO1167" s="12"/>
      <c r="CP1167" s="12"/>
      <c r="CQ1167" s="12"/>
      <c r="CR1167" s="12"/>
      <c r="CS1167" s="12"/>
      <c r="CT1167" s="12"/>
      <c r="CU1167" s="12"/>
      <c r="CV1167" s="12"/>
      <c r="CW1167" s="12"/>
      <c r="CX1167" s="12"/>
      <c r="CY1167" s="12"/>
      <c r="CZ1167" s="12"/>
      <c r="DA1167" s="12"/>
      <c r="DB1167" s="12"/>
      <c r="DC1167" s="12"/>
      <c r="DD1167" s="12"/>
      <c r="DE1167" s="12"/>
      <c r="DF1167" s="12"/>
      <c r="DG1167" s="12"/>
      <c r="DH1167" s="12"/>
    </row>
    <row r="1168" spans="1:112" ht="70" customHeight="1" x14ac:dyDescent="0.2">
      <c r="A1168" s="7" t="s">
        <v>5969</v>
      </c>
      <c r="B1168" s="7" t="s">
        <v>5970</v>
      </c>
      <c r="C1168" s="2" t="s">
        <v>5970</v>
      </c>
      <c r="D1168" s="5">
        <v>1</v>
      </c>
      <c r="E1168" s="6" t="s">
        <v>61</v>
      </c>
      <c r="F1168" s="6" t="s">
        <v>6112</v>
      </c>
      <c r="G1168" s="6"/>
      <c r="H1168" s="6"/>
      <c r="I1168" s="36"/>
      <c r="J1168" s="12" t="s">
        <v>1284</v>
      </c>
      <c r="K1168" s="12" t="s">
        <v>1284</v>
      </c>
      <c r="L1168" s="12" t="s">
        <v>1284</v>
      </c>
      <c r="M1168" s="12" t="s">
        <v>1285</v>
      </c>
      <c r="N1168" s="12" t="s">
        <v>5971</v>
      </c>
      <c r="O1168" s="12" t="s">
        <v>1394</v>
      </c>
      <c r="P1168" s="12" t="s">
        <v>93</v>
      </c>
      <c r="Q1168" s="12" t="s">
        <v>41</v>
      </c>
      <c r="R1168" s="12" t="s">
        <v>1287</v>
      </c>
      <c r="S1168" s="12" t="s">
        <v>33</v>
      </c>
      <c r="T1168" s="12" t="s">
        <v>5972</v>
      </c>
      <c r="U1168" s="12" t="s">
        <v>5973</v>
      </c>
      <c r="V1168" s="12" t="s">
        <v>5973</v>
      </c>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c r="CA1168" s="12"/>
      <c r="CB1168" s="12"/>
      <c r="CC1168" s="12"/>
      <c r="CD1168" s="12"/>
      <c r="CE1168" s="12"/>
      <c r="CF1168" s="12"/>
      <c r="CG1168" s="12"/>
      <c r="CH1168" s="12"/>
      <c r="CI1168" s="12"/>
      <c r="CJ1168" s="12"/>
      <c r="CK1168" s="12"/>
      <c r="CL1168" s="12"/>
      <c r="CM1168" s="12"/>
      <c r="CN1168" s="12"/>
      <c r="CO1168" s="12"/>
      <c r="CP1168" s="12"/>
      <c r="CQ1168" s="12"/>
      <c r="CR1168" s="12"/>
      <c r="CS1168" s="12"/>
      <c r="CT1168" s="12"/>
      <c r="CU1168" s="12"/>
      <c r="CV1168" s="12"/>
      <c r="CW1168" s="12"/>
      <c r="CX1168" s="12"/>
      <c r="CY1168" s="12"/>
      <c r="CZ1168" s="12"/>
      <c r="DA1168" s="12"/>
      <c r="DB1168" s="12"/>
      <c r="DC1168" s="12"/>
      <c r="DD1168" s="12"/>
      <c r="DE1168" s="12"/>
      <c r="DF1168" s="12"/>
      <c r="DG1168" s="12"/>
      <c r="DH1168" s="12"/>
    </row>
    <row r="1169" spans="1:112" ht="70" customHeight="1" x14ac:dyDescent="0.2">
      <c r="A1169" s="2" t="s">
        <v>3591</v>
      </c>
      <c r="B1169" s="2" t="s">
        <v>3592</v>
      </c>
      <c r="C1169" s="2" t="s">
        <v>3592</v>
      </c>
      <c r="D1169" s="1">
        <v>1</v>
      </c>
      <c r="E1169" s="2" t="s">
        <v>61</v>
      </c>
      <c r="F1169" s="2" t="s">
        <v>3496</v>
      </c>
      <c r="G1169" s="2" t="s">
        <v>3223</v>
      </c>
      <c r="H1169" s="2" t="s">
        <v>3593</v>
      </c>
      <c r="I1169" s="25" t="s">
        <v>3594</v>
      </c>
      <c r="J1169" s="2" t="s">
        <v>1284</v>
      </c>
      <c r="K1169" s="2" t="s">
        <v>1284</v>
      </c>
      <c r="L1169" s="2" t="s">
        <v>1284</v>
      </c>
      <c r="M1169" s="2" t="s">
        <v>1285</v>
      </c>
      <c r="N1169" s="2" t="s">
        <v>3595</v>
      </c>
      <c r="O1169" s="2" t="s">
        <v>1394</v>
      </c>
      <c r="P1169" s="2" t="s">
        <v>825</v>
      </c>
      <c r="Q1169" s="2" t="s">
        <v>41</v>
      </c>
      <c r="R1169" s="2" t="s">
        <v>1287</v>
      </c>
      <c r="S1169" s="2" t="s">
        <v>33</v>
      </c>
      <c r="T1169" s="2" t="s">
        <v>3596</v>
      </c>
      <c r="U1169" s="2" t="s">
        <v>4980</v>
      </c>
      <c r="V1169" s="2" t="s">
        <v>4981</v>
      </c>
    </row>
    <row r="1170" spans="1:112" ht="70" customHeight="1" x14ac:dyDescent="0.2">
      <c r="A1170" s="7" t="s">
        <v>5978</v>
      </c>
      <c r="B1170" s="7" t="s">
        <v>5979</v>
      </c>
      <c r="C1170" s="2" t="s">
        <v>5979</v>
      </c>
      <c r="D1170" s="5">
        <v>1</v>
      </c>
      <c r="E1170" s="6" t="s">
        <v>61</v>
      </c>
      <c r="F1170" s="6" t="s">
        <v>6112</v>
      </c>
      <c r="G1170" s="6"/>
      <c r="H1170" s="6"/>
      <c r="I1170" s="36"/>
      <c r="J1170" s="12" t="s">
        <v>1284</v>
      </c>
      <c r="K1170" s="12" t="s">
        <v>1284</v>
      </c>
      <c r="L1170" s="12" t="s">
        <v>1284</v>
      </c>
      <c r="M1170" s="12" t="s">
        <v>1285</v>
      </c>
      <c r="N1170" s="12" t="s">
        <v>5980</v>
      </c>
      <c r="O1170" s="12" t="s">
        <v>1394</v>
      </c>
      <c r="P1170" s="12" t="s">
        <v>183</v>
      </c>
      <c r="Q1170" s="12" t="s">
        <v>30</v>
      </c>
      <c r="R1170" s="12" t="s">
        <v>1287</v>
      </c>
      <c r="S1170" s="12" t="s">
        <v>33</v>
      </c>
      <c r="T1170" s="12" t="s">
        <v>5981</v>
      </c>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c r="CA1170" s="12"/>
      <c r="CB1170" s="12"/>
      <c r="CC1170" s="12"/>
      <c r="CD1170" s="12"/>
      <c r="CE1170" s="12"/>
      <c r="CF1170" s="12"/>
      <c r="CG1170" s="12"/>
      <c r="CH1170" s="12"/>
      <c r="CI1170" s="12"/>
      <c r="CJ1170" s="12"/>
      <c r="CK1170" s="12"/>
      <c r="CL1170" s="12"/>
      <c r="CM1170" s="12"/>
      <c r="CN1170" s="12"/>
      <c r="CO1170" s="12"/>
      <c r="CP1170" s="12"/>
      <c r="CQ1170" s="12"/>
      <c r="CR1170" s="12"/>
      <c r="CS1170" s="12"/>
      <c r="CT1170" s="12"/>
      <c r="CU1170" s="12"/>
      <c r="CV1170" s="12"/>
      <c r="CW1170" s="12"/>
      <c r="CX1170" s="12"/>
      <c r="CY1170" s="12"/>
      <c r="CZ1170" s="12"/>
      <c r="DA1170" s="12"/>
      <c r="DB1170" s="12"/>
      <c r="DC1170" s="12"/>
      <c r="DD1170" s="12"/>
      <c r="DE1170" s="12"/>
      <c r="DF1170" s="12"/>
      <c r="DG1170" s="12"/>
      <c r="DH1170" s="12"/>
    </row>
    <row r="1171" spans="1:112" ht="70" customHeight="1" x14ac:dyDescent="0.2">
      <c r="A1171" s="7" t="s">
        <v>5992</v>
      </c>
      <c r="B1171" s="7" t="s">
        <v>5993</v>
      </c>
      <c r="C1171" s="2" t="s">
        <v>5993</v>
      </c>
      <c r="D1171" s="5">
        <v>1</v>
      </c>
      <c r="E1171" s="6" t="s">
        <v>61</v>
      </c>
      <c r="F1171" s="6" t="s">
        <v>6112</v>
      </c>
      <c r="G1171" s="6"/>
      <c r="H1171" s="6"/>
      <c r="I1171" s="36"/>
      <c r="J1171" s="12" t="s">
        <v>1284</v>
      </c>
      <c r="K1171" s="12" t="s">
        <v>1284</v>
      </c>
      <c r="L1171" s="12" t="s">
        <v>1284</v>
      </c>
      <c r="M1171" s="12" t="s">
        <v>1285</v>
      </c>
      <c r="N1171" s="12" t="s">
        <v>5994</v>
      </c>
      <c r="O1171" s="12" t="s">
        <v>5995</v>
      </c>
      <c r="P1171" s="12" t="s">
        <v>30</v>
      </c>
      <c r="Q1171" s="12" t="s">
        <v>41</v>
      </c>
      <c r="R1171" s="12" t="s">
        <v>1287</v>
      </c>
      <c r="S1171" s="12" t="s">
        <v>33</v>
      </c>
      <c r="T1171" s="12" t="s">
        <v>5996</v>
      </c>
      <c r="U1171" s="12" t="s">
        <v>5997</v>
      </c>
      <c r="V1171" s="12" t="s">
        <v>5997</v>
      </c>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c r="CA1171" s="12"/>
      <c r="CB1171" s="12"/>
      <c r="CC1171" s="12"/>
      <c r="CD1171" s="12"/>
      <c r="CE1171" s="12"/>
      <c r="CF1171" s="12"/>
      <c r="CG1171" s="12"/>
      <c r="CH1171" s="12"/>
      <c r="CI1171" s="12"/>
      <c r="CJ1171" s="12"/>
      <c r="CK1171" s="12"/>
      <c r="CL1171" s="12"/>
      <c r="CM1171" s="12"/>
      <c r="CN1171" s="12"/>
      <c r="CO1171" s="12"/>
      <c r="CP1171" s="12"/>
      <c r="CQ1171" s="12"/>
      <c r="CR1171" s="12"/>
      <c r="CS1171" s="12"/>
      <c r="CT1171" s="12"/>
      <c r="CU1171" s="12"/>
      <c r="CV1171" s="12"/>
      <c r="CW1171" s="12"/>
      <c r="CX1171" s="12"/>
      <c r="CY1171" s="12"/>
      <c r="CZ1171" s="12"/>
      <c r="DA1171" s="12"/>
      <c r="DB1171" s="12"/>
      <c r="DC1171" s="12"/>
      <c r="DD1171" s="12"/>
      <c r="DE1171" s="12"/>
      <c r="DF1171" s="12"/>
      <c r="DG1171" s="12"/>
      <c r="DH1171" s="12"/>
    </row>
    <row r="1172" spans="1:112" ht="70" customHeight="1" x14ac:dyDescent="0.2">
      <c r="A1172" s="2" t="s">
        <v>3597</v>
      </c>
      <c r="B1172" s="2" t="s">
        <v>3598</v>
      </c>
      <c r="C1172" s="2" t="s">
        <v>3598</v>
      </c>
      <c r="D1172" s="1">
        <v>1</v>
      </c>
      <c r="E1172" s="2" t="s">
        <v>23</v>
      </c>
      <c r="F1172" s="2" t="s">
        <v>6674</v>
      </c>
      <c r="G1172" s="2" t="s">
        <v>3223</v>
      </c>
      <c r="H1172" s="2" t="s">
        <v>2668</v>
      </c>
      <c r="I1172" s="33" t="s">
        <v>6673</v>
      </c>
      <c r="J1172" s="2" t="s">
        <v>1284</v>
      </c>
      <c r="K1172" s="2" t="s">
        <v>1284</v>
      </c>
      <c r="L1172" s="2" t="s">
        <v>1284</v>
      </c>
      <c r="M1172" s="2" t="s">
        <v>1285</v>
      </c>
      <c r="N1172" s="2" t="s">
        <v>3599</v>
      </c>
      <c r="O1172" s="2" t="s">
        <v>3165</v>
      </c>
      <c r="P1172" s="2" t="s">
        <v>30</v>
      </c>
      <c r="Q1172" s="2" t="s">
        <v>41</v>
      </c>
      <c r="R1172" s="2" t="s">
        <v>1287</v>
      </c>
      <c r="S1172" s="2" t="s">
        <v>33</v>
      </c>
      <c r="T1172" s="2" t="s">
        <v>2495</v>
      </c>
      <c r="U1172" s="2" t="s">
        <v>4982</v>
      </c>
      <c r="V1172" s="2" t="s">
        <v>4983</v>
      </c>
      <c r="W1172" s="2" t="s">
        <v>4984</v>
      </c>
      <c r="X1172" s="2" t="s">
        <v>4985</v>
      </c>
      <c r="Y1172" s="2" t="s">
        <v>4986</v>
      </c>
    </row>
    <row r="1173" spans="1:112" ht="70" customHeight="1" x14ac:dyDescent="0.2">
      <c r="A1173" s="2" t="s">
        <v>3600</v>
      </c>
      <c r="B1173" s="2" t="s">
        <v>3601</v>
      </c>
      <c r="C1173" s="2" t="s">
        <v>3601</v>
      </c>
      <c r="D1173" s="1">
        <v>1</v>
      </c>
      <c r="E1173" s="2" t="s">
        <v>23</v>
      </c>
      <c r="G1173" s="2" t="s">
        <v>3602</v>
      </c>
      <c r="I1173" s="2" t="s">
        <v>3113</v>
      </c>
      <c r="J1173" s="2" t="s">
        <v>1284</v>
      </c>
      <c r="K1173" s="2" t="s">
        <v>1284</v>
      </c>
      <c r="L1173" s="2" t="s">
        <v>1284</v>
      </c>
      <c r="M1173" s="2" t="s">
        <v>1285</v>
      </c>
      <c r="N1173" s="2" t="s">
        <v>3603</v>
      </c>
      <c r="O1173" s="2" t="s">
        <v>3165</v>
      </c>
      <c r="P1173" s="2" t="s">
        <v>52</v>
      </c>
      <c r="Q1173" s="2" t="s">
        <v>41</v>
      </c>
      <c r="R1173" s="2" t="s">
        <v>1287</v>
      </c>
      <c r="S1173" s="2" t="s">
        <v>33</v>
      </c>
      <c r="T1173" s="2" t="s">
        <v>3604</v>
      </c>
      <c r="U1173" s="2" t="s">
        <v>3605</v>
      </c>
    </row>
    <row r="1174" spans="1:112" ht="70" customHeight="1" x14ac:dyDescent="0.2">
      <c r="A1174" s="2" t="s">
        <v>3606</v>
      </c>
      <c r="B1174" s="2" t="s">
        <v>3607</v>
      </c>
      <c r="C1174" s="2" t="s">
        <v>3608</v>
      </c>
      <c r="D1174" s="1">
        <v>1</v>
      </c>
      <c r="E1174" s="2" t="s">
        <v>1459</v>
      </c>
      <c r="G1174" s="2" t="s">
        <v>3609</v>
      </c>
      <c r="H1174" s="2" t="s">
        <v>3610</v>
      </c>
      <c r="I1174" s="25" t="s">
        <v>2664</v>
      </c>
      <c r="J1174" s="2" t="s">
        <v>1284</v>
      </c>
      <c r="K1174" s="2" t="s">
        <v>1284</v>
      </c>
      <c r="L1174" s="2" t="s">
        <v>1284</v>
      </c>
      <c r="M1174" s="2" t="s">
        <v>1285</v>
      </c>
      <c r="N1174" s="2" t="s">
        <v>3611</v>
      </c>
      <c r="O1174" s="2" t="s">
        <v>2494</v>
      </c>
      <c r="P1174" s="2" t="s">
        <v>40</v>
      </c>
      <c r="Q1174" s="2" t="s">
        <v>41</v>
      </c>
      <c r="R1174" s="2" t="s">
        <v>1287</v>
      </c>
      <c r="S1174" s="2" t="s">
        <v>33</v>
      </c>
      <c r="T1174" s="2" t="s">
        <v>3612</v>
      </c>
      <c r="U1174" s="2" t="s">
        <v>4987</v>
      </c>
      <c r="V1174" s="2" t="s">
        <v>4988</v>
      </c>
      <c r="W1174" s="2" t="s">
        <v>4989</v>
      </c>
      <c r="X1174" s="2" t="s">
        <v>4990</v>
      </c>
      <c r="Y1174" s="2" t="s">
        <v>4991</v>
      </c>
      <c r="Z1174" s="2" t="s">
        <v>4992</v>
      </c>
      <c r="AA1174" s="2" t="s">
        <v>4993</v>
      </c>
      <c r="AB1174" s="2" t="s">
        <v>4994</v>
      </c>
    </row>
    <row r="1175" spans="1:112" ht="70" customHeight="1" x14ac:dyDescent="0.2">
      <c r="A1175" s="2" t="s">
        <v>3613</v>
      </c>
      <c r="B1175" s="2" t="s">
        <v>3614</v>
      </c>
      <c r="C1175" s="2" t="s">
        <v>3614</v>
      </c>
      <c r="D1175" s="1">
        <v>1</v>
      </c>
      <c r="E1175" s="2" t="s">
        <v>23</v>
      </c>
      <c r="G1175" s="2" t="s">
        <v>3615</v>
      </c>
      <c r="I1175" s="2" t="s">
        <v>3616</v>
      </c>
      <c r="J1175" s="2" t="s">
        <v>1284</v>
      </c>
      <c r="K1175" s="2" t="s">
        <v>1284</v>
      </c>
      <c r="L1175" s="2" t="s">
        <v>1284</v>
      </c>
      <c r="M1175" s="2" t="s">
        <v>1285</v>
      </c>
      <c r="N1175" s="2" t="s">
        <v>3617</v>
      </c>
      <c r="O1175" s="2" t="s">
        <v>2671</v>
      </c>
      <c r="P1175" s="2" t="s">
        <v>52</v>
      </c>
      <c r="Q1175" s="2" t="s">
        <v>41</v>
      </c>
      <c r="R1175" s="2" t="s">
        <v>1287</v>
      </c>
      <c r="S1175" s="2" t="s">
        <v>33</v>
      </c>
      <c r="T1175" s="2" t="s">
        <v>3618</v>
      </c>
      <c r="U1175" s="2" t="s">
        <v>3619</v>
      </c>
    </row>
    <row r="1176" spans="1:112" ht="70" customHeight="1" x14ac:dyDescent="0.2">
      <c r="A1176" s="2" t="s">
        <v>3620</v>
      </c>
      <c r="B1176" s="2" t="s">
        <v>3621</v>
      </c>
      <c r="C1176" s="2" t="s">
        <v>3621</v>
      </c>
      <c r="D1176" s="1">
        <v>1</v>
      </c>
      <c r="E1176" s="2" t="s">
        <v>23</v>
      </c>
      <c r="G1176" s="2" t="s">
        <v>3223</v>
      </c>
      <c r="I1176" s="2" t="s">
        <v>3622</v>
      </c>
      <c r="J1176" s="2" t="s">
        <v>1284</v>
      </c>
      <c r="K1176" s="2" t="s">
        <v>1284</v>
      </c>
      <c r="L1176" s="2" t="s">
        <v>1284</v>
      </c>
      <c r="M1176" s="2" t="s">
        <v>1285</v>
      </c>
      <c r="N1176" s="2" t="s">
        <v>3623</v>
      </c>
      <c r="O1176" s="2" t="s">
        <v>2671</v>
      </c>
      <c r="P1176" s="2" t="s">
        <v>843</v>
      </c>
      <c r="Q1176" s="2" t="s">
        <v>30</v>
      </c>
      <c r="R1176" s="2" t="s">
        <v>1287</v>
      </c>
      <c r="S1176" s="2" t="s">
        <v>33</v>
      </c>
      <c r="T1176" s="2" t="s">
        <v>2495</v>
      </c>
      <c r="U1176" s="2" t="s">
        <v>4995</v>
      </c>
      <c r="V1176" s="2" t="s">
        <v>4996</v>
      </c>
    </row>
    <row r="1177" spans="1:112" ht="70" customHeight="1" x14ac:dyDescent="0.2">
      <c r="A1177" s="7" t="s">
        <v>6002</v>
      </c>
      <c r="B1177" s="7" t="s">
        <v>6003</v>
      </c>
      <c r="C1177" s="2" t="s">
        <v>6003</v>
      </c>
      <c r="D1177" s="5">
        <v>1</v>
      </c>
      <c r="E1177" s="6" t="s">
        <v>61</v>
      </c>
      <c r="F1177" s="6" t="s">
        <v>6117</v>
      </c>
      <c r="G1177" s="6"/>
      <c r="H1177" s="6" t="s">
        <v>6116</v>
      </c>
      <c r="I1177" s="6"/>
      <c r="J1177" s="12" t="s">
        <v>1284</v>
      </c>
      <c r="K1177" s="12" t="s">
        <v>1284</v>
      </c>
      <c r="L1177" s="12" t="s">
        <v>1284</v>
      </c>
      <c r="M1177" s="12" t="s">
        <v>1285</v>
      </c>
      <c r="N1177" s="12" t="s">
        <v>3623</v>
      </c>
      <c r="O1177" s="12" t="s">
        <v>2671</v>
      </c>
      <c r="P1177" s="12" t="s">
        <v>843</v>
      </c>
      <c r="Q1177" s="12" t="s">
        <v>93</v>
      </c>
      <c r="R1177" s="12" t="s">
        <v>1287</v>
      </c>
      <c r="S1177" s="12" t="s">
        <v>33</v>
      </c>
      <c r="T1177" s="12" t="s">
        <v>2495</v>
      </c>
      <c r="U1177" s="12" t="s">
        <v>6004</v>
      </c>
      <c r="V1177" s="12" t="s">
        <v>6004</v>
      </c>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c r="CA1177" s="12"/>
      <c r="CB1177" s="12"/>
      <c r="CC1177" s="12"/>
      <c r="CD1177" s="12"/>
      <c r="CE1177" s="12"/>
      <c r="CF1177" s="12"/>
      <c r="CG1177" s="12"/>
      <c r="CH1177" s="12"/>
      <c r="CI1177" s="12"/>
      <c r="CJ1177" s="12"/>
      <c r="CK1177" s="12"/>
      <c r="CL1177" s="12"/>
      <c r="CM1177" s="12"/>
      <c r="CN1177" s="12"/>
      <c r="CO1177" s="12"/>
      <c r="CP1177" s="12"/>
      <c r="CQ1177" s="12"/>
      <c r="CR1177" s="12"/>
      <c r="CS1177" s="12"/>
      <c r="CT1177" s="12"/>
      <c r="CU1177" s="12"/>
      <c r="CV1177" s="12"/>
      <c r="CW1177" s="12"/>
      <c r="CX1177" s="12"/>
      <c r="CY1177" s="12"/>
      <c r="CZ1177" s="12"/>
      <c r="DA1177" s="12"/>
      <c r="DB1177" s="12"/>
      <c r="DC1177" s="12"/>
      <c r="DD1177" s="12"/>
      <c r="DE1177" s="12"/>
      <c r="DF1177" s="12"/>
      <c r="DG1177" s="12"/>
      <c r="DH1177" s="12"/>
    </row>
    <row r="1178" spans="1:112" ht="70" customHeight="1" x14ac:dyDescent="0.2">
      <c r="A1178" s="2" t="s">
        <v>3624</v>
      </c>
      <c r="B1178" s="2" t="s">
        <v>3625</v>
      </c>
      <c r="C1178" s="2" t="s">
        <v>3625</v>
      </c>
      <c r="D1178" s="1">
        <v>1</v>
      </c>
      <c r="E1178" s="2" t="s">
        <v>23</v>
      </c>
      <c r="G1178" s="2" t="s">
        <v>3223</v>
      </c>
      <c r="I1178" s="2" t="s">
        <v>3622</v>
      </c>
      <c r="J1178" s="2" t="s">
        <v>1284</v>
      </c>
      <c r="K1178" s="2" t="s">
        <v>1284</v>
      </c>
      <c r="L1178" s="2" t="s">
        <v>1284</v>
      </c>
      <c r="M1178" s="2" t="s">
        <v>1285</v>
      </c>
      <c r="N1178" s="2" t="s">
        <v>3623</v>
      </c>
      <c r="O1178" s="2" t="s">
        <v>2671</v>
      </c>
      <c r="P1178" s="2" t="s">
        <v>843</v>
      </c>
      <c r="Q1178" s="2" t="s">
        <v>913</v>
      </c>
      <c r="R1178" s="2" t="s">
        <v>1287</v>
      </c>
      <c r="S1178" s="2" t="s">
        <v>33</v>
      </c>
      <c r="T1178" s="2" t="s">
        <v>2495</v>
      </c>
      <c r="U1178" s="2" t="s">
        <v>3626</v>
      </c>
    </row>
    <row r="1179" spans="1:112" ht="153" x14ac:dyDescent="0.2">
      <c r="A1179" s="2" t="s">
        <v>3627</v>
      </c>
      <c r="B1179" s="2" t="s">
        <v>3628</v>
      </c>
      <c r="C1179" s="2" t="s">
        <v>3628</v>
      </c>
      <c r="D1179" s="1">
        <v>1</v>
      </c>
      <c r="E1179" s="2" t="s">
        <v>61</v>
      </c>
      <c r="F1179" s="2" t="s">
        <v>3629</v>
      </c>
      <c r="G1179" s="2" t="s">
        <v>3223</v>
      </c>
      <c r="I1179" s="2" t="s">
        <v>3630</v>
      </c>
      <c r="J1179" s="2" t="s">
        <v>1284</v>
      </c>
      <c r="K1179" s="2" t="s">
        <v>1284</v>
      </c>
      <c r="L1179" s="2" t="s">
        <v>1284</v>
      </c>
      <c r="M1179" s="2" t="s">
        <v>1285</v>
      </c>
      <c r="N1179" s="2" t="s">
        <v>3185</v>
      </c>
      <c r="O1179" s="2" t="s">
        <v>3186</v>
      </c>
      <c r="P1179" s="2" t="s">
        <v>843</v>
      </c>
      <c r="Q1179" s="2" t="s">
        <v>177</v>
      </c>
      <c r="R1179" s="2" t="s">
        <v>1287</v>
      </c>
      <c r="S1179" s="2" t="s">
        <v>33</v>
      </c>
      <c r="T1179" s="2" t="s">
        <v>3631</v>
      </c>
      <c r="U1179" s="2" t="s">
        <v>292</v>
      </c>
    </row>
    <row r="1180" spans="1:112" ht="153" x14ac:dyDescent="0.2">
      <c r="A1180" s="2" t="s">
        <v>3632</v>
      </c>
      <c r="B1180" s="2" t="s">
        <v>3633</v>
      </c>
      <c r="C1180" s="2" t="s">
        <v>3633</v>
      </c>
      <c r="D1180" s="1">
        <v>1</v>
      </c>
      <c r="E1180" s="2" t="s">
        <v>23</v>
      </c>
      <c r="G1180" s="2" t="s">
        <v>3223</v>
      </c>
      <c r="I1180" s="2" t="s">
        <v>3630</v>
      </c>
      <c r="J1180" s="2" t="s">
        <v>1284</v>
      </c>
      <c r="K1180" s="2" t="s">
        <v>1284</v>
      </c>
      <c r="L1180" s="2" t="s">
        <v>1284</v>
      </c>
      <c r="M1180" s="2" t="s">
        <v>1285</v>
      </c>
      <c r="N1180" s="2" t="s">
        <v>3634</v>
      </c>
      <c r="O1180" s="2" t="s">
        <v>3635</v>
      </c>
      <c r="P1180" s="2" t="s">
        <v>41</v>
      </c>
      <c r="Q1180" s="2" t="s">
        <v>229</v>
      </c>
      <c r="R1180" s="2" t="s">
        <v>1287</v>
      </c>
      <c r="S1180" s="2" t="s">
        <v>33</v>
      </c>
      <c r="T1180" s="2" t="s">
        <v>2495</v>
      </c>
      <c r="U1180" s="2" t="s">
        <v>4997</v>
      </c>
      <c r="V1180" s="2" t="s">
        <v>4998</v>
      </c>
      <c r="W1180" s="2" t="s">
        <v>4999</v>
      </c>
    </row>
    <row r="1181" spans="1:112" ht="187" x14ac:dyDescent="0.2">
      <c r="A1181" s="2" t="s">
        <v>3636</v>
      </c>
      <c r="B1181" s="2" t="s">
        <v>3637</v>
      </c>
      <c r="C1181" s="2" t="s">
        <v>3637</v>
      </c>
      <c r="D1181" s="1">
        <v>1</v>
      </c>
      <c r="E1181" s="2" t="s">
        <v>23</v>
      </c>
      <c r="G1181" s="2" t="s">
        <v>3609</v>
      </c>
      <c r="I1181" s="2" t="s">
        <v>3191</v>
      </c>
      <c r="J1181" s="2" t="s">
        <v>1284</v>
      </c>
      <c r="K1181" s="2" t="s">
        <v>1284</v>
      </c>
      <c r="L1181" s="2" t="s">
        <v>1284</v>
      </c>
      <c r="M1181" s="2" t="s">
        <v>1285</v>
      </c>
      <c r="N1181" s="2" t="s">
        <v>3638</v>
      </c>
      <c r="O1181" s="2" t="s">
        <v>3198</v>
      </c>
      <c r="P1181" s="2" t="s">
        <v>30</v>
      </c>
      <c r="Q1181" s="2" t="s">
        <v>41</v>
      </c>
      <c r="R1181" s="2" t="s">
        <v>1287</v>
      </c>
      <c r="S1181" s="2" t="s">
        <v>33</v>
      </c>
      <c r="T1181" s="2" t="s">
        <v>2495</v>
      </c>
      <c r="U1181" s="2" t="s">
        <v>292</v>
      </c>
    </row>
    <row r="1182" spans="1:112" ht="153" x14ac:dyDescent="0.2">
      <c r="A1182" s="2" t="s">
        <v>3639</v>
      </c>
      <c r="B1182" s="2" t="s">
        <v>3640</v>
      </c>
      <c r="C1182" s="2" t="s">
        <v>3640</v>
      </c>
      <c r="D1182" s="1">
        <v>1</v>
      </c>
      <c r="E1182" s="2" t="s">
        <v>23</v>
      </c>
      <c r="G1182" s="2" t="s">
        <v>3223</v>
      </c>
      <c r="I1182" s="2" t="s">
        <v>3630</v>
      </c>
      <c r="J1182" s="2" t="s">
        <v>1284</v>
      </c>
      <c r="K1182" s="2" t="s">
        <v>1284</v>
      </c>
      <c r="L1182" s="2" t="s">
        <v>1284</v>
      </c>
      <c r="M1182" s="2" t="s">
        <v>1285</v>
      </c>
      <c r="N1182" s="2" t="s">
        <v>3641</v>
      </c>
      <c r="O1182" s="2" t="s">
        <v>3642</v>
      </c>
      <c r="P1182" s="2" t="s">
        <v>41</v>
      </c>
      <c r="Q1182" s="2" t="s">
        <v>30</v>
      </c>
      <c r="R1182" s="2" t="s">
        <v>1287</v>
      </c>
      <c r="S1182" s="2" t="s">
        <v>33</v>
      </c>
      <c r="T1182" s="2" t="s">
        <v>3643</v>
      </c>
      <c r="U1182" s="2" t="s">
        <v>5000</v>
      </c>
      <c r="V1182" s="2" t="s">
        <v>5001</v>
      </c>
      <c r="W1182" s="2" t="s">
        <v>5002</v>
      </c>
      <c r="X1182" s="2" t="s">
        <v>5003</v>
      </c>
      <c r="Y1182" s="2" t="s">
        <v>5004</v>
      </c>
      <c r="Z1182" s="2" t="s">
        <v>5005</v>
      </c>
      <c r="AA1182" s="2" t="s">
        <v>5006</v>
      </c>
      <c r="AB1182" s="2" t="s">
        <v>5007</v>
      </c>
      <c r="AC1182" s="2" t="s">
        <v>5008</v>
      </c>
      <c r="AD1182" s="2" t="s">
        <v>5009</v>
      </c>
      <c r="AE1182" s="2" t="s">
        <v>5010</v>
      </c>
      <c r="AF1182" s="2" t="s">
        <v>5011</v>
      </c>
      <c r="AG1182" s="2" t="s">
        <v>5012</v>
      </c>
      <c r="AH1182" s="2" t="s">
        <v>5013</v>
      </c>
      <c r="AI1182" s="2" t="s">
        <v>5014</v>
      </c>
      <c r="AJ1182" s="2" t="s">
        <v>5015</v>
      </c>
      <c r="AK1182" s="2" t="s">
        <v>5016</v>
      </c>
      <c r="AL1182" s="2" t="s">
        <v>5017</v>
      </c>
      <c r="AM1182" s="2" t="s">
        <v>5018</v>
      </c>
      <c r="AN1182" s="2" t="s">
        <v>5019</v>
      </c>
      <c r="AO1182" s="2" t="s">
        <v>5020</v>
      </c>
      <c r="AP1182" s="2" t="s">
        <v>5021</v>
      </c>
      <c r="AQ1182" s="2" t="s">
        <v>5022</v>
      </c>
      <c r="AR1182" s="2" t="s">
        <v>5023</v>
      </c>
      <c r="AS1182" s="2" t="s">
        <v>5024</v>
      </c>
      <c r="AT1182" s="2" t="s">
        <v>5025</v>
      </c>
      <c r="AU1182" s="2" t="s">
        <v>5026</v>
      </c>
      <c r="AV1182" s="2" t="s">
        <v>5027</v>
      </c>
      <c r="AW1182" s="2" t="s">
        <v>5028</v>
      </c>
      <c r="AX1182" s="2" t="s">
        <v>5029</v>
      </c>
      <c r="AY1182" s="2" t="s">
        <v>5030</v>
      </c>
      <c r="AZ1182" s="2" t="s">
        <v>5031</v>
      </c>
      <c r="BA1182" s="2" t="s">
        <v>5032</v>
      </c>
      <c r="BB1182" s="2" t="s">
        <v>5033</v>
      </c>
      <c r="BC1182" s="2" t="s">
        <v>3502</v>
      </c>
      <c r="BD1182" s="2" t="s">
        <v>3503</v>
      </c>
      <c r="BE1182" s="2" t="s">
        <v>3504</v>
      </c>
      <c r="BF1182" s="2" t="s">
        <v>3505</v>
      </c>
      <c r="BG1182" s="2" t="s">
        <v>3506</v>
      </c>
      <c r="BH1182" s="2" t="s">
        <v>3507</v>
      </c>
      <c r="BI1182" s="2" t="s">
        <v>3508</v>
      </c>
      <c r="BJ1182" s="2" t="s">
        <v>3509</v>
      </c>
      <c r="BK1182" s="2" t="s">
        <v>3510</v>
      </c>
      <c r="BL1182" s="2" t="s">
        <v>3511</v>
      </c>
      <c r="BM1182" s="2" t="s">
        <v>3512</v>
      </c>
      <c r="BN1182" s="2" t="s">
        <v>3513</v>
      </c>
      <c r="BO1182" s="2" t="s">
        <v>3514</v>
      </c>
      <c r="BP1182" s="2" t="s">
        <v>3515</v>
      </c>
      <c r="BQ1182" s="2" t="s">
        <v>3516</v>
      </c>
      <c r="BR1182" s="2" t="s">
        <v>3517</v>
      </c>
      <c r="BS1182" s="2" t="s">
        <v>3518</v>
      </c>
      <c r="BT1182" s="2" t="s">
        <v>3519</v>
      </c>
      <c r="BU1182" s="2" t="s">
        <v>3520</v>
      </c>
      <c r="BV1182" s="2" t="s">
        <v>3521</v>
      </c>
      <c r="BW1182" s="2" t="s">
        <v>3522</v>
      </c>
      <c r="BX1182" s="2" t="s">
        <v>3523</v>
      </c>
      <c r="BY1182" s="2" t="s">
        <v>3524</v>
      </c>
      <c r="BZ1182" s="2" t="s">
        <v>3525</v>
      </c>
      <c r="CA1182" s="2" t="s">
        <v>3526</v>
      </c>
      <c r="CB1182" s="2" t="s">
        <v>3527</v>
      </c>
      <c r="CC1182" s="2" t="s">
        <v>3528</v>
      </c>
      <c r="CD1182" s="2" t="s">
        <v>3529</v>
      </c>
      <c r="CE1182" s="2" t="s">
        <v>3530</v>
      </c>
      <c r="CF1182" s="2" t="s">
        <v>3531</v>
      </c>
      <c r="CG1182" s="2" t="s">
        <v>3532</v>
      </c>
      <c r="CH1182" s="2" t="s">
        <v>3533</v>
      </c>
      <c r="CI1182" s="2" t="s">
        <v>3534</v>
      </c>
      <c r="CJ1182" s="2" t="s">
        <v>3535</v>
      </c>
      <c r="CK1182" s="2" t="s">
        <v>3536</v>
      </c>
      <c r="CL1182" s="2" t="s">
        <v>3537</v>
      </c>
      <c r="CM1182" s="2" t="s">
        <v>3538</v>
      </c>
      <c r="CN1182" s="2" t="s">
        <v>3539</v>
      </c>
      <c r="CO1182" s="2" t="s">
        <v>3540</v>
      </c>
      <c r="CP1182" s="2" t="s">
        <v>3541</v>
      </c>
      <c r="CQ1182" s="2" t="s">
        <v>3542</v>
      </c>
      <c r="CR1182" s="2" t="s">
        <v>3543</v>
      </c>
      <c r="CS1182" s="2" t="s">
        <v>3544</v>
      </c>
      <c r="CT1182" s="2" t="s">
        <v>3545</v>
      </c>
      <c r="CU1182" s="2" t="s">
        <v>3546</v>
      </c>
      <c r="CV1182" s="2" t="s">
        <v>3547</v>
      </c>
      <c r="CW1182" s="2" t="s">
        <v>3548</v>
      </c>
      <c r="CX1182" s="2" t="s">
        <v>3549</v>
      </c>
      <c r="CY1182" s="2" t="s">
        <v>3550</v>
      </c>
      <c r="CZ1182" s="2" t="s">
        <v>3551</v>
      </c>
      <c r="DA1182" s="2" t="s">
        <v>3552</v>
      </c>
      <c r="DB1182" s="2" t="s">
        <v>3553</v>
      </c>
      <c r="DC1182" s="2" t="s">
        <v>3554</v>
      </c>
      <c r="DD1182" s="2" t="s">
        <v>3555</v>
      </c>
      <c r="DE1182" s="2" t="s">
        <v>3556</v>
      </c>
      <c r="DF1182" s="2" t="s">
        <v>3557</v>
      </c>
      <c r="DG1182" s="2" t="s">
        <v>3558</v>
      </c>
      <c r="DH1182" s="2" t="s">
        <v>3559</v>
      </c>
    </row>
    <row r="1183" spans="1:112" ht="34" x14ac:dyDescent="0.2">
      <c r="A1183" s="7" t="s">
        <v>6026</v>
      </c>
      <c r="B1183" s="7" t="s">
        <v>6027</v>
      </c>
      <c r="C1183" s="2" t="s">
        <v>6027</v>
      </c>
      <c r="D1183" s="5">
        <v>1</v>
      </c>
      <c r="E1183" s="6" t="s">
        <v>23</v>
      </c>
      <c r="F1183" s="6"/>
      <c r="G1183" s="6" t="s">
        <v>6118</v>
      </c>
      <c r="H1183" s="6"/>
      <c r="I1183" s="6"/>
      <c r="J1183" s="12" t="s">
        <v>1284</v>
      </c>
      <c r="K1183" s="12" t="s">
        <v>1284</v>
      </c>
      <c r="L1183" s="12" t="s">
        <v>1284</v>
      </c>
      <c r="M1183" s="12" t="s">
        <v>1285</v>
      </c>
      <c r="N1183" s="12" t="s">
        <v>3207</v>
      </c>
      <c r="O1183" s="12" t="s">
        <v>2531</v>
      </c>
      <c r="P1183" s="12" t="s">
        <v>843</v>
      </c>
      <c r="Q1183" s="12" t="s">
        <v>94</v>
      </c>
      <c r="R1183" s="12" t="s">
        <v>1287</v>
      </c>
      <c r="S1183" s="12" t="s">
        <v>33</v>
      </c>
      <c r="T1183" s="12" t="s">
        <v>2495</v>
      </c>
      <c r="U1183" s="12" t="s">
        <v>6028</v>
      </c>
      <c r="V1183" s="12" t="s">
        <v>6028</v>
      </c>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c r="CA1183" s="12"/>
      <c r="CB1183" s="12"/>
      <c r="CC1183" s="12"/>
      <c r="CD1183" s="12"/>
      <c r="CE1183" s="12"/>
      <c r="CF1183" s="12"/>
      <c r="CG1183" s="12"/>
      <c r="CH1183" s="12"/>
      <c r="CI1183" s="12"/>
      <c r="CJ1183" s="12"/>
      <c r="CK1183" s="12"/>
      <c r="CL1183" s="12"/>
      <c r="CM1183" s="12"/>
      <c r="CN1183" s="12"/>
      <c r="CO1183" s="12"/>
      <c r="CP1183" s="12"/>
      <c r="CQ1183" s="12"/>
      <c r="CR1183" s="12"/>
      <c r="CS1183" s="12"/>
      <c r="CT1183" s="12"/>
      <c r="CU1183" s="12"/>
      <c r="CV1183" s="12"/>
      <c r="CW1183" s="12"/>
      <c r="CX1183" s="12"/>
      <c r="CY1183" s="12"/>
      <c r="CZ1183" s="12"/>
      <c r="DA1183" s="12"/>
      <c r="DB1183" s="12"/>
      <c r="DC1183" s="12"/>
      <c r="DD1183" s="12"/>
      <c r="DE1183" s="12"/>
      <c r="DF1183" s="12"/>
      <c r="DG1183" s="12"/>
      <c r="DH1183" s="12"/>
    </row>
    <row r="1184" spans="1:112" ht="85" x14ac:dyDescent="0.2">
      <c r="A1184" s="7" t="s">
        <v>6029</v>
      </c>
      <c r="B1184" s="7" t="s">
        <v>6030</v>
      </c>
      <c r="C1184" s="2" t="s">
        <v>6030</v>
      </c>
      <c r="D1184" s="5">
        <v>1</v>
      </c>
      <c r="E1184" s="6" t="s">
        <v>23</v>
      </c>
      <c r="F1184" s="6"/>
      <c r="G1184" s="6" t="s">
        <v>3223</v>
      </c>
      <c r="H1184" s="2" t="s">
        <v>3272</v>
      </c>
      <c r="I1184" s="6" t="s">
        <v>3273</v>
      </c>
      <c r="J1184" s="12" t="s">
        <v>1284</v>
      </c>
      <c r="K1184" s="12" t="s">
        <v>1284</v>
      </c>
      <c r="L1184" s="12" t="s">
        <v>1284</v>
      </c>
      <c r="M1184" s="12" t="s">
        <v>1285</v>
      </c>
      <c r="N1184" s="12" t="s">
        <v>6031</v>
      </c>
      <c r="O1184" s="12" t="s">
        <v>3275</v>
      </c>
      <c r="P1184" s="12" t="s">
        <v>30</v>
      </c>
      <c r="Q1184" s="12" t="s">
        <v>41</v>
      </c>
      <c r="R1184" s="12" t="s">
        <v>1287</v>
      </c>
      <c r="S1184" s="12" t="s">
        <v>33</v>
      </c>
      <c r="T1184" s="12" t="s">
        <v>6032</v>
      </c>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c r="CA1184" s="12"/>
      <c r="CB1184" s="12"/>
      <c r="CC1184" s="12"/>
      <c r="CD1184" s="12"/>
      <c r="CE1184" s="12"/>
      <c r="CF1184" s="12"/>
      <c r="CG1184" s="12"/>
      <c r="CH1184" s="12"/>
      <c r="CI1184" s="12"/>
      <c r="CJ1184" s="12"/>
      <c r="CK1184" s="12"/>
      <c r="CL1184" s="12"/>
      <c r="CM1184" s="12"/>
      <c r="CN1184" s="12"/>
      <c r="CO1184" s="12"/>
      <c r="CP1184" s="12"/>
      <c r="CQ1184" s="12"/>
      <c r="CR1184" s="12"/>
      <c r="CS1184" s="12"/>
      <c r="CT1184" s="12"/>
      <c r="CU1184" s="12"/>
      <c r="CV1184" s="12"/>
      <c r="CW1184" s="12"/>
      <c r="CX1184" s="12"/>
      <c r="CY1184" s="12"/>
      <c r="CZ1184" s="12"/>
      <c r="DA1184" s="12"/>
      <c r="DB1184" s="12"/>
      <c r="DC1184" s="12"/>
      <c r="DD1184" s="12"/>
      <c r="DE1184" s="12"/>
      <c r="DF1184" s="12"/>
      <c r="DG1184" s="12"/>
      <c r="DH1184" s="12"/>
    </row>
    <row r="1185" spans="1:14" ht="17" x14ac:dyDescent="0.2">
      <c r="A1185" s="2" t="s">
        <v>6133</v>
      </c>
      <c r="B1185" s="2" t="s">
        <v>6689</v>
      </c>
      <c r="C1185" s="2" t="s">
        <v>6689</v>
      </c>
      <c r="D1185" s="1">
        <v>1</v>
      </c>
      <c r="E1185" s="2" t="s">
        <v>6672</v>
      </c>
      <c r="I1185" s="31" t="s">
        <v>6701</v>
      </c>
    </row>
    <row r="1186" spans="1:14" ht="17" x14ac:dyDescent="0.2">
      <c r="A1186" s="2" t="s">
        <v>6133</v>
      </c>
      <c r="B1186" s="2" t="s">
        <v>6690</v>
      </c>
      <c r="C1186" s="2" t="s">
        <v>6690</v>
      </c>
      <c r="D1186" s="1">
        <v>1</v>
      </c>
      <c r="E1186" s="2" t="s">
        <v>6672</v>
      </c>
      <c r="I1186" s="31" t="s">
        <v>6701</v>
      </c>
    </row>
    <row r="1187" spans="1:14" ht="17" x14ac:dyDescent="0.2">
      <c r="A1187" s="2" t="s">
        <v>6133</v>
      </c>
      <c r="B1187" s="2" t="s">
        <v>6691</v>
      </c>
      <c r="C1187" s="2" t="s">
        <v>6691</v>
      </c>
      <c r="D1187" s="1">
        <v>1</v>
      </c>
      <c r="E1187" s="2" t="s">
        <v>6672</v>
      </c>
      <c r="I1187" s="31" t="s">
        <v>6701</v>
      </c>
    </row>
    <row r="1188" spans="1:14" ht="17" x14ac:dyDescent="0.2">
      <c r="A1188" s="2" t="s">
        <v>6133</v>
      </c>
      <c r="B1188" s="2" t="s">
        <v>6692</v>
      </c>
      <c r="C1188" s="2" t="s">
        <v>6692</v>
      </c>
      <c r="D1188" s="1">
        <v>1</v>
      </c>
      <c r="E1188" s="2" t="s">
        <v>6672</v>
      </c>
      <c r="I1188" s="31" t="s">
        <v>6701</v>
      </c>
    </row>
    <row r="1189" spans="1:14" ht="17" x14ac:dyDescent="0.2">
      <c r="A1189" s="2" t="s">
        <v>6133</v>
      </c>
      <c r="B1189" s="2" t="s">
        <v>6695</v>
      </c>
      <c r="C1189" s="2" t="s">
        <v>6695</v>
      </c>
      <c r="D1189" s="1">
        <v>1</v>
      </c>
      <c r="E1189" s="2" t="s">
        <v>6672</v>
      </c>
      <c r="I1189" s="29" t="s">
        <v>6701</v>
      </c>
    </row>
    <row r="1190" spans="1:14" ht="17" x14ac:dyDescent="0.2">
      <c r="A1190" s="2" t="s">
        <v>6133</v>
      </c>
      <c r="B1190" s="2" t="s">
        <v>6696</v>
      </c>
      <c r="C1190" s="2" t="s">
        <v>6696</v>
      </c>
      <c r="D1190" s="1">
        <v>1</v>
      </c>
      <c r="E1190" s="2" t="s">
        <v>6672</v>
      </c>
      <c r="I1190" s="29" t="s">
        <v>6701</v>
      </c>
    </row>
    <row r="1191" spans="1:14" ht="17" x14ac:dyDescent="0.2">
      <c r="A1191" s="2" t="s">
        <v>6133</v>
      </c>
      <c r="B1191" s="2" t="s">
        <v>6697</v>
      </c>
      <c r="C1191" s="2" t="s">
        <v>6697</v>
      </c>
      <c r="D1191" s="1">
        <v>1</v>
      </c>
      <c r="E1191" s="2" t="s">
        <v>6672</v>
      </c>
      <c r="I1191" s="29" t="s">
        <v>6701</v>
      </c>
    </row>
    <row r="1192" spans="1:14" ht="17" x14ac:dyDescent="0.2">
      <c r="A1192" s="2" t="s">
        <v>6133</v>
      </c>
      <c r="B1192" s="2" t="s">
        <v>6698</v>
      </c>
      <c r="C1192" s="2" t="s">
        <v>6698</v>
      </c>
      <c r="D1192" s="1">
        <v>1</v>
      </c>
      <c r="E1192" s="2" t="s">
        <v>6672</v>
      </c>
      <c r="I1192" s="29" t="s">
        <v>6701</v>
      </c>
    </row>
    <row r="1193" spans="1:14" ht="17" x14ac:dyDescent="0.2">
      <c r="A1193" s="2" t="s">
        <v>6133</v>
      </c>
      <c r="B1193" s="20" t="s">
        <v>6693</v>
      </c>
      <c r="C1193" s="20" t="s">
        <v>6693</v>
      </c>
      <c r="D1193" s="1">
        <v>1</v>
      </c>
      <c r="E1193" s="2" t="s">
        <v>6672</v>
      </c>
      <c r="I1193" s="29" t="s">
        <v>6702</v>
      </c>
    </row>
    <row r="1194" spans="1:14" ht="17" x14ac:dyDescent="0.2">
      <c r="A1194" s="2" t="s">
        <v>6133</v>
      </c>
      <c r="B1194" s="2" t="s">
        <v>6694</v>
      </c>
      <c r="C1194" s="2" t="s">
        <v>6694</v>
      </c>
      <c r="D1194" s="1">
        <v>1</v>
      </c>
      <c r="E1194" s="2" t="s">
        <v>6672</v>
      </c>
      <c r="I1194" s="29" t="s">
        <v>6702</v>
      </c>
    </row>
    <row r="1195" spans="1:14" ht="17" x14ac:dyDescent="0.2">
      <c r="A1195" s="2" t="s">
        <v>6133</v>
      </c>
      <c r="B1195" s="20" t="s">
        <v>6699</v>
      </c>
      <c r="C1195" s="20" t="s">
        <v>6699</v>
      </c>
      <c r="D1195" s="1">
        <v>1</v>
      </c>
      <c r="E1195" s="2" t="s">
        <v>6672</v>
      </c>
      <c r="I1195" s="29" t="s">
        <v>6701</v>
      </c>
    </row>
    <row r="1196" spans="1:14" ht="17" x14ac:dyDescent="0.2">
      <c r="A1196" s="2" t="s">
        <v>6133</v>
      </c>
      <c r="B1196" s="2" t="s">
        <v>6700</v>
      </c>
      <c r="C1196" s="2" t="s">
        <v>6700</v>
      </c>
      <c r="D1196" s="1">
        <v>1</v>
      </c>
      <c r="E1196" s="2" t="s">
        <v>6672</v>
      </c>
      <c r="I1196" s="29" t="s">
        <v>6701</v>
      </c>
    </row>
    <row r="1197" spans="1:14" ht="85" x14ac:dyDescent="0.2">
      <c r="A1197" s="7" t="s">
        <v>6185</v>
      </c>
      <c r="B1197" s="2" t="s">
        <v>6390</v>
      </c>
      <c r="C1197" s="2" t="s">
        <v>6390</v>
      </c>
      <c r="D1197" s="1">
        <v>1</v>
      </c>
      <c r="E1197" s="2" t="s">
        <v>23</v>
      </c>
      <c r="I1197" s="2" t="s">
        <v>6749</v>
      </c>
      <c r="N1197" s="12" t="s">
        <v>3229</v>
      </c>
    </row>
    <row r="1198" spans="1:14" ht="136" x14ac:dyDescent="0.2">
      <c r="A1198" s="7" t="s">
        <v>6261</v>
      </c>
      <c r="B1198" s="2" t="s">
        <v>6467</v>
      </c>
      <c r="C1198" s="2" t="s">
        <v>6467</v>
      </c>
      <c r="D1198" s="1">
        <v>1</v>
      </c>
      <c r="E1198" s="2" t="s">
        <v>971</v>
      </c>
      <c r="G1198" s="2" t="s">
        <v>3223</v>
      </c>
      <c r="H1198" s="2" t="s">
        <v>3321</v>
      </c>
      <c r="I1198" s="2" t="s">
        <v>2427</v>
      </c>
      <c r="N1198" s="12" t="s">
        <v>3282</v>
      </c>
    </row>
    <row r="1199" spans="1:14" ht="136" x14ac:dyDescent="0.2">
      <c r="A1199" s="7" t="s">
        <v>6264</v>
      </c>
      <c r="B1199" s="2" t="s">
        <v>6470</v>
      </c>
      <c r="C1199" s="2" t="s">
        <v>6470</v>
      </c>
      <c r="D1199" s="1">
        <v>1</v>
      </c>
      <c r="E1199" s="2" t="s">
        <v>971</v>
      </c>
      <c r="G1199" s="2" t="s">
        <v>3223</v>
      </c>
      <c r="H1199" s="2" t="s">
        <v>3321</v>
      </c>
      <c r="I1199" s="2" t="s">
        <v>2427</v>
      </c>
      <c r="N1199" s="12" t="s">
        <v>3287</v>
      </c>
    </row>
    <row r="1200" spans="1:14" ht="85" x14ac:dyDescent="0.2">
      <c r="A1200" s="7" t="s">
        <v>6268</v>
      </c>
      <c r="B1200" s="2" t="s">
        <v>6474</v>
      </c>
      <c r="C1200" s="2" t="s">
        <v>6474</v>
      </c>
      <c r="D1200" s="1">
        <v>1</v>
      </c>
      <c r="I1200" s="2" t="s">
        <v>6767</v>
      </c>
      <c r="N1200" s="12" t="s">
        <v>3291</v>
      </c>
    </row>
    <row r="1201" spans="1:14" ht="85" x14ac:dyDescent="0.2">
      <c r="A1201" s="7" t="s">
        <v>6269</v>
      </c>
      <c r="B1201" s="2" t="s">
        <v>6475</v>
      </c>
      <c r="C1201" s="2" t="s">
        <v>6475</v>
      </c>
      <c r="D1201" s="1">
        <v>1</v>
      </c>
      <c r="I1201" s="2" t="s">
        <v>6767</v>
      </c>
      <c r="N1201" s="12" t="s">
        <v>6612</v>
      </c>
    </row>
    <row r="1202" spans="1:14" ht="85" x14ac:dyDescent="0.2">
      <c r="A1202" s="7" t="s">
        <v>6270</v>
      </c>
      <c r="B1202" s="2" t="s">
        <v>6476</v>
      </c>
      <c r="C1202" s="2" t="s">
        <v>6476</v>
      </c>
      <c r="D1202" s="1">
        <v>1</v>
      </c>
      <c r="I1202" s="2" t="s">
        <v>6767</v>
      </c>
      <c r="N1202" s="12" t="s">
        <v>6613</v>
      </c>
    </row>
    <row r="1203" spans="1:14" ht="17" x14ac:dyDescent="0.2">
      <c r="A1203" s="7" t="s">
        <v>6271</v>
      </c>
      <c r="B1203" s="2" t="s">
        <v>6477</v>
      </c>
      <c r="C1203" s="2" t="s">
        <v>6477</v>
      </c>
      <c r="D1203" s="1">
        <v>1</v>
      </c>
      <c r="E1203" s="2" t="s">
        <v>6084</v>
      </c>
      <c r="N1203" s="12" t="s">
        <v>6614</v>
      </c>
    </row>
    <row r="1204" spans="1:14" ht="34" x14ac:dyDescent="0.2">
      <c r="A1204" s="7" t="s">
        <v>6286</v>
      </c>
      <c r="B1204" s="2" t="s">
        <v>6492</v>
      </c>
      <c r="C1204" s="2" t="s">
        <v>6492</v>
      </c>
      <c r="D1204" s="5">
        <v>1</v>
      </c>
      <c r="E1204" s="6" t="s">
        <v>61</v>
      </c>
      <c r="F1204" s="6" t="s">
        <v>6112</v>
      </c>
      <c r="H1204" s="2" t="s">
        <v>6783</v>
      </c>
      <c r="N1204" s="12" t="s">
        <v>1093</v>
      </c>
    </row>
    <row r="1205" spans="1:14" ht="136" x14ac:dyDescent="0.2">
      <c r="A1205" s="7" t="s">
        <v>6295</v>
      </c>
      <c r="B1205" s="2" t="s">
        <v>6501</v>
      </c>
      <c r="C1205" s="2" t="s">
        <v>6501</v>
      </c>
      <c r="D1205" s="1">
        <v>1</v>
      </c>
      <c r="E1205" s="2" t="s">
        <v>23</v>
      </c>
      <c r="H1205" s="2" t="s">
        <v>6787</v>
      </c>
      <c r="I1205" s="2" t="s">
        <v>6788</v>
      </c>
      <c r="N1205" s="12" t="s">
        <v>6629</v>
      </c>
    </row>
    <row r="1206" spans="1:14" ht="136" x14ac:dyDescent="0.2">
      <c r="A1206" s="7" t="s">
        <v>6296</v>
      </c>
      <c r="B1206" s="2" t="s">
        <v>6502</v>
      </c>
      <c r="C1206" s="2" t="s">
        <v>6502</v>
      </c>
      <c r="D1206" s="1">
        <v>1</v>
      </c>
      <c r="E1206" s="2" t="s">
        <v>23</v>
      </c>
      <c r="I1206" s="2" t="s">
        <v>6788</v>
      </c>
      <c r="N1206" s="12" t="s">
        <v>6630</v>
      </c>
    </row>
    <row r="1207" spans="1:14" ht="34" x14ac:dyDescent="0.2">
      <c r="A1207" s="7" t="s">
        <v>6297</v>
      </c>
      <c r="B1207" s="2" t="s">
        <v>6503</v>
      </c>
      <c r="C1207" s="2" t="s">
        <v>6503</v>
      </c>
      <c r="D1207" s="1">
        <v>1</v>
      </c>
      <c r="E1207" s="2" t="s">
        <v>61</v>
      </c>
      <c r="N1207" s="12" t="s">
        <v>6631</v>
      </c>
    </row>
    <row r="1208" spans="1:14" ht="102" x14ac:dyDescent="0.2">
      <c r="A1208" s="7" t="s">
        <v>6298</v>
      </c>
      <c r="B1208" s="2" t="s">
        <v>6504</v>
      </c>
      <c r="C1208" s="2" t="s">
        <v>6504</v>
      </c>
      <c r="D1208" s="1">
        <v>1</v>
      </c>
      <c r="E1208" s="2" t="s">
        <v>23</v>
      </c>
      <c r="I1208" s="2" t="s">
        <v>6789</v>
      </c>
      <c r="N1208" s="12" t="s">
        <v>6632</v>
      </c>
    </row>
    <row r="1209" spans="1:14" ht="85" x14ac:dyDescent="0.2">
      <c r="A1209" s="7" t="s">
        <v>6299</v>
      </c>
      <c r="B1209" s="2" t="s">
        <v>6505</v>
      </c>
      <c r="C1209" s="2" t="s">
        <v>6505</v>
      </c>
      <c r="D1209" s="1">
        <v>1</v>
      </c>
      <c r="E1209" s="2" t="s">
        <v>61</v>
      </c>
      <c r="N1209" s="12" t="s">
        <v>6633</v>
      </c>
    </row>
    <row r="1210" spans="1:14" ht="69" customHeight="1" x14ac:dyDescent="0.2">
      <c r="A1210" s="26" t="s">
        <v>6300</v>
      </c>
      <c r="B1210" s="25" t="s">
        <v>6506</v>
      </c>
      <c r="C1210" s="25" t="s">
        <v>6506</v>
      </c>
      <c r="D1210" s="1">
        <v>1</v>
      </c>
      <c r="E1210" s="2" t="s">
        <v>61</v>
      </c>
      <c r="I1210" s="2" t="s">
        <v>6790</v>
      </c>
      <c r="N1210" s="12" t="s">
        <v>6634</v>
      </c>
    </row>
    <row r="1211" spans="1:14" ht="69" customHeight="1" x14ac:dyDescent="0.2">
      <c r="A1211" s="26" t="s">
        <v>6306</v>
      </c>
      <c r="B1211" s="25" t="s">
        <v>6512</v>
      </c>
      <c r="C1211" s="25" t="s">
        <v>6512</v>
      </c>
      <c r="D1211" s="1">
        <v>1</v>
      </c>
      <c r="E1211" s="2" t="s">
        <v>61</v>
      </c>
      <c r="F1211" s="2" t="s">
        <v>3363</v>
      </c>
      <c r="G1211" s="2" t="s">
        <v>3223</v>
      </c>
      <c r="H1211" s="2" t="s">
        <v>3378</v>
      </c>
      <c r="I1211" s="2" t="s">
        <v>3379</v>
      </c>
      <c r="N1211" s="12" t="s">
        <v>6640</v>
      </c>
    </row>
    <row r="1212" spans="1:14" ht="69" customHeight="1" x14ac:dyDescent="0.2">
      <c r="A1212" s="26" t="s">
        <v>6307</v>
      </c>
      <c r="B1212" s="25" t="s">
        <v>6513</v>
      </c>
      <c r="C1212" s="25" t="s">
        <v>6513</v>
      </c>
      <c r="D1212" s="1">
        <v>1</v>
      </c>
      <c r="E1212" s="2" t="s">
        <v>23</v>
      </c>
      <c r="F1212" s="2" t="s">
        <v>3363</v>
      </c>
      <c r="G1212" s="2" t="s">
        <v>3223</v>
      </c>
      <c r="H1212" s="2" t="s">
        <v>3378</v>
      </c>
      <c r="I1212" s="2" t="s">
        <v>3379</v>
      </c>
      <c r="N1212" s="12" t="s">
        <v>6641</v>
      </c>
    </row>
    <row r="1213" spans="1:14" ht="69" customHeight="1" x14ac:dyDescent="0.2">
      <c r="A1213" s="26" t="s">
        <v>6309</v>
      </c>
      <c r="B1213" s="25" t="s">
        <v>6515</v>
      </c>
      <c r="C1213" s="25" t="s">
        <v>6515</v>
      </c>
      <c r="D1213" s="1">
        <v>1</v>
      </c>
      <c r="E1213" s="2" t="s">
        <v>23</v>
      </c>
      <c r="F1213" s="2" t="s">
        <v>3363</v>
      </c>
      <c r="G1213" s="2" t="s">
        <v>3223</v>
      </c>
      <c r="H1213" s="2" t="s">
        <v>3364</v>
      </c>
      <c r="I1213" s="2" t="s">
        <v>6885</v>
      </c>
      <c r="N1213" s="12" t="s">
        <v>6642</v>
      </c>
    </row>
    <row r="1214" spans="1:14" ht="69" customHeight="1" x14ac:dyDescent="0.2">
      <c r="A1214" s="7" t="s">
        <v>6314</v>
      </c>
      <c r="B1214" s="25" t="s">
        <v>6520</v>
      </c>
      <c r="C1214" s="25" t="s">
        <v>6520</v>
      </c>
      <c r="D1214" s="5">
        <v>1</v>
      </c>
      <c r="E1214" s="6" t="s">
        <v>61</v>
      </c>
      <c r="F1214" s="6"/>
      <c r="G1214" s="6" t="s">
        <v>6089</v>
      </c>
      <c r="H1214" s="6" t="s">
        <v>6090</v>
      </c>
      <c r="I1214" s="10" t="s">
        <v>6091</v>
      </c>
      <c r="N1214" s="12" t="s">
        <v>6647</v>
      </c>
    </row>
    <row r="1215" spans="1:14" ht="69" customHeight="1" x14ac:dyDescent="0.2">
      <c r="A1215" s="43" t="s">
        <v>6315</v>
      </c>
      <c r="B1215" s="25" t="s">
        <v>6521</v>
      </c>
      <c r="C1215" s="25" t="s">
        <v>6521</v>
      </c>
      <c r="D1215" s="5">
        <v>1</v>
      </c>
      <c r="E1215" s="6" t="s">
        <v>61</v>
      </c>
      <c r="F1215" s="6"/>
      <c r="G1215" s="6" t="s">
        <v>6089</v>
      </c>
      <c r="H1215" s="6" t="s">
        <v>6090</v>
      </c>
      <c r="I1215" s="10" t="s">
        <v>6091</v>
      </c>
      <c r="N1215" s="12" t="s">
        <v>6648</v>
      </c>
    </row>
    <row r="1216" spans="1:14" ht="69" customHeight="1" x14ac:dyDescent="0.2">
      <c r="A1216" s="7" t="s">
        <v>6317</v>
      </c>
      <c r="B1216" s="2" t="s">
        <v>6523</v>
      </c>
      <c r="C1216" s="2" t="s">
        <v>6523</v>
      </c>
      <c r="D1216" s="1">
        <v>1</v>
      </c>
      <c r="E1216" s="2" t="s">
        <v>61</v>
      </c>
      <c r="F1216" s="2" t="s">
        <v>3457</v>
      </c>
      <c r="G1216" s="2" t="s">
        <v>3223</v>
      </c>
      <c r="H1216" s="2" t="s">
        <v>3469</v>
      </c>
      <c r="N1216" s="12" t="s">
        <v>6650</v>
      </c>
    </row>
    <row r="1217" spans="1:22" ht="69" customHeight="1" x14ac:dyDescent="0.2">
      <c r="A1217" s="7" t="s">
        <v>6318</v>
      </c>
      <c r="B1217" s="2" t="s">
        <v>6524</v>
      </c>
      <c r="C1217" s="2" t="s">
        <v>6524</v>
      </c>
      <c r="D1217" s="1">
        <v>1</v>
      </c>
      <c r="E1217" s="2" t="s">
        <v>61</v>
      </c>
      <c r="F1217" s="2" t="s">
        <v>6792</v>
      </c>
      <c r="N1217" s="12" t="s">
        <v>6651</v>
      </c>
    </row>
    <row r="1218" spans="1:22" ht="69" customHeight="1" x14ac:dyDescent="0.2">
      <c r="A1218" s="7" t="s">
        <v>6322</v>
      </c>
      <c r="B1218" s="2" t="s">
        <v>6528</v>
      </c>
      <c r="C1218" s="2" t="s">
        <v>6528</v>
      </c>
      <c r="D1218" s="1">
        <v>1</v>
      </c>
      <c r="E1218" s="2" t="s">
        <v>61</v>
      </c>
      <c r="F1218" s="2" t="s">
        <v>6794</v>
      </c>
      <c r="N1218" s="12" t="s">
        <v>6655</v>
      </c>
    </row>
    <row r="1219" spans="1:22" ht="69" customHeight="1" x14ac:dyDescent="0.2">
      <c r="A1219" s="7" t="s">
        <v>6328</v>
      </c>
      <c r="B1219" s="2" t="s">
        <v>6534</v>
      </c>
      <c r="C1219" s="2" t="s">
        <v>6534</v>
      </c>
      <c r="D1219" s="1">
        <v>1</v>
      </c>
      <c r="E1219" s="2" t="s">
        <v>61</v>
      </c>
      <c r="F1219" s="2" t="s">
        <v>3427</v>
      </c>
      <c r="G1219" s="2" t="s">
        <v>3223</v>
      </c>
      <c r="I1219" s="2" t="s">
        <v>3428</v>
      </c>
      <c r="N1219" s="12" t="s">
        <v>3577</v>
      </c>
    </row>
    <row r="1220" spans="1:22" ht="69" customHeight="1" x14ac:dyDescent="0.2">
      <c r="A1220" s="7" t="s">
        <v>6330</v>
      </c>
      <c r="B1220" s="2" t="s">
        <v>6536</v>
      </c>
      <c r="C1220" s="2" t="s">
        <v>6536</v>
      </c>
      <c r="D1220" s="1">
        <v>1</v>
      </c>
      <c r="E1220" s="2" t="s">
        <v>61</v>
      </c>
      <c r="F1220" s="2" t="s">
        <v>6798</v>
      </c>
      <c r="I1220" s="2" t="s">
        <v>6797</v>
      </c>
      <c r="N1220" s="12" t="s">
        <v>3577</v>
      </c>
    </row>
    <row r="1221" spans="1:22" ht="69" customHeight="1" x14ac:dyDescent="0.2">
      <c r="A1221" s="7" t="s">
        <v>6338</v>
      </c>
      <c r="B1221" s="2" t="s">
        <v>6544</v>
      </c>
      <c r="C1221" s="2" t="s">
        <v>6544</v>
      </c>
      <c r="D1221" s="1">
        <v>1</v>
      </c>
      <c r="E1221" s="2" t="s">
        <v>61</v>
      </c>
      <c r="F1221" s="2" t="s">
        <v>6801</v>
      </c>
      <c r="N1221" s="12" t="s">
        <v>3648</v>
      </c>
    </row>
    <row r="1222" spans="1:22" ht="69" customHeight="1" x14ac:dyDescent="0.2">
      <c r="A1222" s="7" t="s">
        <v>6339</v>
      </c>
      <c r="B1222" s="2" t="s">
        <v>6545</v>
      </c>
      <c r="C1222" s="2" t="s">
        <v>6545</v>
      </c>
      <c r="D1222" s="1">
        <v>1</v>
      </c>
      <c r="E1222" s="2" t="s">
        <v>61</v>
      </c>
      <c r="F1222" s="2" t="s">
        <v>6801</v>
      </c>
      <c r="H1222" s="38">
        <v>500</v>
      </c>
      <c r="N1222" s="12" t="s">
        <v>6661</v>
      </c>
    </row>
    <row r="1223" spans="1:22" ht="69" customHeight="1" x14ac:dyDescent="0.2">
      <c r="A1223" s="12" t="s">
        <v>6809</v>
      </c>
      <c r="B1223" s="12" t="s">
        <v>6810</v>
      </c>
      <c r="C1223" s="12" t="s">
        <v>6810</v>
      </c>
      <c r="D1223" s="1">
        <v>1</v>
      </c>
      <c r="E1223" s="2" t="s">
        <v>23</v>
      </c>
      <c r="G1223" s="2" t="s">
        <v>3223</v>
      </c>
      <c r="I1223" s="2" t="s">
        <v>6813</v>
      </c>
    </row>
    <row r="1224" spans="1:22" ht="69" customHeight="1" x14ac:dyDescent="0.2">
      <c r="A1224" s="12" t="s">
        <v>6811</v>
      </c>
      <c r="B1224" s="12" t="s">
        <v>6812</v>
      </c>
      <c r="C1224" s="12" t="s">
        <v>6812</v>
      </c>
      <c r="D1224" s="1">
        <v>1</v>
      </c>
      <c r="E1224" s="2" t="s">
        <v>23</v>
      </c>
      <c r="G1224" s="2" t="s">
        <v>3223</v>
      </c>
      <c r="I1224" s="2" t="s">
        <v>6813</v>
      </c>
    </row>
    <row r="1225" spans="1:22" ht="69" customHeight="1" x14ac:dyDescent="0.2">
      <c r="A1225" s="7" t="s">
        <v>6309</v>
      </c>
      <c r="B1225" s="7" t="s">
        <v>6515</v>
      </c>
      <c r="C1225" s="7" t="s">
        <v>6515</v>
      </c>
      <c r="D1225" s="1">
        <v>1</v>
      </c>
      <c r="E1225" s="2" t="s">
        <v>23</v>
      </c>
      <c r="F1225" s="2" t="s">
        <v>3363</v>
      </c>
      <c r="G1225" s="2" t="s">
        <v>3223</v>
      </c>
      <c r="H1225" s="2" t="s">
        <v>3364</v>
      </c>
      <c r="I1225" s="2" t="s">
        <v>6885</v>
      </c>
    </row>
    <row r="1226" spans="1:22" ht="69" customHeight="1" x14ac:dyDescent="0.2">
      <c r="A1226" s="7" t="s">
        <v>6879</v>
      </c>
      <c r="B1226" s="7" t="s">
        <v>6880</v>
      </c>
      <c r="C1226" s="7" t="s">
        <v>6880</v>
      </c>
      <c r="D1226" s="1">
        <v>1</v>
      </c>
      <c r="E1226" s="2" t="s">
        <v>23</v>
      </c>
      <c r="F1226" s="2" t="s">
        <v>3363</v>
      </c>
      <c r="G1226" s="2" t="s">
        <v>3223</v>
      </c>
      <c r="H1226" s="2" t="s">
        <v>3364</v>
      </c>
      <c r="I1226" s="2" t="s">
        <v>6885</v>
      </c>
    </row>
    <row r="1227" spans="1:22" ht="69" customHeight="1" x14ac:dyDescent="0.2">
      <c r="A1227" s="2" t="s">
        <v>3644</v>
      </c>
      <c r="B1227" s="2" t="s">
        <v>3645</v>
      </c>
      <c r="C1227" s="2" t="s">
        <v>3645</v>
      </c>
      <c r="D1227" s="1">
        <v>0.3</v>
      </c>
      <c r="E1227" s="2" t="s">
        <v>61</v>
      </c>
      <c r="G1227" s="2" t="s">
        <v>3646</v>
      </c>
      <c r="I1227" s="2" t="s">
        <v>3647</v>
      </c>
      <c r="J1227" s="2" t="s">
        <v>1284</v>
      </c>
      <c r="K1227" s="2" t="s">
        <v>1284</v>
      </c>
      <c r="L1227" s="2" t="s">
        <v>1284</v>
      </c>
      <c r="M1227" s="2" t="s">
        <v>1285</v>
      </c>
      <c r="N1227" s="2" t="s">
        <v>3648</v>
      </c>
      <c r="O1227" s="2" t="s">
        <v>3649</v>
      </c>
      <c r="P1227" s="2" t="s">
        <v>843</v>
      </c>
      <c r="Q1227" s="2" t="s">
        <v>41</v>
      </c>
      <c r="R1227" s="2" t="s">
        <v>1287</v>
      </c>
      <c r="S1227" s="2" t="s">
        <v>33</v>
      </c>
      <c r="T1227" s="2" t="s">
        <v>3650</v>
      </c>
      <c r="U1227" s="2" t="s">
        <v>292</v>
      </c>
    </row>
    <row r="1228" spans="1:22" ht="92" customHeight="1" x14ac:dyDescent="0.2">
      <c r="A1228" s="2" t="s">
        <v>3651</v>
      </c>
      <c r="B1228" s="2" t="s">
        <v>3652</v>
      </c>
      <c r="C1228" s="2" t="s">
        <v>3652</v>
      </c>
      <c r="D1228" s="1">
        <v>0.3</v>
      </c>
      <c r="E1228" s="2" t="s">
        <v>61</v>
      </c>
      <c r="G1228" s="2" t="s">
        <v>3646</v>
      </c>
      <c r="I1228" s="2" t="s">
        <v>3647</v>
      </c>
      <c r="J1228" s="2" t="s">
        <v>1284</v>
      </c>
      <c r="K1228" s="2" t="s">
        <v>1284</v>
      </c>
      <c r="L1228" s="2" t="s">
        <v>1284</v>
      </c>
      <c r="M1228" s="2" t="s">
        <v>1285</v>
      </c>
      <c r="N1228" s="2" t="s">
        <v>3648</v>
      </c>
      <c r="O1228" s="2" t="s">
        <v>3649</v>
      </c>
      <c r="P1228" s="2" t="s">
        <v>843</v>
      </c>
      <c r="Q1228" s="2" t="s">
        <v>30</v>
      </c>
      <c r="R1228" s="2" t="s">
        <v>1287</v>
      </c>
      <c r="S1228" s="2" t="s">
        <v>33</v>
      </c>
      <c r="T1228" s="2" t="s">
        <v>3381</v>
      </c>
      <c r="U1228" s="2" t="s">
        <v>3653</v>
      </c>
    </row>
    <row r="1229" spans="1:22" ht="92" customHeight="1" x14ac:dyDescent="0.2">
      <c r="A1229" s="2" t="s">
        <v>3654</v>
      </c>
      <c r="B1229" s="2" t="s">
        <v>3655</v>
      </c>
      <c r="C1229" s="2" t="s">
        <v>3655</v>
      </c>
      <c r="D1229" s="1">
        <v>0.1</v>
      </c>
      <c r="E1229" s="2" t="s">
        <v>1459</v>
      </c>
      <c r="F1229" s="2" t="s">
        <v>3656</v>
      </c>
      <c r="G1229" s="2">
        <v>0</v>
      </c>
      <c r="I1229" s="2" t="s">
        <v>3657</v>
      </c>
      <c r="J1229" s="2" t="s">
        <v>1284</v>
      </c>
      <c r="K1229" s="2" t="s">
        <v>1284</v>
      </c>
      <c r="L1229" s="2" t="s">
        <v>1284</v>
      </c>
      <c r="M1229" s="2" t="s">
        <v>1285</v>
      </c>
      <c r="N1229" s="2" t="s">
        <v>3658</v>
      </c>
      <c r="O1229" s="2" t="s">
        <v>1999</v>
      </c>
      <c r="P1229" s="2" t="s">
        <v>227</v>
      </c>
      <c r="Q1229" s="2" t="s">
        <v>41</v>
      </c>
      <c r="R1229" s="2" t="s">
        <v>1287</v>
      </c>
      <c r="S1229" s="2" t="s">
        <v>33</v>
      </c>
      <c r="T1229" s="2" t="s">
        <v>3659</v>
      </c>
      <c r="U1229" s="2" t="s">
        <v>5034</v>
      </c>
      <c r="V1229" s="2" t="s">
        <v>5035</v>
      </c>
    </row>
    <row r="1230" spans="1:22" ht="92" customHeight="1" x14ac:dyDescent="0.2">
      <c r="A1230" s="2" t="s">
        <v>3660</v>
      </c>
      <c r="B1230" s="2" t="s">
        <v>3661</v>
      </c>
      <c r="C1230" s="2" t="s">
        <v>3661</v>
      </c>
      <c r="D1230" s="1">
        <v>0.1</v>
      </c>
      <c r="E1230" s="2" t="s">
        <v>61</v>
      </c>
      <c r="F1230" s="2" t="s">
        <v>3662</v>
      </c>
      <c r="J1230" s="2" t="s">
        <v>1284</v>
      </c>
      <c r="K1230" s="2" t="s">
        <v>1284</v>
      </c>
      <c r="L1230" s="2" t="s">
        <v>1284</v>
      </c>
      <c r="M1230" s="2" t="s">
        <v>1285</v>
      </c>
      <c r="N1230" s="2" t="s">
        <v>3663</v>
      </c>
      <c r="O1230" s="2" t="s">
        <v>1999</v>
      </c>
      <c r="P1230" s="2" t="s">
        <v>839</v>
      </c>
      <c r="Q1230" s="2" t="s">
        <v>41</v>
      </c>
      <c r="R1230" s="2" t="s">
        <v>1287</v>
      </c>
      <c r="S1230" s="2" t="s">
        <v>33</v>
      </c>
      <c r="T1230" s="2" t="s">
        <v>3664</v>
      </c>
      <c r="U1230" s="2" t="s">
        <v>292</v>
      </c>
    </row>
    <row r="1233" spans="4:4" s="40" customFormat="1" ht="92" customHeight="1" x14ac:dyDescent="0.2">
      <c r="D1233" s="44"/>
    </row>
    <row r="1234" spans="4:4" s="40" customFormat="1" ht="92" customHeight="1" x14ac:dyDescent="0.2">
      <c r="D1234" s="44"/>
    </row>
    <row r="1248" spans="4:4" ht="69" customHeight="1" x14ac:dyDescent="0.2"/>
    <row r="1249" spans="1:9" ht="69" customHeight="1" x14ac:dyDescent="0.2"/>
    <row r="1250" spans="1:9" ht="69" customHeight="1" x14ac:dyDescent="0.2"/>
    <row r="1251" spans="1:9" ht="69" customHeight="1" x14ac:dyDescent="0.2"/>
    <row r="1252" spans="1:9" ht="69" customHeight="1" x14ac:dyDescent="0.2"/>
    <row r="1253" spans="1:9" ht="69" customHeight="1" x14ac:dyDescent="0.2"/>
    <row r="1254" spans="1:9" s="41" customFormat="1" ht="69" customHeight="1" x14ac:dyDescent="0.2">
      <c r="D1254" s="42"/>
      <c r="E1254" s="2"/>
    </row>
    <row r="1255" spans="1:9" ht="69" customHeight="1" x14ac:dyDescent="0.2"/>
    <row r="1256" spans="1:9" ht="69" customHeight="1" x14ac:dyDescent="0.2"/>
    <row r="1257" spans="1:9" ht="69" customHeight="1" x14ac:dyDescent="0.2"/>
    <row r="1258" spans="1:9" s="41" customFormat="1" ht="69" customHeight="1" x14ac:dyDescent="0.2">
      <c r="A1258" s="2"/>
      <c r="B1258" s="2"/>
      <c r="C1258" s="2"/>
      <c r="D1258" s="1"/>
      <c r="E1258" s="2"/>
      <c r="F1258" s="2"/>
      <c r="G1258" s="2"/>
      <c r="H1258" s="2"/>
      <c r="I1258" s="25"/>
    </row>
    <row r="1259" spans="1:9" ht="69" customHeight="1" x14ac:dyDescent="0.2"/>
    <row r="1260" spans="1:9" s="40" customFormat="1" ht="69" customHeight="1" x14ac:dyDescent="0.2">
      <c r="A1260" s="25"/>
      <c r="B1260" s="25"/>
      <c r="C1260" s="45"/>
      <c r="D1260" s="44"/>
    </row>
    <row r="1261" spans="1:9" ht="69" customHeight="1" x14ac:dyDescent="0.2"/>
    <row r="1262" spans="1:9" s="41" customFormat="1" ht="92" customHeight="1" x14ac:dyDescent="0.2">
      <c r="A1262"/>
      <c r="B1262"/>
      <c r="C1262" s="45"/>
      <c r="D1262" s="42"/>
    </row>
    <row r="1263" spans="1:9" ht="92" customHeight="1" x14ac:dyDescent="0.2">
      <c r="A1263" s="7"/>
      <c r="B1263" s="7"/>
    </row>
    <row r="1264" spans="1:9" ht="92" customHeight="1" x14ac:dyDescent="0.2">
      <c r="A1264" s="2" t="s">
        <v>6133</v>
      </c>
      <c r="B1264" s="2" t="s">
        <v>6888</v>
      </c>
      <c r="C1264" s="2" t="s">
        <v>6888</v>
      </c>
      <c r="D1264" s="1">
        <f>730</f>
        <v>730</v>
      </c>
      <c r="E1264" s="2" t="s">
        <v>23</v>
      </c>
      <c r="G1264" s="2" t="s">
        <v>680</v>
      </c>
      <c r="I1264" s="2" t="s">
        <v>6889</v>
      </c>
    </row>
    <row r="1265" spans="1:9" ht="92" customHeight="1" x14ac:dyDescent="0.2">
      <c r="A1265" s="2" t="s">
        <v>6133</v>
      </c>
      <c r="B1265" s="2" t="s">
        <v>6890</v>
      </c>
      <c r="C1265" s="2" t="s">
        <v>6890</v>
      </c>
      <c r="D1265" s="1">
        <f>730</f>
        <v>730</v>
      </c>
      <c r="E1265" s="2" t="s">
        <v>23</v>
      </c>
      <c r="G1265" s="2" t="s">
        <v>680</v>
      </c>
      <c r="I1265" s="2" t="s">
        <v>6889</v>
      </c>
    </row>
    <row r="1266" spans="1:9" ht="92" customHeight="1" x14ac:dyDescent="0.2">
      <c r="A1266" s="2" t="s">
        <v>6133</v>
      </c>
      <c r="B1266" s="2" t="s">
        <v>6891</v>
      </c>
      <c r="C1266" s="2" t="s">
        <v>6891</v>
      </c>
      <c r="D1266" s="1">
        <f>365*1.5</f>
        <v>547.5</v>
      </c>
      <c r="E1266" s="2" t="s">
        <v>23</v>
      </c>
      <c r="G1266" s="2" t="s">
        <v>715</v>
      </c>
      <c r="I1266" s="2" t="s">
        <v>6893</v>
      </c>
    </row>
    <row r="1267" spans="1:9" ht="92" customHeight="1" x14ac:dyDescent="0.2">
      <c r="A1267" s="2" t="s">
        <v>6133</v>
      </c>
      <c r="B1267" s="2" t="s">
        <v>6892</v>
      </c>
      <c r="C1267" s="2" t="s">
        <v>6892</v>
      </c>
      <c r="D1267" s="1">
        <f>365*1.5</f>
        <v>547.5</v>
      </c>
      <c r="E1267" s="2" t="s">
        <v>23</v>
      </c>
      <c r="G1267" s="2" t="s">
        <v>715</v>
      </c>
      <c r="I1267" s="2" t="s">
        <v>6893</v>
      </c>
    </row>
  </sheetData>
  <autoFilter ref="A1:DH1267" xr:uid="{FB23A555-98DF-6348-87F4-1807E50AE95A}">
    <sortState xmlns:xlrd2="http://schemas.microsoft.com/office/spreadsheetml/2017/richdata2" ref="A2:DH1263">
      <sortCondition descending="1" ref="D1:D1263"/>
    </sortState>
  </autoFilter>
  <hyperlinks>
    <hyperlink ref="I31" r:id="rId1" xr:uid="{06892B44-0CB2-0943-B719-09863A2CC009}"/>
    <hyperlink ref="I438" r:id="rId2" xr:uid="{0A667329-7F8A-144D-9377-BEA7F7C761F1}"/>
    <hyperlink ref="I195" r:id="rId3" xr:uid="{139F45B9-F125-7C45-8C2A-B1202D9E7999}"/>
    <hyperlink ref="I1172" r:id="rId4" display="https://sentencingcouncil.org.uk/media/04ko5unq/miscellaneous-amendments-to-sentencing-guidelines-for-publication-2024-25.pdf" xr:uid="{999C6E3E-2E27-C843-B798-F9F3982CC163}"/>
    <hyperlink ref="I785" r:id="rId5" xr:uid="{78057A83-2E28-3E41-B302-FA51B57F3E66}"/>
    <hyperlink ref="I789" r:id="rId6" xr:uid="{C7640592-19EC-0C4C-BD30-9CD17E078347}"/>
    <hyperlink ref="I368" r:id="rId7" xr:uid="{0029278C-0686-1342-8135-541EFAFB9211}"/>
    <hyperlink ref="I790" r:id="rId8" xr:uid="{8B31CC05-2A1B-644D-9CFB-121C84F274FF}"/>
    <hyperlink ref="I369" r:id="rId9" xr:uid="{DC265075-6624-664F-B940-43A2DB5A1D2A}"/>
    <hyperlink ref="I1195" r:id="rId10" display="https://sentencingcouncil.org.uk/guidelines/organisations-houses-in-multiple-occupation-hmos-for-consultation-only/" xr:uid="{44CA5A57-4637-4546-AB0F-AC329F515DA2}"/>
    <hyperlink ref="I1196" r:id="rId11" display="https://sentencingcouncil.org.uk/guidelines/organisations-houses-in-multiple-occupation-hmos-for-consultation-only/" xr:uid="{E17BC021-3ECE-6342-85E0-1C8F2FC2A495}"/>
    <hyperlink ref="I1189" r:id="rId12" display="https://sentencingcouncil.org.uk/guidelines/organisations-houses-in-multiple-occupation-hmos-for-consultation-only/" xr:uid="{3DE2AA1D-28B0-0C42-8703-1AEC9713392F}"/>
    <hyperlink ref="I1190" r:id="rId13" display="https://sentencingcouncil.org.uk/guidelines/organisations-houses-in-multiple-occupation-hmos-for-consultation-only/" xr:uid="{45A35F10-A863-AB41-8EDA-29A68BE46CE2}"/>
    <hyperlink ref="I1191" r:id="rId14" display="https://sentencingcouncil.org.uk/guidelines/organisations-houses-in-multiple-occupation-hmos-for-consultation-only/" xr:uid="{19F82AD4-384E-6D4D-A4E5-988A34B7E3F8}"/>
    <hyperlink ref="I1192" r:id="rId15" display="https://sentencingcouncil.org.uk/guidelines/organisations-houses-in-multiple-occupation-hmos-for-consultation-only/" xr:uid="{4A1B3B54-7808-9943-87D0-ADEFD96A2B17}"/>
    <hyperlink ref="I1193" r:id="rId16" xr:uid="{F91676FB-8175-174A-A934-3B97FF5AADF0}"/>
    <hyperlink ref="I1194" r:id="rId17" xr:uid="{75820B28-47CD-0F4B-B37B-7FB96A3C597D}"/>
    <hyperlink ref="I649" r:id="rId18" xr:uid="{867D65D7-9986-3F4B-9475-D778452EDFC1}"/>
  </hyperlinks>
  <pageMargins left="0.7" right="0.7" top="0.75" bottom="0.75" header="0.3" footer="0.3"/>
  <pageSetup paperSize="9" orientation="portrait" horizontalDpi="0" verticalDpi="0"/>
  <legacy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220D-DC4C-C445-AABF-73367AB52863}">
  <dimension ref="A1:DI18"/>
  <sheetViews>
    <sheetView workbookViewId="0">
      <selection activeCell="C9" sqref="C9"/>
    </sheetView>
  </sheetViews>
  <sheetFormatPr baseColWidth="10" defaultColWidth="31" defaultRowHeight="59" customHeight="1" x14ac:dyDescent="0.2"/>
  <sheetData>
    <row r="1" spans="1:113" s="1" customFormat="1" ht="59" customHeight="1" x14ac:dyDescent="0.2">
      <c r="A1" s="1" t="s">
        <v>0</v>
      </c>
      <c r="B1" s="1" t="s">
        <v>6127</v>
      </c>
      <c r="C1" s="1" t="s">
        <v>1</v>
      </c>
      <c r="D1" s="1" t="s">
        <v>2</v>
      </c>
      <c r="E1" s="1" t="s">
        <v>3</v>
      </c>
      <c r="F1" s="2" t="s">
        <v>4</v>
      </c>
      <c r="G1" s="2" t="s">
        <v>5</v>
      </c>
      <c r="H1" s="2" t="s">
        <v>6</v>
      </c>
      <c r="I1" s="2" t="s">
        <v>7</v>
      </c>
      <c r="J1" s="2" t="s">
        <v>8</v>
      </c>
      <c r="K1" s="1" t="s">
        <v>9</v>
      </c>
      <c r="L1" s="1" t="s">
        <v>10</v>
      </c>
      <c r="M1" s="1" t="s">
        <v>11</v>
      </c>
      <c r="N1" s="1" t="s">
        <v>12</v>
      </c>
      <c r="O1" s="1" t="s">
        <v>13</v>
      </c>
      <c r="P1" s="1" t="s">
        <v>14</v>
      </c>
      <c r="Q1" s="1" t="s">
        <v>15</v>
      </c>
      <c r="R1" s="1" t="s">
        <v>16</v>
      </c>
      <c r="S1" s="1" t="s">
        <v>17</v>
      </c>
      <c r="T1" s="1" t="s">
        <v>18</v>
      </c>
      <c r="U1" s="1" t="s">
        <v>19</v>
      </c>
      <c r="V1" s="1" t="s">
        <v>5036</v>
      </c>
      <c r="W1" s="1" t="s">
        <v>5036</v>
      </c>
      <c r="X1" s="1" t="s">
        <v>5036</v>
      </c>
      <c r="Y1" s="1" t="s">
        <v>5036</v>
      </c>
      <c r="Z1" s="1" t="s">
        <v>5036</v>
      </c>
      <c r="AA1" s="1" t="s">
        <v>5036</v>
      </c>
      <c r="AB1" s="1" t="s">
        <v>5036</v>
      </c>
      <c r="AC1" s="1" t="s">
        <v>5036</v>
      </c>
      <c r="AD1" s="1" t="s">
        <v>5036</v>
      </c>
      <c r="AE1" s="1" t="s">
        <v>5036</v>
      </c>
      <c r="AF1" s="1" t="s">
        <v>5036</v>
      </c>
      <c r="AG1" s="1" t="s">
        <v>5036</v>
      </c>
      <c r="AH1" s="1" t="s">
        <v>5036</v>
      </c>
      <c r="AI1" s="1" t="s">
        <v>5036</v>
      </c>
      <c r="AJ1" s="1" t="s">
        <v>5036</v>
      </c>
      <c r="AK1" s="1" t="s">
        <v>5036</v>
      </c>
      <c r="AL1" s="1" t="s">
        <v>5036</v>
      </c>
      <c r="AM1" s="1" t="s">
        <v>5036</v>
      </c>
      <c r="AN1" s="1" t="s">
        <v>5036</v>
      </c>
      <c r="AO1" s="1" t="s">
        <v>5036</v>
      </c>
      <c r="AP1" s="1" t="s">
        <v>5036</v>
      </c>
      <c r="AQ1" s="1" t="s">
        <v>5036</v>
      </c>
      <c r="AR1" s="1" t="s">
        <v>5036</v>
      </c>
      <c r="AS1" s="1" t="s">
        <v>5036</v>
      </c>
      <c r="AT1" s="1" t="s">
        <v>5036</v>
      </c>
      <c r="AU1" s="1" t="s">
        <v>5036</v>
      </c>
      <c r="AV1" s="1" t="s">
        <v>5036</v>
      </c>
      <c r="AW1" s="1" t="s">
        <v>5036</v>
      </c>
    </row>
    <row r="2" spans="1:113" s="2" customFormat="1" ht="59" customHeight="1" x14ac:dyDescent="0.2">
      <c r="A2" s="7" t="s">
        <v>5225</v>
      </c>
      <c r="B2" s="13">
        <v>45047</v>
      </c>
      <c r="C2" s="7" t="s">
        <v>5226</v>
      </c>
      <c r="D2" s="2" t="s">
        <v>5227</v>
      </c>
      <c r="E2" s="1">
        <v>730</v>
      </c>
      <c r="F2" s="2" t="s">
        <v>61</v>
      </c>
      <c r="G2" s="2" t="s">
        <v>6034</v>
      </c>
      <c r="H2" s="2" t="s">
        <v>537</v>
      </c>
      <c r="I2" s="2" t="s">
        <v>25</v>
      </c>
      <c r="J2" s="2" t="s">
        <v>611</v>
      </c>
      <c r="K2" s="12" t="s">
        <v>612</v>
      </c>
      <c r="L2" s="12" t="s">
        <v>5228</v>
      </c>
      <c r="M2" s="12" t="s">
        <v>5228</v>
      </c>
      <c r="N2" s="12" t="s">
        <v>5229</v>
      </c>
      <c r="O2" s="12" t="s">
        <v>5230</v>
      </c>
      <c r="P2" s="12" t="s">
        <v>948</v>
      </c>
      <c r="Q2" s="12" t="s">
        <v>30</v>
      </c>
      <c r="R2" s="12" t="s">
        <v>41</v>
      </c>
      <c r="S2" s="12" t="s">
        <v>32</v>
      </c>
      <c r="T2" s="12" t="s">
        <v>33</v>
      </c>
      <c r="U2" s="12" t="s">
        <v>618</v>
      </c>
      <c r="V2" s="12" t="s">
        <v>5231</v>
      </c>
      <c r="W2" s="12" t="s">
        <v>5231</v>
      </c>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row>
    <row r="3" spans="1:113" s="2" customFormat="1" ht="59" customHeight="1" x14ac:dyDescent="0.2">
      <c r="A3" s="2" t="s">
        <v>609</v>
      </c>
      <c r="B3" s="13">
        <v>45047</v>
      </c>
      <c r="C3" s="2" t="s">
        <v>610</v>
      </c>
      <c r="D3" s="2" t="s">
        <v>610</v>
      </c>
      <c r="E3" s="1">
        <v>730</v>
      </c>
      <c r="F3" s="2" t="s">
        <v>23</v>
      </c>
      <c r="H3" s="2" t="s">
        <v>537</v>
      </c>
      <c r="I3" s="2" t="s">
        <v>25</v>
      </c>
      <c r="J3" s="2" t="s">
        <v>611</v>
      </c>
      <c r="K3" s="2" t="s">
        <v>612</v>
      </c>
      <c r="L3" s="2" t="s">
        <v>613</v>
      </c>
      <c r="M3" s="2" t="s">
        <v>614</v>
      </c>
      <c r="N3" s="2" t="s">
        <v>615</v>
      </c>
      <c r="O3" s="2" t="s">
        <v>616</v>
      </c>
      <c r="P3" s="2" t="s">
        <v>617</v>
      </c>
      <c r="Q3" s="2" t="s">
        <v>41</v>
      </c>
      <c r="R3" s="2" t="s">
        <v>30</v>
      </c>
      <c r="S3" s="2" t="s">
        <v>32</v>
      </c>
      <c r="T3" s="2" t="s">
        <v>392</v>
      </c>
      <c r="U3" s="2" t="s">
        <v>618</v>
      </c>
      <c r="V3" s="2" t="s">
        <v>3822</v>
      </c>
      <c r="W3" s="2" t="s">
        <v>3823</v>
      </c>
      <c r="X3" s="2" t="s">
        <v>3824</v>
      </c>
      <c r="Y3" s="2" t="s">
        <v>3825</v>
      </c>
      <c r="Z3" s="2" t="s">
        <v>3826</v>
      </c>
      <c r="AA3" s="2" t="s">
        <v>3827</v>
      </c>
      <c r="AB3" s="2" t="s">
        <v>3828</v>
      </c>
    </row>
    <row r="4" spans="1:113" s="2" customFormat="1" ht="59" customHeight="1" x14ac:dyDescent="0.2">
      <c r="A4" s="2" t="s">
        <v>619</v>
      </c>
      <c r="B4" s="13">
        <v>45047</v>
      </c>
      <c r="C4" s="2" t="s">
        <v>620</v>
      </c>
      <c r="D4" s="2" t="s">
        <v>620</v>
      </c>
      <c r="E4" s="1">
        <v>730</v>
      </c>
      <c r="F4" s="2" t="s">
        <v>23</v>
      </c>
      <c r="H4" s="2" t="s">
        <v>537</v>
      </c>
      <c r="I4" s="2" t="s">
        <v>25</v>
      </c>
      <c r="J4" s="2" t="s">
        <v>611</v>
      </c>
      <c r="K4" s="2" t="s">
        <v>612</v>
      </c>
      <c r="L4" s="2" t="s">
        <v>613</v>
      </c>
      <c r="M4" s="2" t="s">
        <v>614</v>
      </c>
      <c r="N4" s="2" t="s">
        <v>615</v>
      </c>
      <c r="O4" s="2" t="s">
        <v>616</v>
      </c>
      <c r="P4" s="2" t="s">
        <v>617</v>
      </c>
      <c r="Q4" s="2" t="s">
        <v>41</v>
      </c>
      <c r="R4" s="2" t="s">
        <v>40</v>
      </c>
      <c r="S4" s="2" t="s">
        <v>32</v>
      </c>
      <c r="T4" s="2" t="s">
        <v>392</v>
      </c>
      <c r="U4" s="2" t="s">
        <v>618</v>
      </c>
      <c r="V4" s="2" t="s">
        <v>3823</v>
      </c>
      <c r="W4" s="2" t="s">
        <v>3824</v>
      </c>
      <c r="X4" s="2" t="s">
        <v>3825</v>
      </c>
      <c r="Y4" s="2" t="s">
        <v>3826</v>
      </c>
      <c r="Z4" s="2" t="s">
        <v>3827</v>
      </c>
      <c r="AA4" s="2" t="s">
        <v>3828</v>
      </c>
      <c r="AB4" s="2" t="s">
        <v>3829</v>
      </c>
      <c r="AC4" s="2" t="s">
        <v>3830</v>
      </c>
      <c r="AD4" s="2" t="s">
        <v>3831</v>
      </c>
    </row>
    <row r="5" spans="1:113" s="2" customFormat="1" ht="59" customHeight="1" x14ac:dyDescent="0.2">
      <c r="A5" s="2" t="s">
        <v>621</v>
      </c>
      <c r="B5" s="13">
        <v>45047</v>
      </c>
      <c r="C5" s="2" t="s">
        <v>622</v>
      </c>
      <c r="D5" s="2" t="s">
        <v>622</v>
      </c>
      <c r="E5" s="1">
        <v>730</v>
      </c>
      <c r="F5" s="2" t="s">
        <v>23</v>
      </c>
      <c r="H5" s="2" t="s">
        <v>537</v>
      </c>
      <c r="I5" s="2" t="s">
        <v>25</v>
      </c>
      <c r="J5" s="2" t="s">
        <v>611</v>
      </c>
      <c r="K5" s="2" t="s">
        <v>612</v>
      </c>
      <c r="L5" s="2" t="s">
        <v>613</v>
      </c>
      <c r="M5" s="2" t="s">
        <v>614</v>
      </c>
      <c r="N5" s="2" t="s">
        <v>615</v>
      </c>
      <c r="O5" s="2" t="s">
        <v>616</v>
      </c>
      <c r="P5" s="2" t="s">
        <v>617</v>
      </c>
      <c r="Q5" s="2" t="s">
        <v>41</v>
      </c>
      <c r="R5" s="2" t="s">
        <v>30</v>
      </c>
      <c r="S5" s="2" t="s">
        <v>32</v>
      </c>
      <c r="T5" s="2" t="s">
        <v>392</v>
      </c>
      <c r="U5" s="2" t="s">
        <v>618</v>
      </c>
      <c r="V5" s="2" t="s">
        <v>3822</v>
      </c>
      <c r="W5" s="2" t="s">
        <v>3823</v>
      </c>
      <c r="X5" s="2" t="s">
        <v>3824</v>
      </c>
      <c r="Y5" s="2" t="s">
        <v>3825</v>
      </c>
      <c r="Z5" s="2" t="s">
        <v>3826</v>
      </c>
      <c r="AA5" s="2" t="s">
        <v>3827</v>
      </c>
      <c r="AB5" s="2" t="s">
        <v>3828</v>
      </c>
    </row>
    <row r="6" spans="1:113" s="2" customFormat="1" ht="59" customHeight="1" x14ac:dyDescent="0.2">
      <c r="A6" s="7" t="s">
        <v>5232</v>
      </c>
      <c r="B6" s="13">
        <v>45047</v>
      </c>
      <c r="C6" s="7" t="s">
        <v>5233</v>
      </c>
      <c r="D6" s="2" t="s">
        <v>5233</v>
      </c>
      <c r="E6" s="1">
        <v>730</v>
      </c>
      <c r="F6" s="2" t="s">
        <v>23</v>
      </c>
      <c r="H6" s="2" t="s">
        <v>537</v>
      </c>
      <c r="I6" s="2" t="s">
        <v>25</v>
      </c>
      <c r="J6" s="2" t="s">
        <v>611</v>
      </c>
      <c r="K6" s="12" t="s">
        <v>612</v>
      </c>
      <c r="L6" s="12" t="s">
        <v>613</v>
      </c>
      <c r="M6" s="12" t="s">
        <v>614</v>
      </c>
      <c r="N6" s="12" t="s">
        <v>615</v>
      </c>
      <c r="O6" s="12" t="s">
        <v>616</v>
      </c>
      <c r="P6" s="12" t="s">
        <v>617</v>
      </c>
      <c r="Q6" s="12" t="s">
        <v>41</v>
      </c>
      <c r="R6" s="12" t="s">
        <v>40</v>
      </c>
      <c r="S6" s="12" t="s">
        <v>32</v>
      </c>
      <c r="T6" s="12" t="s">
        <v>392</v>
      </c>
      <c r="U6" s="12" t="s">
        <v>618</v>
      </c>
      <c r="V6" s="12" t="s">
        <v>5234</v>
      </c>
      <c r="W6" s="12" t="s">
        <v>5234</v>
      </c>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row>
    <row r="7" spans="1:113" s="2" customFormat="1" ht="59" customHeight="1" x14ac:dyDescent="0.2">
      <c r="A7" s="2" t="s">
        <v>623</v>
      </c>
      <c r="B7" s="13">
        <v>45047</v>
      </c>
      <c r="C7" s="2" t="s">
        <v>624</v>
      </c>
      <c r="D7" s="2" t="s">
        <v>624</v>
      </c>
      <c r="E7" s="1">
        <v>730</v>
      </c>
      <c r="F7" s="2" t="s">
        <v>23</v>
      </c>
      <c r="H7" s="2" t="s">
        <v>537</v>
      </c>
      <c r="I7" s="2" t="s">
        <v>25</v>
      </c>
      <c r="J7" s="2" t="s">
        <v>611</v>
      </c>
      <c r="K7" s="2" t="s">
        <v>612</v>
      </c>
      <c r="L7" s="2" t="s">
        <v>625</v>
      </c>
      <c r="M7" s="2" t="s">
        <v>626</v>
      </c>
      <c r="N7" s="2" t="s">
        <v>627</v>
      </c>
      <c r="O7" s="2" t="s">
        <v>628</v>
      </c>
      <c r="P7" s="2" t="s">
        <v>629</v>
      </c>
      <c r="Q7" s="2" t="s">
        <v>41</v>
      </c>
      <c r="R7" s="2" t="s">
        <v>30</v>
      </c>
      <c r="S7" s="2" t="s">
        <v>32</v>
      </c>
      <c r="T7" s="2" t="s">
        <v>392</v>
      </c>
      <c r="U7" s="2" t="s">
        <v>618</v>
      </c>
      <c r="V7" s="2" t="s">
        <v>3823</v>
      </c>
      <c r="W7" s="2" t="s">
        <v>3824</v>
      </c>
      <c r="X7" s="2" t="s">
        <v>3825</v>
      </c>
      <c r="Y7" s="2" t="s">
        <v>3826</v>
      </c>
      <c r="Z7" s="2" t="s">
        <v>3827</v>
      </c>
      <c r="AA7" s="2" t="s">
        <v>3828</v>
      </c>
      <c r="AB7" s="2" t="s">
        <v>3829</v>
      </c>
      <c r="AC7" s="2" t="s">
        <v>3830</v>
      </c>
      <c r="AD7" s="2" t="s">
        <v>3831</v>
      </c>
    </row>
    <row r="8" spans="1:113" s="2" customFormat="1" ht="59" customHeight="1" x14ac:dyDescent="0.2">
      <c r="A8" s="2" t="s">
        <v>630</v>
      </c>
      <c r="B8" s="13">
        <v>45047</v>
      </c>
      <c r="C8" s="2" t="s">
        <v>631</v>
      </c>
      <c r="D8" s="2" t="s">
        <v>631</v>
      </c>
      <c r="E8" s="1">
        <v>730</v>
      </c>
      <c r="F8" s="2" t="s">
        <v>23</v>
      </c>
      <c r="H8" s="2" t="s">
        <v>537</v>
      </c>
      <c r="I8" s="2" t="s">
        <v>25</v>
      </c>
      <c r="J8" s="2" t="s">
        <v>611</v>
      </c>
      <c r="K8" s="2" t="s">
        <v>612</v>
      </c>
      <c r="L8" s="2" t="s">
        <v>625</v>
      </c>
      <c r="M8" s="2" t="s">
        <v>626</v>
      </c>
      <c r="N8" s="2" t="s">
        <v>627</v>
      </c>
      <c r="O8" s="2" t="s">
        <v>628</v>
      </c>
      <c r="P8" s="2" t="s">
        <v>629</v>
      </c>
      <c r="Q8" s="2" t="s">
        <v>41</v>
      </c>
      <c r="R8" s="2" t="s">
        <v>30</v>
      </c>
      <c r="S8" s="2" t="s">
        <v>32</v>
      </c>
      <c r="T8" s="2" t="s">
        <v>392</v>
      </c>
      <c r="U8" s="2" t="s">
        <v>618</v>
      </c>
      <c r="V8" s="2" t="s">
        <v>3823</v>
      </c>
      <c r="W8" s="2" t="s">
        <v>3824</v>
      </c>
      <c r="X8" s="2" t="s">
        <v>3825</v>
      </c>
      <c r="Y8" s="2" t="s">
        <v>3826</v>
      </c>
      <c r="Z8" s="2" t="s">
        <v>3827</v>
      </c>
      <c r="AA8" s="2" t="s">
        <v>3828</v>
      </c>
      <c r="AB8" s="2" t="s">
        <v>3829</v>
      </c>
      <c r="AC8" s="2" t="s">
        <v>3830</v>
      </c>
      <c r="AD8" s="2" t="s">
        <v>3831</v>
      </c>
    </row>
    <row r="9" spans="1:113" s="2" customFormat="1" ht="59" customHeight="1" x14ac:dyDescent="0.2">
      <c r="A9" s="2" t="s">
        <v>958</v>
      </c>
      <c r="B9" s="13">
        <v>45047</v>
      </c>
      <c r="C9" s="2" t="s">
        <v>959</v>
      </c>
      <c r="D9" s="2" t="s">
        <v>959</v>
      </c>
      <c r="E9" s="1">
        <v>365</v>
      </c>
      <c r="F9" s="2" t="s">
        <v>23</v>
      </c>
      <c r="G9" s="2" t="s">
        <v>960</v>
      </c>
      <c r="H9" s="2" t="s">
        <v>869</v>
      </c>
      <c r="I9" s="2" t="s">
        <v>370</v>
      </c>
      <c r="J9" s="2" t="s">
        <v>611</v>
      </c>
      <c r="K9" s="2" t="s">
        <v>612</v>
      </c>
      <c r="L9" s="2" t="s">
        <v>613</v>
      </c>
      <c r="M9" s="2" t="s">
        <v>961</v>
      </c>
      <c r="N9" s="2" t="s">
        <v>962</v>
      </c>
      <c r="O9" s="2" t="s">
        <v>963</v>
      </c>
      <c r="P9" s="2" t="s">
        <v>948</v>
      </c>
      <c r="Q9" s="2" t="s">
        <v>52</v>
      </c>
      <c r="R9" s="2" t="s">
        <v>30</v>
      </c>
      <c r="S9" s="2" t="s">
        <v>32</v>
      </c>
      <c r="T9" s="2" t="s">
        <v>392</v>
      </c>
      <c r="U9" s="2" t="s">
        <v>618</v>
      </c>
      <c r="V9" s="2" t="s">
        <v>3976</v>
      </c>
      <c r="W9" s="2" t="s">
        <v>3977</v>
      </c>
      <c r="X9" s="2" t="s">
        <v>3978</v>
      </c>
      <c r="Y9" s="2" t="s">
        <v>3979</v>
      </c>
    </row>
    <row r="10" spans="1:113" s="2" customFormat="1" ht="59" customHeight="1" x14ac:dyDescent="0.2">
      <c r="A10" s="2" t="s">
        <v>964</v>
      </c>
      <c r="B10" s="13">
        <v>45047</v>
      </c>
      <c r="C10" s="2" t="s">
        <v>965</v>
      </c>
      <c r="D10" s="2" t="s">
        <v>965</v>
      </c>
      <c r="E10" s="1">
        <v>365</v>
      </c>
      <c r="F10" s="2" t="s">
        <v>23</v>
      </c>
      <c r="G10" s="2" t="s">
        <v>960</v>
      </c>
      <c r="H10" s="2" t="s">
        <v>869</v>
      </c>
      <c r="I10" s="2" t="s">
        <v>370</v>
      </c>
      <c r="J10" s="2" t="s">
        <v>611</v>
      </c>
      <c r="K10" s="2" t="s">
        <v>612</v>
      </c>
      <c r="L10" s="2" t="s">
        <v>613</v>
      </c>
      <c r="M10" s="2" t="s">
        <v>966</v>
      </c>
      <c r="N10" s="2" t="s">
        <v>967</v>
      </c>
      <c r="O10" s="2" t="s">
        <v>963</v>
      </c>
      <c r="P10" s="2" t="s">
        <v>948</v>
      </c>
      <c r="Q10" s="2" t="s">
        <v>52</v>
      </c>
      <c r="R10" s="2" t="s">
        <v>30</v>
      </c>
      <c r="S10" s="2" t="s">
        <v>32</v>
      </c>
      <c r="T10" s="2" t="s">
        <v>392</v>
      </c>
      <c r="U10" s="2" t="s">
        <v>618</v>
      </c>
      <c r="V10" s="2" t="s">
        <v>3976</v>
      </c>
      <c r="W10" s="2" t="s">
        <v>3977</v>
      </c>
      <c r="X10" s="2" t="s">
        <v>3978</v>
      </c>
      <c r="Y10" s="2" t="s">
        <v>3979</v>
      </c>
    </row>
    <row r="11" spans="1:113" s="2" customFormat="1" ht="59" customHeight="1" x14ac:dyDescent="0.2">
      <c r="A11" s="2" t="s">
        <v>1330</v>
      </c>
      <c r="B11" s="13">
        <v>45047</v>
      </c>
      <c r="C11" s="2" t="s">
        <v>1331</v>
      </c>
      <c r="D11" s="2" t="s">
        <v>1331</v>
      </c>
      <c r="E11" s="1">
        <v>126</v>
      </c>
      <c r="F11" s="2" t="s">
        <v>23</v>
      </c>
      <c r="G11" s="2" t="s">
        <v>960</v>
      </c>
      <c r="H11" s="2" t="s">
        <v>1332</v>
      </c>
      <c r="I11" s="2" t="s">
        <v>369</v>
      </c>
      <c r="J11" s="2" t="s">
        <v>611</v>
      </c>
      <c r="K11" s="2" t="s">
        <v>612</v>
      </c>
      <c r="L11" s="2" t="s">
        <v>613</v>
      </c>
      <c r="M11" s="2" t="s">
        <v>961</v>
      </c>
      <c r="N11" s="2" t="s">
        <v>962</v>
      </c>
      <c r="O11" s="2" t="s">
        <v>963</v>
      </c>
      <c r="P11" s="2" t="s">
        <v>948</v>
      </c>
      <c r="Q11" s="2" t="s">
        <v>52</v>
      </c>
      <c r="R11" s="2" t="s">
        <v>40</v>
      </c>
      <c r="S11" s="2" t="s">
        <v>32</v>
      </c>
      <c r="T11" s="2" t="s">
        <v>392</v>
      </c>
      <c r="U11" s="2" t="s">
        <v>618</v>
      </c>
      <c r="V11" s="2" t="s">
        <v>4065</v>
      </c>
      <c r="W11" s="2" t="s">
        <v>4066</v>
      </c>
      <c r="X11" s="2" t="s">
        <v>4067</v>
      </c>
      <c r="Y11" s="2" t="s">
        <v>4068</v>
      </c>
    </row>
    <row r="12" spans="1:113" s="2" customFormat="1" ht="59" customHeight="1" x14ac:dyDescent="0.2">
      <c r="A12" s="2" t="s">
        <v>1333</v>
      </c>
      <c r="B12" s="13">
        <v>45047</v>
      </c>
      <c r="C12" s="2" t="s">
        <v>1334</v>
      </c>
      <c r="D12" s="2" t="s">
        <v>1334</v>
      </c>
      <c r="E12" s="1">
        <v>126</v>
      </c>
      <c r="F12" s="2" t="s">
        <v>23</v>
      </c>
      <c r="G12" s="2" t="s">
        <v>960</v>
      </c>
      <c r="H12" s="2" t="s">
        <v>1332</v>
      </c>
      <c r="I12" s="2" t="s">
        <v>369</v>
      </c>
      <c r="J12" s="2" t="s">
        <v>611</v>
      </c>
      <c r="K12" s="2" t="s">
        <v>612</v>
      </c>
      <c r="L12" s="2" t="s">
        <v>613</v>
      </c>
      <c r="M12" s="2" t="s">
        <v>966</v>
      </c>
      <c r="N12" s="2" t="s">
        <v>967</v>
      </c>
      <c r="O12" s="2" t="s">
        <v>963</v>
      </c>
      <c r="P12" s="2" t="s">
        <v>948</v>
      </c>
      <c r="Q12" s="2" t="s">
        <v>52</v>
      </c>
      <c r="R12" s="2" t="s">
        <v>40</v>
      </c>
      <c r="S12" s="2" t="s">
        <v>32</v>
      </c>
      <c r="T12" s="2" t="s">
        <v>392</v>
      </c>
      <c r="U12" s="2" t="s">
        <v>618</v>
      </c>
      <c r="V12" s="2" t="s">
        <v>4065</v>
      </c>
      <c r="W12" s="2" t="s">
        <v>4066</v>
      </c>
      <c r="X12" s="2" t="s">
        <v>4067</v>
      </c>
      <c r="Y12" s="2" t="s">
        <v>4068</v>
      </c>
    </row>
    <row r="13" spans="1:113" s="2" customFormat="1" ht="59" customHeight="1" x14ac:dyDescent="0.2">
      <c r="A13" s="2" t="s">
        <v>1464</v>
      </c>
      <c r="B13" s="13">
        <v>45047</v>
      </c>
      <c r="C13" s="2" t="s">
        <v>1465</v>
      </c>
      <c r="D13" s="2" t="s">
        <v>1465</v>
      </c>
      <c r="E13" s="1">
        <v>19</v>
      </c>
      <c r="F13" s="2" t="s">
        <v>23</v>
      </c>
      <c r="H13" s="2" t="s">
        <v>1418</v>
      </c>
      <c r="I13" s="2" t="s">
        <v>189</v>
      </c>
      <c r="J13" s="2" t="s">
        <v>1466</v>
      </c>
      <c r="K13" s="2" t="s">
        <v>612</v>
      </c>
      <c r="L13" s="2" t="s">
        <v>613</v>
      </c>
      <c r="M13" s="2" t="s">
        <v>613</v>
      </c>
      <c r="N13" s="2" t="s">
        <v>1467</v>
      </c>
      <c r="O13" s="2" t="s">
        <v>963</v>
      </c>
      <c r="P13" s="2" t="s">
        <v>948</v>
      </c>
      <c r="Q13" s="2" t="s">
        <v>52</v>
      </c>
      <c r="R13" s="2" t="s">
        <v>30</v>
      </c>
      <c r="S13" s="2" t="s">
        <v>32</v>
      </c>
      <c r="T13" s="2" t="s">
        <v>392</v>
      </c>
      <c r="U13" s="2" t="s">
        <v>618</v>
      </c>
      <c r="V13" s="2" t="s">
        <v>3976</v>
      </c>
      <c r="W13" s="2" t="s">
        <v>3977</v>
      </c>
      <c r="X13" s="2" t="s">
        <v>3978</v>
      </c>
      <c r="Y13" s="2" t="s">
        <v>3979</v>
      </c>
    </row>
    <row r="14" spans="1:113" s="2" customFormat="1" ht="59" customHeight="1" x14ac:dyDescent="0.2">
      <c r="A14" s="2" t="s">
        <v>1468</v>
      </c>
      <c r="B14" s="13">
        <v>45047</v>
      </c>
      <c r="C14" s="2" t="s">
        <v>1469</v>
      </c>
      <c r="D14" s="2" t="s">
        <v>1469</v>
      </c>
      <c r="E14" s="1">
        <v>19</v>
      </c>
      <c r="F14" s="2" t="s">
        <v>23</v>
      </c>
      <c r="H14" s="2" t="s">
        <v>1418</v>
      </c>
      <c r="I14" s="2" t="s">
        <v>189</v>
      </c>
      <c r="J14" s="2" t="s">
        <v>1466</v>
      </c>
      <c r="K14" s="2" t="s">
        <v>612</v>
      </c>
      <c r="L14" s="2" t="s">
        <v>613</v>
      </c>
      <c r="M14" s="2" t="s">
        <v>1470</v>
      </c>
      <c r="N14" s="2" t="s">
        <v>1471</v>
      </c>
      <c r="O14" s="2" t="s">
        <v>963</v>
      </c>
      <c r="P14" s="2" t="s">
        <v>948</v>
      </c>
      <c r="Q14" s="2" t="s">
        <v>52</v>
      </c>
      <c r="R14" s="2" t="s">
        <v>30</v>
      </c>
      <c r="S14" s="2" t="s">
        <v>32</v>
      </c>
      <c r="T14" s="2" t="s">
        <v>392</v>
      </c>
      <c r="U14" s="2" t="s">
        <v>618</v>
      </c>
      <c r="V14" s="2" t="s">
        <v>3976</v>
      </c>
      <c r="W14" s="2" t="s">
        <v>3977</v>
      </c>
      <c r="X14" s="2" t="s">
        <v>3978</v>
      </c>
      <c r="Y14" s="2" t="s">
        <v>3979</v>
      </c>
    </row>
    <row r="15" spans="1:113" s="2" customFormat="1" ht="59" customHeight="1" x14ac:dyDescent="0.2">
      <c r="A15" s="2" t="s">
        <v>1733</v>
      </c>
      <c r="B15" s="13">
        <v>45047</v>
      </c>
      <c r="C15" s="2" t="s">
        <v>1734</v>
      </c>
      <c r="D15" s="2" t="s">
        <v>1734</v>
      </c>
      <c r="E15" s="1">
        <v>10</v>
      </c>
      <c r="F15" s="2" t="s">
        <v>23</v>
      </c>
      <c r="H15" s="2" t="s">
        <v>1194</v>
      </c>
      <c r="I15" s="2" t="s">
        <v>664</v>
      </c>
      <c r="J15" s="2" t="s">
        <v>611</v>
      </c>
      <c r="K15" s="2" t="s">
        <v>612</v>
      </c>
      <c r="L15" s="2" t="s">
        <v>613</v>
      </c>
      <c r="M15" s="2" t="s">
        <v>613</v>
      </c>
      <c r="N15" s="2" t="s">
        <v>1467</v>
      </c>
      <c r="O15" s="2" t="s">
        <v>963</v>
      </c>
      <c r="P15" s="2" t="s">
        <v>948</v>
      </c>
      <c r="Q15" s="2" t="s">
        <v>52</v>
      </c>
      <c r="R15" s="2" t="s">
        <v>40</v>
      </c>
      <c r="S15" s="2" t="s">
        <v>32</v>
      </c>
      <c r="T15" s="2" t="s">
        <v>392</v>
      </c>
      <c r="U15" s="2" t="s">
        <v>618</v>
      </c>
      <c r="V15" s="2" t="s">
        <v>4065</v>
      </c>
      <c r="W15" s="2" t="s">
        <v>4066</v>
      </c>
      <c r="X15" s="2" t="s">
        <v>4067</v>
      </c>
      <c r="Y15" s="2" t="s">
        <v>4068</v>
      </c>
      <c r="Z15" s="2" t="s">
        <v>4190</v>
      </c>
      <c r="AA15" s="2" t="s">
        <v>4191</v>
      </c>
    </row>
    <row r="16" spans="1:113" s="2" customFormat="1" ht="59" customHeight="1" x14ac:dyDescent="0.2">
      <c r="A16" s="2" t="s">
        <v>1735</v>
      </c>
      <c r="B16" s="13">
        <v>45047</v>
      </c>
      <c r="C16" s="2" t="s">
        <v>1736</v>
      </c>
      <c r="D16" s="2" t="s">
        <v>1736</v>
      </c>
      <c r="E16" s="1">
        <v>10</v>
      </c>
      <c r="F16" s="2" t="s">
        <v>23</v>
      </c>
      <c r="H16" s="2" t="s">
        <v>1194</v>
      </c>
      <c r="I16" s="2" t="s">
        <v>664</v>
      </c>
      <c r="J16" s="2" t="s">
        <v>611</v>
      </c>
      <c r="K16" s="2" t="s">
        <v>612</v>
      </c>
      <c r="L16" s="2" t="s">
        <v>613</v>
      </c>
      <c r="M16" s="2" t="s">
        <v>1470</v>
      </c>
      <c r="N16" s="2" t="s">
        <v>1471</v>
      </c>
      <c r="O16" s="2" t="s">
        <v>963</v>
      </c>
      <c r="P16" s="2" t="s">
        <v>948</v>
      </c>
      <c r="Q16" s="2" t="s">
        <v>52</v>
      </c>
      <c r="R16" s="2" t="s">
        <v>30</v>
      </c>
      <c r="S16" s="2" t="s">
        <v>32</v>
      </c>
      <c r="T16" s="2" t="s">
        <v>392</v>
      </c>
      <c r="U16" s="2" t="s">
        <v>618</v>
      </c>
      <c r="V16" s="2" t="s">
        <v>4065</v>
      </c>
      <c r="W16" s="2" t="s">
        <v>4066</v>
      </c>
      <c r="X16" s="2" t="s">
        <v>4067</v>
      </c>
      <c r="Y16" s="2" t="s">
        <v>4068</v>
      </c>
    </row>
    <row r="17" spans="1:25" s="2" customFormat="1" ht="59" customHeight="1" x14ac:dyDescent="0.2">
      <c r="A17" s="2" t="s">
        <v>1737</v>
      </c>
      <c r="B17" s="13">
        <v>45047</v>
      </c>
      <c r="C17" s="2" t="s">
        <v>1738</v>
      </c>
      <c r="D17" s="2" t="s">
        <v>1738</v>
      </c>
      <c r="E17" s="1">
        <v>10</v>
      </c>
      <c r="F17" s="2" t="s">
        <v>23</v>
      </c>
      <c r="H17" s="2" t="s">
        <v>1194</v>
      </c>
      <c r="I17" s="2" t="s">
        <v>664</v>
      </c>
      <c r="J17" s="2" t="s">
        <v>611</v>
      </c>
      <c r="K17" s="2" t="s">
        <v>612</v>
      </c>
      <c r="L17" s="2" t="s">
        <v>625</v>
      </c>
      <c r="M17" s="2" t="s">
        <v>625</v>
      </c>
      <c r="N17" s="2" t="s">
        <v>1739</v>
      </c>
      <c r="O17" s="2" t="s">
        <v>1740</v>
      </c>
      <c r="P17" s="2" t="s">
        <v>792</v>
      </c>
      <c r="Q17" s="2" t="s">
        <v>40</v>
      </c>
      <c r="R17" s="2" t="s">
        <v>30</v>
      </c>
      <c r="S17" s="2" t="s">
        <v>32</v>
      </c>
      <c r="T17" s="2" t="s">
        <v>392</v>
      </c>
      <c r="U17" s="2" t="s">
        <v>618</v>
      </c>
      <c r="V17" s="2" t="s">
        <v>4065</v>
      </c>
      <c r="W17" s="2" t="s">
        <v>4066</v>
      </c>
      <c r="X17" s="2" t="s">
        <v>4067</v>
      </c>
      <c r="Y17" s="2" t="s">
        <v>4068</v>
      </c>
    </row>
    <row r="18" spans="1:25" s="2" customFormat="1" ht="59" customHeight="1" x14ac:dyDescent="0.2">
      <c r="A18" s="2" t="s">
        <v>1741</v>
      </c>
      <c r="B18" s="13">
        <v>45047</v>
      </c>
      <c r="C18" s="2" t="s">
        <v>1742</v>
      </c>
      <c r="D18" s="2" t="s">
        <v>1742</v>
      </c>
      <c r="E18" s="1">
        <v>10</v>
      </c>
      <c r="F18" s="2" t="s">
        <v>23</v>
      </c>
      <c r="H18" s="2" t="s">
        <v>1194</v>
      </c>
      <c r="I18" s="2" t="s">
        <v>664</v>
      </c>
      <c r="J18" s="2" t="s">
        <v>611</v>
      </c>
      <c r="K18" s="2" t="s">
        <v>612</v>
      </c>
      <c r="L18" s="2" t="s">
        <v>625</v>
      </c>
      <c r="M18" s="2" t="s">
        <v>1743</v>
      </c>
      <c r="N18" s="2" t="s">
        <v>1744</v>
      </c>
      <c r="O18" s="2" t="s">
        <v>1740</v>
      </c>
      <c r="P18" s="2" t="s">
        <v>792</v>
      </c>
      <c r="Q18" s="2" t="s">
        <v>40</v>
      </c>
      <c r="R18" s="2" t="s">
        <v>30</v>
      </c>
      <c r="S18" s="2" t="s">
        <v>32</v>
      </c>
      <c r="T18" s="2" t="s">
        <v>392</v>
      </c>
      <c r="U18" s="2" t="s">
        <v>618</v>
      </c>
      <c r="V18" s="2" t="s">
        <v>4065</v>
      </c>
      <c r="W18" s="2" t="s">
        <v>4066</v>
      </c>
      <c r="X18" s="2" t="s">
        <v>4067</v>
      </c>
      <c r="Y18" s="2" t="s">
        <v>4068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6A76-76ED-1E49-AD20-9B0D128AACD0}">
  <dimension ref="A2:D4"/>
  <sheetViews>
    <sheetView workbookViewId="0">
      <selection activeCell="B10" sqref="B10"/>
    </sheetView>
  </sheetViews>
  <sheetFormatPr baseColWidth="10" defaultColWidth="44.33203125" defaultRowHeight="44" customHeight="1" x14ac:dyDescent="0.2"/>
  <sheetData>
    <row r="2" spans="1:4" ht="44" customHeight="1" x14ac:dyDescent="0.2">
      <c r="A2" s="7" t="s">
        <v>6325</v>
      </c>
      <c r="B2" s="2" t="s">
        <v>6531</v>
      </c>
      <c r="C2" s="2" t="s">
        <v>6531</v>
      </c>
      <c r="D2" s="1" t="s">
        <v>6795</v>
      </c>
    </row>
    <row r="3" spans="1:4" ht="44" customHeight="1" x14ac:dyDescent="0.2">
      <c r="A3" s="7" t="s">
        <v>6326</v>
      </c>
      <c r="B3" s="2" t="s">
        <v>6532</v>
      </c>
      <c r="C3" s="2" t="s">
        <v>6532</v>
      </c>
      <c r="D3" s="1" t="s">
        <v>6795</v>
      </c>
    </row>
    <row r="4" spans="1:4" ht="44" customHeight="1" x14ac:dyDescent="0.2">
      <c r="A4" s="7" t="s">
        <v>6331</v>
      </c>
      <c r="B4" s="2" t="s">
        <v>6537</v>
      </c>
      <c r="C4" s="2" t="s">
        <v>6537</v>
      </c>
      <c r="D4" s="1" t="s">
        <v>6795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CCHI 2026 values sheet</vt:lpstr>
      <vt:lpstr>Expired offences</vt:lpstr>
      <vt:lpstr>Offences need clarity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Eleanor Neyroud</cp:lastModifiedBy>
  <dcterms:created xsi:type="dcterms:W3CDTF">2020-05-19T13:03:15Z</dcterms:created>
  <dcterms:modified xsi:type="dcterms:W3CDTF">2026-02-13T08:49:12Z</dcterms:modified>
</cp:coreProperties>
</file>